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Log" sheetId="1" state="visible" r:id="rId1"/>
    <sheet xmlns:r="http://schemas.openxmlformats.org/officeDocument/2006/relationships" name="Batting" sheetId="2" state="visible" r:id="rId2"/>
    <sheet xmlns:r="http://schemas.openxmlformats.org/officeDocument/2006/relationships" name="Pitching" sheetId="3" state="visible" r:id="rId3"/>
    <sheet xmlns:r="http://schemas.openxmlformats.org/officeDocument/2006/relationships" name="Fielding" sheetId="4" state="visible" r:id="rId4"/>
    <sheet xmlns:r="http://schemas.openxmlformats.org/officeDocument/2006/relationships" name="Roster" sheetId="5" state="visible" r:id="rId5"/>
    <sheet xmlns:r="http://schemas.openxmlformats.org/officeDocument/2006/relationships" name="Derivation_Rules" sheetId="6" state="visible" r:id="rId6"/>
    <sheet xmlns:r="http://schemas.openxmlformats.org/officeDocument/2006/relationships" name="Playoff_Threat_Matrix" sheetId="7" state="visible" r:id="rId7"/>
    <sheet xmlns:r="http://schemas.openxmlformats.org/officeDocument/2006/relationships" name="Opponent_Rotations" sheetId="8" state="visible" r:id="rId8"/>
    <sheet xmlns:r="http://schemas.openxmlformats.org/officeDocument/2006/relationships" name="Hitter_Threat_Assessment" sheetId="9" state="visible" r:id="rId9"/>
    <sheet xmlns:r="http://schemas.openxmlformats.org/officeDocument/2006/relationships" name="Pitcher_Impact_Assessment" sheetId="10" state="visible" r:id="rId10"/>
    <sheet xmlns:r="http://schemas.openxmlformats.org/officeDocument/2006/relationships" name="Defensive_Targets" sheetId="11" state="visible" r:id="rId11"/>
    <sheet xmlns:r="http://schemas.openxmlformats.org/officeDocument/2006/relationships" name="Matchup_Exploits" sheetId="12" state="visible" r:id="rId12"/>
    <sheet xmlns:r="http://schemas.openxmlformats.org/officeDocument/2006/relationships" name="RVRH_Lineup_Optimizer" sheetId="13" state="visible" r:id="rId13"/>
    <sheet xmlns:r="http://schemas.openxmlformats.org/officeDocument/2006/relationships" name="Next_Level_Scouting" sheetId="14" state="visible" r:id="rId14"/>
    <sheet xmlns:r="http://schemas.openxmlformats.org/officeDocument/2006/relationships" name="Pre_Game_Checkli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0.000"/>
    <numFmt numFmtId="167" formatCode="0.0"/>
    <numFmt numFmtId="168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3"/>
    </font>
    <font>
      <name val="Arial"/>
      <b val="1"/>
      <sz val="10"/>
    </font>
    <font>
      <name val="Arial"/>
      <b val="1"/>
      <color rgb="001F4E79"/>
      <sz val="10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0000"/>
      <sz val="11"/>
    </font>
    <font>
      <name val="Arial"/>
      <i val="1"/>
      <color rgb="00666666"/>
      <sz val="9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1F4E78"/>
        <bgColor rgb="001F4E78"/>
      </patternFill>
    </fill>
    <fill>
      <patternFill patternType="solid">
        <fgColor rgb="00FFE5E5"/>
        <bgColor rgb="00FFE5E5"/>
      </patternFill>
    </fill>
    <fill>
      <patternFill patternType="solid">
        <fgColor rgb="00E5FFE5"/>
        <bgColor rgb="00E5FFE5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164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65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0" fontId="8" fillId="6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9" fillId="0" borderId="0" pivotButton="0" quotePrefix="0" xfId="0"/>
    <xf numFmtId="167" fontId="0" fillId="0" borderId="0" pivotButton="0" quotePrefix="0" xfId="0"/>
    <xf numFmtId="0" fontId="10" fillId="0" borderId="0" pivotButton="0" quotePrefix="0" xfId="0"/>
    <xf numFmtId="0" fontId="2" fillId="0" borderId="0" applyAlignment="1" pivotButton="0" quotePrefix="0" xfId="0">
      <alignment wrapText="1"/>
    </xf>
    <xf numFmtId="0" fontId="8" fillId="6" borderId="0" applyAlignment="1" pivotButton="0" quotePrefix="0" xfId="0">
      <alignment horizontal="center" wrapText="1"/>
    </xf>
    <xf numFmtId="0" fontId="11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0" fontId="12" fillId="0" borderId="0" pivotButton="0" quotePrefix="0" xfId="0"/>
    <xf numFmtId="0" fontId="12" fillId="7" borderId="0" pivotButton="0" quotePrefix="0" xfId="0"/>
    <xf numFmtId="0" fontId="12" fillId="8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6B6B"/>
          <bgColor rgb="00FF6B6B"/>
        </patternFill>
      </fill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D93D"/>
          <bgColor rgb="00FFD9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4" customWidth="1" min="4" max="4"/>
    <col width="10" customWidth="1" min="5" max="5"/>
    <col width="10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70" customWidth="1" min="15" max="15"/>
  </cols>
  <sheetData>
    <row r="1">
      <c r="A1" t="inlineStr">
        <is>
          <t>Game_ID</t>
        </is>
      </c>
      <c r="B1" t="inlineStr">
        <is>
          <t>Game_Date</t>
        </is>
      </c>
      <c r="C1" t="inlineStr">
        <is>
          <t>Game_Type</t>
        </is>
      </c>
      <c r="D1" t="inlineStr">
        <is>
          <t>Focal_Team</t>
        </is>
      </c>
      <c r="E1" t="inlineStr">
        <is>
          <t>Away_Team</t>
        </is>
      </c>
      <c r="F1" t="inlineStr">
        <is>
          <t>Home_Team</t>
        </is>
      </c>
      <c r="G1" t="inlineStr">
        <is>
          <t>Innings_Played</t>
        </is>
      </c>
      <c r="H1" t="inlineStr">
        <is>
          <t>Source_File</t>
        </is>
      </c>
      <c r="I1" t="inlineStr">
        <is>
          <t>Away_R</t>
        </is>
      </c>
      <c r="J1" t="inlineStr">
        <is>
          <t>Away_H</t>
        </is>
      </c>
      <c r="K1" t="inlineStr">
        <is>
          <t>Away_E</t>
        </is>
      </c>
      <c r="L1" t="inlineStr">
        <is>
          <t>Home_R</t>
        </is>
      </c>
      <c r="M1" t="inlineStr">
        <is>
          <t>Home_H</t>
        </is>
      </c>
      <c r="N1" t="inlineStr">
        <is>
          <t>Home_E</t>
        </is>
      </c>
      <c r="O1" t="inlineStr">
        <is>
          <t>QA_Flag_Count</t>
        </is>
      </c>
      <c r="P1" t="inlineStr">
        <is>
          <t>Notes</t>
        </is>
      </c>
    </row>
    <row r="2" ht="45" customHeight="1">
      <c r="A2" t="inlineStr">
        <is>
          <t>2026-03-10_RVRH_at_WSTF</t>
        </is>
      </c>
      <c r="B2" s="10" t="n">
        <v>46091</v>
      </c>
      <c r="C2" t="inlineStr">
        <is>
          <t>Scrimmage</t>
        </is>
      </c>
      <c r="D2" t="inlineStr">
        <is>
          <t>RVRH</t>
        </is>
      </c>
      <c r="E2" t="inlineStr">
        <is>
          <t>RVRH</t>
        </is>
      </c>
      <c r="F2" t="inlineStr">
        <is>
          <t>WSTF</t>
        </is>
      </c>
      <c r="G2" t="n">
        <v>8</v>
      </c>
      <c r="H2" t="inlineStr">
        <is>
          <t>Game_01.md</t>
        </is>
      </c>
      <c r="I2" t="n">
        <v>7</v>
      </c>
      <c r="J2" t="n">
        <v>10</v>
      </c>
      <c r="K2" t="n">
        <v>1</v>
      </c>
      <c r="L2" t="n">
        <v>8</v>
      </c>
      <c r="M2" t="n">
        <v>9</v>
      </c>
      <c r="N2" t="n">
        <v>0</v>
      </c>
      <c r="O2" t="n">
        <v>10</v>
      </c>
      <c r="P2" t="inlineStr">
        <is>
          <t>Walk-off loss, 8 innings. 10 data integrity flags in source log. Courtesy runners used for R Walsh, J Norwood (×2), G Dang. J Norwood also pitched B3 (entry not explicitly logged).</t>
        </is>
      </c>
    </row>
    <row r="3">
      <c r="A3" t="inlineStr">
        <is>
          <t>2026-03-14_WTTN_at_RVRH</t>
        </is>
      </c>
      <c r="B3" s="10" t="n">
        <v>46095</v>
      </c>
      <c r="C3" t="inlineStr">
        <is>
          <t>Scrimmage</t>
        </is>
      </c>
      <c r="D3" t="inlineStr">
        <is>
          <t>RVRH</t>
        </is>
      </c>
      <c r="E3" t="inlineStr">
        <is>
          <t>WTTN</t>
        </is>
      </c>
      <c r="F3" t="inlineStr">
        <is>
          <t>RVRH</t>
        </is>
      </c>
      <c r="G3" t="n">
        <v>8</v>
      </c>
      <c r="H3" t="inlineStr">
        <is>
          <t>Game_02.md</t>
        </is>
      </c>
      <c r="I3" t="n">
        <v>4</v>
      </c>
      <c r="J3" t="n">
        <v>7</v>
      </c>
      <c r="K3" t="n">
        <v>2</v>
      </c>
      <c r="L3" t="n">
        <v>7</v>
      </c>
      <c r="M3" t="n">
        <v>8</v>
      </c>
      <c r="N3" t="n">
        <v>3</v>
      </c>
      <c r="O3" t="n">
        <v>12</v>
      </c>
      <c r="P3" t="inlineStr">
        <is>
          <t>RVRH win 7-4, home scrimmage vs. Wootton. 7 innings fully documented; T8 incomplete (Flag #1, J Allen at bat only). Courtesy runner E Skolkin in for C Reis (B7 play #67) — run credited to C Reis. CR J Jenkins in for H Zhang (B5 play #48, inning-ending play, no run scored). L Avila (WTTN) bats T1 then pitches B1-B3 (Flag #11). J Norwood pitches T5 (Flag #10). K_S/K_L discrepancy: A Grainger play #4 Section 3 says 'looking' but Section 4 final pitch 'swinging' — K_S recorded per Section 4. WTTN fielder identities not in log for 2 errors (play #45 1B, play #46 SS). 12 data integrity flags in source log.</t>
        </is>
      </c>
    </row>
    <row r="4">
      <c r="A4" t="inlineStr">
        <is>
          <t>2026-03-21_RVRH_at_GLFR</t>
        </is>
      </c>
      <c r="B4" s="10" t="n">
        <v>46102</v>
      </c>
      <c r="C4" t="inlineStr">
        <is>
          <t>In-Season Game</t>
        </is>
      </c>
      <c r="D4" t="inlineStr">
        <is>
          <t>RVRH</t>
        </is>
      </c>
      <c r="E4" t="inlineStr">
        <is>
          <t>RVRH</t>
        </is>
      </c>
      <c r="F4" t="inlineStr">
        <is>
          <t>GLFR</t>
        </is>
      </c>
      <c r="G4" t="n">
        <v>6</v>
      </c>
      <c r="H4" t="inlineStr">
        <is>
          <t>Game_03.md</t>
        </is>
      </c>
      <c r="I4" t="n">
        <v>19</v>
      </c>
      <c r="J4" t="n">
        <v>12</v>
      </c>
      <c r="K4" t="n">
        <v>0</v>
      </c>
      <c r="L4" t="n">
        <v>6</v>
      </c>
      <c r="M4" t="n">
        <v>5</v>
      </c>
      <c r="N4" t="n">
        <v>3</v>
      </c>
      <c r="O4" t="n">
        <v>13</v>
      </c>
      <c r="P4" t="inlineStr">
        <is>
          <t>RVRH win 19-6, away vs. Guilford Park. 5 innings fully documented; T6 incomplete (Flag #1). Game type not labeled in log (Flag #2). GLFR players logged as abbreviated names only, no jersey numbers (Flag #3). Courtesy runners: B Bixby for G Dang (T1, play #7 Sec4; run credited to G Dang); E Skolkin for R Walsh (T1, play #11 Sec4; run credited to R Walsh); R Miller for C Reis (T4, play #44 Sec4; run credited to C Reis); Z M for L R (B5, play #63 Sec4; Z M caught stealing home, CS credited to L R). J Norwood pitches B4–B5 (Flag #7, entry inferred). A A pitches T2–T4 (T4 inferred). 3 RVRH runs scored on errors (plays #14, #15) — no RBI credited. 13 data integrity flags in source log.</t>
        </is>
      </c>
    </row>
    <row r="5">
      <c r="A5" t="inlineStr">
        <is>
          <t>2026-03-23_WLDL_at_RVRH</t>
        </is>
      </c>
      <c r="B5" s="10" t="n">
        <v>46104</v>
      </c>
      <c r="C5" t="inlineStr">
        <is>
          <t>In-Season Game</t>
        </is>
      </c>
      <c r="D5" t="inlineStr">
        <is>
          <t>RVRH</t>
        </is>
      </c>
      <c r="E5" t="inlineStr">
        <is>
          <t>WLDL</t>
        </is>
      </c>
      <c r="F5" t="inlineStr">
        <is>
          <t>RVRH</t>
        </is>
      </c>
      <c r="G5" t="n">
        <v>5</v>
      </c>
      <c r="H5" t="inlineStr">
        <is>
          <t>Game_04.md</t>
        </is>
      </c>
      <c r="I5" t="n">
        <v>0</v>
      </c>
      <c r="J5" t="n">
        <v>3</v>
      </c>
      <c r="K5" t="n">
        <v>3</v>
      </c>
      <c r="L5" t="n">
        <v>23</v>
      </c>
      <c r="M5" t="n">
        <v>18</v>
      </c>
      <c r="N5" t="n">
        <v>0</v>
      </c>
      <c r="O5" t="n">
        <v>8</v>
      </c>
      <c r="P5" t="inlineStr">
        <is>
          <t>RVRH win, home vs. Wilde Lake. Game type not labeled (Flag #2-adjacent). FLAG #2: Section 2 reports RVRH R=23; line score and play-by-play both sum to 22 (B2=2, B3=12, B4=8, B5 incomplete with 0 logged). Discrepancy unresolvable — R=23 recorded as reported; batting R tally = 22. G2 gate fails by 1 run (documented, unresolvable). B5 incomplete (Flag #1, B Mougey at bat, no outcome). Courtesy runner B Bixby for G Dang ×2 in B3 (plays #28 and #37 Sec4; Flag #7). Sub note 'CR R Miller in for C Reis' at T4 (play #44) mislabeled — treated as defensive sub; R Miller takes C Reis batting slot in B4. Duplicate lineup note for J Jenkins at play #20 (Flag #3). 8 data integrity flags in source log.</t>
        </is>
      </c>
    </row>
    <row r="6">
      <c r="A6" t="inlineStr">
        <is>
          <t>2026-03-25_RVRH_at_HMMN</t>
        </is>
      </c>
      <c r="B6" s="10" t="n">
        <v>46106</v>
      </c>
      <c r="C6" t="inlineStr">
        <is>
          <t>In-Season Game</t>
        </is>
      </c>
      <c r="D6" t="inlineStr">
        <is>
          <t>RVRH</t>
        </is>
      </c>
      <c r="E6" t="inlineStr">
        <is>
          <t>RVRH</t>
        </is>
      </c>
      <c r="F6" t="inlineStr">
        <is>
          <t>HMMN</t>
        </is>
      </c>
      <c r="G6" t="n">
        <v>8</v>
      </c>
      <c r="H6" t="inlineStr">
        <is>
          <t>Game_05.md</t>
        </is>
      </c>
      <c r="I6" t="n">
        <v>13</v>
      </c>
      <c r="J6" t="n">
        <v>15</v>
      </c>
      <c r="K6" t="n">
        <v>1</v>
      </c>
      <c r="L6" t="n">
        <v>2</v>
      </c>
      <c r="M6" t="n">
        <v>6</v>
      </c>
      <c r="N6" t="n">
        <v>4</v>
      </c>
      <c r="O6" t="n">
        <v>10</v>
      </c>
      <c r="P6" t="inlineStr">
        <is>
          <t>RVRH win 13-2, away vs. Hammond. 7 innings fully documented; T8 incomplete (Flag #1, R Walsh at bat only). Game type not labeled. CRs: C McClellan for H Zhang ×3 (T3 #22, T4 #34, T5 #47; Flag #8) — T3 run credited to H Zhang; E Skolkin for G Dang T4 (#36 Sec4) — stranded; D Bhatt for L Tordella B2 (#17 Sec4) — stranded. R Ronayne subs for G Dang in T7 — no lineup note (inferred from batting order). T Thomas appears B7 with no lineup note (Flag #3). P Yarnell (HMMN SS) commits 3 errors (T4 embedded, T5, T7 embedded; Flag #7). 10 data integrity flags in source log.</t>
        </is>
      </c>
    </row>
    <row r="7">
      <c r="A7" t="inlineStr">
        <is>
          <t>2026-03-27_GLNL_at_RVRH</t>
        </is>
      </c>
      <c r="B7" s="10" t="n">
        <v>46108</v>
      </c>
      <c r="C7" t="inlineStr">
        <is>
          <t>In-Season Game</t>
        </is>
      </c>
      <c r="D7" t="inlineStr">
        <is>
          <t>RVRH</t>
        </is>
      </c>
      <c r="E7" t="inlineStr">
        <is>
          <t>GLNL</t>
        </is>
      </c>
      <c r="F7" t="inlineStr">
        <is>
          <t>RVRH</t>
        </is>
      </c>
      <c r="G7" t="n">
        <v>5</v>
      </c>
      <c r="H7" t="inlineStr">
        <is>
          <t>Game_06.md</t>
        </is>
      </c>
      <c r="I7" t="n">
        <v>0</v>
      </c>
      <c r="J7" t="n">
        <v>1</v>
      </c>
      <c r="K7" t="n">
        <v>1</v>
      </c>
      <c r="L7" t="n">
        <v>19</v>
      </c>
      <c r="M7" t="n">
        <v>11</v>
      </c>
      <c r="N7" t="n">
        <v>2</v>
      </c>
      <c r="O7" t="n">
        <v>14</v>
      </c>
      <c r="P7" t="inlineStr">
        <is>
          <t>RVRH win 19-0, home vs. Glenelg. 5 complete innings (GLNL doesn't bat B5 per line score; R Miller B5 at-bat in log is inconsistency per Flag #1). Game type not labeled. FLAG #5: RVRH E=2 reported; only 1 error identifiable (C Nichols SS T1 play #3); second RVRH error unresolvable from log — E=2 recorded as reported, 1 fielding row written. B3 is 15-run inning with order cycling twice (Flag #6 C Naecker, Flag #7 G Dang). CRs: B Bixby for G Dang B2 (stranded); B Bixby for G Dang B3 2nd time (scores play #38 → R to G Dang); C McClellan for R Walsh B3 (scores play #34 → R to R Walsh); R Miller 'pinch runner' for C Reis B4 (Flag #4; scores play #48 → R to C Reis). Flag #2: circular pitcher substitution during G Dang SAC fly AB (B3 play #27) — N Cohen credited as active pitcher per final entry in sequence. 14 data integrity flags in source log.</t>
        </is>
      </c>
    </row>
    <row r="8">
      <c r="A8" t="inlineStr">
        <is>
          <t>2026-03-30_FLLS_at_RVRH</t>
        </is>
      </c>
      <c r="B8" s="10" t="n">
        <v>46111</v>
      </c>
      <c r="C8" t="inlineStr">
        <is>
          <t>In-Season Game</t>
        </is>
      </c>
      <c r="D8" t="inlineStr">
        <is>
          <t>RVRH</t>
        </is>
      </c>
      <c r="E8" t="inlineStr">
        <is>
          <t>FLLS</t>
        </is>
      </c>
      <c r="F8" t="inlineStr">
        <is>
          <t>RVRH</t>
        </is>
      </c>
      <c r="G8" t="n">
        <v>7</v>
      </c>
      <c r="H8" t="inlineStr">
        <is>
          <t>Game_07.md</t>
        </is>
      </c>
      <c r="I8" t="n">
        <v>3</v>
      </c>
      <c r="J8" t="n">
        <v>7</v>
      </c>
      <c r="K8" t="n">
        <v>0</v>
      </c>
      <c r="L8" t="n">
        <v>7</v>
      </c>
      <c r="M8" t="n">
        <v>11</v>
      </c>
      <c r="N8" t="n">
        <v>2</v>
      </c>
      <c r="O8" t="n">
        <v>9</v>
      </c>
      <c r="P8" t="inlineStr">
        <is>
          <t>RVRH win 7-3, home vs. Fallston. 7 complete top-half innings; B7 in log but line score shows X (RVRH did not bat in B7, Flag #1 — same contradiction as Game 06). Game type not labeled. H Zhang HR T1 (B1 play #8) is a 2-run HR (J Norwood scores). CRs: C McClellan for G Dang B1 (stranded); B Bixby 'pinch runner' for H Zhang B5 (Flag #2, stranded); H Zhang bats again in B6 despite B Bixby pinch-runner sub (Flag #6); Flag #5: 'Play Edit' in C Naecker PO AB B6 (B Bixby/H Zhang swap reversed, net effect H Zhang stays). FLLS CRs: R Cullison for J Potler T2 (stranded); C Blair for J Potler T4 (out on FC). Z Loewe SB×3 (T3 ×2 embedded, T5 ×1 embedded; Flags #7/#9). J Schilpp SB×1 + WP advance T4 embedded (Flag #8). 9 data integrity flags in source log.</t>
        </is>
      </c>
    </row>
    <row r="9">
      <c r="A9" t="inlineStr">
        <is>
          <t>2026-03-07_ELNR_at_NRTH</t>
        </is>
      </c>
      <c r="B9" s="10" t="n">
        <v>46088</v>
      </c>
      <c r="C9" t="inlineStr">
        <is>
          <t>In-Season Game</t>
        </is>
      </c>
      <c r="D9" t="inlineStr">
        <is>
          <t>NRTH</t>
        </is>
      </c>
      <c r="E9" t="inlineStr">
        <is>
          <t>ELNR</t>
        </is>
      </c>
      <c r="F9" t="inlineStr">
        <is>
          <t>NRTH</t>
        </is>
      </c>
      <c r="G9" t="n">
        <v>5</v>
      </c>
      <c r="H9" t="inlineStr">
        <is>
          <t>Northpoint_Game_8.md</t>
        </is>
      </c>
      <c r="I9" t="n">
        <v>1</v>
      </c>
      <c r="J9" t="n">
        <v>1</v>
      </c>
      <c r="K9" t="n">
        <v>8</v>
      </c>
      <c r="L9" t="n">
        <v>14</v>
      </c>
      <c r="M9" t="n">
        <v>10</v>
      </c>
      <c r="N9" t="n">
        <v>3</v>
      </c>
      <c r="O9" t="n">
        <v>13</v>
      </c>
      <c r="P9" t="inlineStr">
        <is>
          <t>ELNR loss 1-14, away vs. North Point (mercy rule, 5 innings). 13 data integrity flags. T6 incomplete — scoring artifact (Flag #1). T White identity conflict (Flag #2). CR T Roy for A Williams in B1 (play #15) and B3 (play #35) — T Roy runs credited to A Williams per CR rule (Flag #12). C Pettko (NRTH) pitches T1-T2 and bats — entry inferred from play descriptions (Flag #11). Balk by A Harding T3 (Flag #7). Multiple embedded baserunning events (Flag #13).</t>
        </is>
      </c>
    </row>
    <row r="10">
      <c r="A10" t="inlineStr">
        <is>
          <t>2026-03-14_NRTH_at_ARND</t>
        </is>
      </c>
      <c r="B10" s="10" t="n">
        <v>46095</v>
      </c>
      <c r="C10" t="inlineStr">
        <is>
          <t>In-Season Game</t>
        </is>
      </c>
      <c r="D10" t="inlineStr">
        <is>
          <t>NRTH</t>
        </is>
      </c>
      <c r="E10" t="inlineStr">
        <is>
          <t>NRTH</t>
        </is>
      </c>
      <c r="F10" t="inlineStr">
        <is>
          <t>ARND</t>
        </is>
      </c>
      <c r="G10" t="n">
        <v>5</v>
      </c>
      <c r="H10" t="inlineStr">
        <is>
          <t>Northpoint_Game_9.md</t>
        </is>
      </c>
      <c r="I10" t="n">
        <v>1</v>
      </c>
      <c r="J10" t="n">
        <v>2</v>
      </c>
      <c r="K10" t="n">
        <v>7</v>
      </c>
      <c r="L10" t="n">
        <v>21</v>
      </c>
      <c r="M10" t="n">
        <v>9</v>
      </c>
      <c r="N10" t="n">
        <v>0</v>
      </c>
      <c r="O10" t="n">
        <v>10</v>
      </c>
      <c r="P10" t="inlineStr">
        <is>
          <t>NRTH loss 1-21, 5 innings (mercy/run-rule). 10 data integrity flags. NRTH 7 errors (A Harding SS x3, A Williams C x1, W Kwisnek 1B x1, Z Bowman 3B x1, A Thomas 2B x1). Courtesy runner J Perry for G O'Donnell (B2 play#23); R credited to G O'Donnell (play#26 WP). Multiple pitcher changes in B2 anomalous (Flag#4). 1 unattributed run play#63 (score 19-&gt;21, only J Haslup credited on WP). B5 incomplete — C Dennehy AB play#64 not counted (Flag#1).</t>
        </is>
      </c>
    </row>
    <row r="11">
      <c r="A11" t="inlineStr">
        <is>
          <t>2026-03-14_NRTH_at_MRRT</t>
        </is>
      </c>
      <c r="B11" s="10" t="n">
        <v>46095</v>
      </c>
      <c r="C11" t="inlineStr">
        <is>
          <t>In-Season Game</t>
        </is>
      </c>
      <c r="D11" t="inlineStr">
        <is>
          <t>NRTH</t>
        </is>
      </c>
      <c r="E11" t="inlineStr">
        <is>
          <t>NRTH</t>
        </is>
      </c>
      <c r="F11" t="inlineStr">
        <is>
          <t>MRRT</t>
        </is>
      </c>
      <c r="G11" t="n">
        <v>6</v>
      </c>
      <c r="H11" t="inlineStr">
        <is>
          <t>Northpoint_Game_10.md</t>
        </is>
      </c>
      <c r="I11" t="n">
        <v>2</v>
      </c>
      <c r="J11" t="n">
        <v>4</v>
      </c>
      <c r="K11" t="n">
        <v>7</v>
      </c>
      <c r="L11" t="n">
        <v>15</v>
      </c>
      <c r="M11" t="n">
        <v>10</v>
      </c>
      <c r="N11" t="n">
        <v>0</v>
      </c>
      <c r="O11" t="n">
        <v>14</v>
      </c>
      <c r="P11" t="inlineStr">
        <is>
          <t>NRTH loss 2-15, 6 innings (mercy/run-rule). 14 data integrity flags. NRTH 7 errors (A Thomas 2B x1, A Williams C x2, Z Bowman 3B x2, S Dixon LF x1, Z Bowman P x1). Same-day doubleheader with Game 9 (Flag#2). MRRT unnamed players #2 and #6 (Flag#13). Multiple dual-role players: A Espejo pitches B1-B2, E Zimmerman pitches B3-B4, Z Bowman pitches B5 (Flags#3-5). B6 incomplete - T Rauscher AB play#64 no outcome (Flag#1). CR: R Marsili for S Thomas B2; A Montgomery for T Rauscher B5; runs credited to originals per CR rule.</t>
        </is>
      </c>
    </row>
    <row r="12">
      <c r="A12" t="inlineStr">
        <is>
          <t>2026-03-20_PTXN_at_NRTH</t>
        </is>
      </c>
      <c r="B12" s="10" t="n">
        <v>46101</v>
      </c>
      <c r="C12" t="inlineStr">
        <is>
          <t>In-Season Game</t>
        </is>
      </c>
      <c r="D12" t="inlineStr">
        <is>
          <t>NRTH</t>
        </is>
      </c>
      <c r="E12" t="inlineStr">
        <is>
          <t>PTXN</t>
        </is>
      </c>
      <c r="F12" t="inlineStr">
        <is>
          <t>NRTH</t>
        </is>
      </c>
      <c r="G12" t="n">
        <v>7</v>
      </c>
      <c r="H12" t="inlineStr">
        <is>
          <t>Northpoint_Game_11.md</t>
        </is>
      </c>
      <c r="I12" t="n">
        <v>7</v>
      </c>
      <c r="J12" t="n">
        <v>6</v>
      </c>
      <c r="K12" t="n">
        <v>4</v>
      </c>
      <c r="L12" t="n">
        <v>4</v>
      </c>
      <c r="M12" t="n">
        <v>5</v>
      </c>
      <c r="N12" t="n">
        <v>2</v>
      </c>
      <c r="O12" t="n">
        <v>11</v>
      </c>
      <c r="P12" t="inlineStr">
        <is>
          <t>NRTH loss 4-7, 7 complete innings. 11 data integrity flags. NRTH 2 errors: A Harding SS play#16(T2), A Williams C play#50(T6). PTXN 4 errors: R Whitney SS plays#9(B1),#46(B5); D Bradley 3B play#19(B2); N Kelly LF play#57(B6). Dual-role PTXN: C White bats T-halves + pitches B1-B5; R Whitney bats T-halves + pitches B6-B7 (no lineup notes, Flag#10). NRTH dual-role: A Espejo bats B-halves + pitches T1-T5; C Pettko bats B-halves + pitches T6-T7. CR: J Smith for E Zimmerman B6 play#55 (R credited to E Zimmerman per CR rule). CR: R Hawkins for L Powell T6 play#54 (L Powell stranded). T8 play#68 D Bradley no outcome recorded (Flag#1).</t>
        </is>
      </c>
    </row>
    <row r="13">
      <c r="A13" t="inlineStr">
        <is>
          <t>2026-03-23_NRTH_at_ST.C</t>
        </is>
      </c>
      <c r="B13" s="10" t="n">
        <v>46104</v>
      </c>
      <c r="C13" t="inlineStr">
        <is>
          <t>In-Season Game</t>
        </is>
      </c>
      <c r="D13" t="inlineStr">
        <is>
          <t>NRTH</t>
        </is>
      </c>
      <c r="E13" t="inlineStr">
        <is>
          <t>NRTH</t>
        </is>
      </c>
      <c r="F13" t="inlineStr">
        <is>
          <t>ST.C</t>
        </is>
      </c>
      <c r="G13" t="n">
        <v>7</v>
      </c>
      <c r="H13" t="inlineStr">
        <is>
          <t>Northpoint_Game_12.md</t>
        </is>
      </c>
      <c r="I13" t="n">
        <v>7</v>
      </c>
      <c r="J13" t="n">
        <v>5</v>
      </c>
      <c r="K13" t="n">
        <v>0</v>
      </c>
      <c r="L13" t="n">
        <v>0</v>
      </c>
      <c r="M13" t="n">
        <v>1</v>
      </c>
      <c r="N13" t="n">
        <v>1</v>
      </c>
      <c r="O13" t="n">
        <v>12</v>
      </c>
      <c r="P13" t="inlineStr">
        <is>
          <t>NRTH win 7-0, 7 complete innings. First NRTH win in series (Flag#2). 12 data integrity flags. NRTH 0 errors. ST.C 1 error: R Generette 1B play#4(T1). E Zimmerman pitches all 7 B-halves (no lineup note, established via attribution). Balk by E Zimmerman B6 play#46 (D Tyler adv 2nd, not in schema). Inside-the-park HR A Harding T3 play#19 (Flag#4). CR C Harrigan for E Zimmerman T6 play#41 (R credited to E Zimmerman per CR rule). T8 play#56 E Zimmerman AB no outcome recorded (Flag#1). S Dixon steals 2nd while at 3rd (anomalous, recorded as logged, Flag#10). Two WPs by M Minick T6 (plays#41,#42) score A Harding and Z Bowman.</t>
        </is>
      </c>
    </row>
    <row r="14">
      <c r="A14" t="inlineStr">
        <is>
          <t>2026-03-25_NRTH_at_CHPT</t>
        </is>
      </c>
      <c r="B14" s="10" t="n">
        <v>46106</v>
      </c>
      <c r="C14" t="inlineStr">
        <is>
          <t>In-Season Game</t>
        </is>
      </c>
      <c r="D14" t="inlineStr">
        <is>
          <t>NRTH</t>
        </is>
      </c>
      <c r="E14" t="inlineStr">
        <is>
          <t>NRTH</t>
        </is>
      </c>
      <c r="F14" t="inlineStr">
        <is>
          <t>CHPT</t>
        </is>
      </c>
      <c r="G14" t="n">
        <v>7</v>
      </c>
      <c r="H14" t="inlineStr">
        <is>
          <t>Northpoint_Game_13.md</t>
        </is>
      </c>
      <c r="I14" t="n">
        <v>2</v>
      </c>
      <c r="J14" t="n">
        <v>6</v>
      </c>
      <c r="K14" t="n">
        <v>6</v>
      </c>
      <c r="L14" t="n">
        <v>7</v>
      </c>
      <c r="M14" t="n">
        <v>3</v>
      </c>
      <c r="N14" t="n">
        <v>2</v>
      </c>
      <c r="O14" t="n">
        <v>12</v>
      </c>
      <c r="P14" t="inlineStr">
        <is>
          <t>NRTH loss 2-7, 7 innings. 12 data integrity flags. NRTH 6 errors: A Thomas 2B play#9(B1), A Espejo 3B plays#11+#13(B1), S Dixon CF play#20(B2), A Harding SS plays#36(B4)+#44(B5). CHPT 2 errors: C Rabon LF play#3(T1), E Reynolds SS play#56(T7). Balk by C Pettko B1 play#9 (Flag#3); chained CRs B1 S Beach-&gt;A Lewis-&gt;A Wood (Flag#5). T Bailey bats twice in B1 (Flag#6). Fly-into-FC Z Bowman T4 play#29 (Flag#7). B7 (plays#60-62, T Hyde/K Queen/E Paredes) and T8 (play#63, R Welch) are scoring artifacts (Flags#1+#2) — not counted in stats. CR H Headley for T Haggard in B1 (play#10) and B5 (play#44); R credited to T Haggard both times. 3 runs in B1 on single A Norris error (play#11), including C Rabon from 1B (Flag#4).</t>
        </is>
      </c>
    </row>
    <row r="15">
      <c r="A15" t="inlineStr">
        <is>
          <t>2026-03-26_THMS_at_NRTH</t>
        </is>
      </c>
      <c r="B15" s="10" t="n">
        <v>46107</v>
      </c>
      <c r="C15" t="inlineStr">
        <is>
          <t>In-Season Game</t>
        </is>
      </c>
      <c r="D15" t="inlineStr">
        <is>
          <t>NRTH</t>
        </is>
      </c>
      <c r="E15" t="inlineStr">
        <is>
          <t>THMS</t>
        </is>
      </c>
      <c r="F15" t="inlineStr">
        <is>
          <t>NRTH</t>
        </is>
      </c>
      <c r="G15" t="n">
        <v>5</v>
      </c>
      <c r="H15" t="inlineStr">
        <is>
          <t>Northpoint_Game_14.md</t>
        </is>
      </c>
      <c r="I15" t="n">
        <v>5</v>
      </c>
      <c r="J15" t="n">
        <v>2</v>
      </c>
      <c r="K15" t="n">
        <v>0</v>
      </c>
      <c r="L15" t="n">
        <v>17</v>
      </c>
      <c r="M15" t="n">
        <v>10</v>
      </c>
      <c r="N15" t="n">
        <v>3</v>
      </c>
      <c r="O15" t="n">
        <v>16</v>
      </c>
      <c r="P15" t="inlineStr">
        <is>
          <t>NRTH win 17-5, 5 innings (mercy/run-rule). 16 data integrity flags. All THMS players identified by jersey number only (Flag#2). NRTH 3 errors: C Pettko 3B play#1(T1), A Harding SS play#5(T1), E Zimmerman 1B play#33(T2). THMS 0 errors. NRTH B1 19-batter half-inning, 15 runs, highest single half-inning run total in series (Flag#6). A Espejo bats 3x in B1 (BB+HBP+PO); J Borawski bats 2x; A Thomas 2x. NRTH pitchers: Z Bowman T1-T2; A Harding T3-T4; T Roy T5. THMS pitchers: #17 B1 (0 outs); #1 B1(from play#19)-B4. B5 incomplete (Flag#1). Steal-of-home: #2 THMS T2 Seq#32 (simultaneous with #17 stealing 2nd, Flag#7); A Harding NRTH B2 Seq#38 (Flag#8). Two balks + two pickoffs by #1 in B2 (plays#40-41, Flag#10). J Borawski B3 play#48: double credited as H but out advancing; 3 outs in one PA (Flag#12). B5 play#59 Z Bowman no outcome — scoring artifact.</t>
        </is>
      </c>
    </row>
    <row r="16">
      <c r="A16" t="inlineStr">
        <is>
          <t>2026-03-07_DMSC_at_GLNL</t>
        </is>
      </c>
      <c r="B16" s="10" t="n">
        <v>46088</v>
      </c>
      <c r="C16" t="inlineStr">
        <is>
          <t>In-Season Game</t>
        </is>
      </c>
      <c r="D16" t="inlineStr">
        <is>
          <t>GLNL</t>
        </is>
      </c>
      <c r="E16" t="inlineStr">
        <is>
          <t>DMSC</t>
        </is>
      </c>
      <c r="F16" t="inlineStr">
        <is>
          <t>GLNL</t>
        </is>
      </c>
      <c r="G16" t="n">
        <v>7</v>
      </c>
      <c r="H16" t="inlineStr">
        <is>
          <t>GLNL_Game_16.md</t>
        </is>
      </c>
      <c r="I16" t="n">
        <v>2</v>
      </c>
      <c r="J16" t="n">
        <v>7</v>
      </c>
      <c r="K16" t="n">
        <v>1</v>
      </c>
      <c r="L16" t="n">
        <v>5</v>
      </c>
      <c r="M16" t="n">
        <v>3</v>
      </c>
      <c r="N16" t="n">
        <v>2</v>
      </c>
      <c r="O16" t="n">
        <v>8</v>
      </c>
      <c r="P16" t="inlineStr">
        <is>
          <t>GLNL win 5-2, 7 innings complete. DMSC pitchers unnamed throughout entire game (Flag #7) — no Pitching rows created for DMSC. GLNL pitchers: M Shriner (T1), M Melhuish (T2), J Miles (T3), B Conlon (T4, undocumented entry Flag #1), N Cohen (T5), C Starcher (T6), M Kirk (T7). 2 GLNL runs scored on WP (A Baker) + PB (M Melhuish) in Bottom 3rd — not RBI events. CR J Jones for M Melhuish (Bottom 1st, no run scored). CR P Moreau for C Lease (after Bottom 4th play#43, no run scored). S Tong enters play#40 + C Lease enters play#43 without lineup change notes. A Nazelrod returns at 2B after substitution (Flag #2, fielding only). C Lease returns as batter in Bottom 6th after CR (Flag #4). RBI advisory: GLNL RBI=3, R=5 (2-run gap — A Baker scored on WP, M Melhuish on PB).</t>
        </is>
      </c>
    </row>
    <row r="17">
      <c r="A17" t="inlineStr">
        <is>
          <t>2026-03-14_GLNL_at_OKDL</t>
        </is>
      </c>
      <c r="B17" s="10" t="n">
        <v>46095</v>
      </c>
      <c r="C17" t="inlineStr">
        <is>
          <t>In-Season Game</t>
        </is>
      </c>
      <c r="D17" t="inlineStr">
        <is>
          <t>GLNL</t>
        </is>
      </c>
      <c r="E17" t="inlineStr">
        <is>
          <t>GLNL</t>
        </is>
      </c>
      <c r="F17" t="inlineStr">
        <is>
          <t>OKDL</t>
        </is>
      </c>
      <c r="G17" t="n">
        <v>7</v>
      </c>
      <c r="H17" t="inlineStr">
        <is>
          <t>GLNL_Game_17.md</t>
        </is>
      </c>
      <c r="I17" t="n">
        <v>2</v>
      </c>
      <c r="J17" t="n">
        <v>7</v>
      </c>
      <c r="K17" t="n">
        <v>0</v>
      </c>
      <c r="L17" t="n">
        <v>4</v>
      </c>
      <c r="M17" t="n">
        <v>5</v>
      </c>
      <c r="N17" t="n">
        <v>1</v>
      </c>
      <c r="O17" t="n">
        <v>9</v>
      </c>
      <c r="P17" t="inlineStr">
        <is>
          <t>OKDL win 4-2, 7 innings complete. GLNL pitchers: J Miles B1-B2 (entry inferred from play descriptions — no lineup note, Flag#1), B Conlon B3-B4 (inferred, Flag#1), A Baker B5 (inferred, Flag#1), M Kirk B6 (documented play#50). OKDL pitchers: P Dix T1-T3 (documented play#1 seq), B Yowell T4-T5 (documented play#31 seq), C Thompson T6-T7 (documented play#45 seq). Bottom 2nd scorekeeper-ended inning: only 1 documented out (K Huynh K, play#18); 2 outs unaccounted for (Flag#2); J Miles Bottom 2nd Outs_Recorded uses scorekeeper 3-out total. OKDL did not bat in Bottom 7th (line score X vs play#57 anomaly, Flag#3). CR D Williams for C Scarzello (Bottom 1st, play#8) and K Huynh (Bottom 4th, play#38) — neither scored. CR P Moreau for A Baker (Top 6th, play#46) — P Moreau CS home (play#47 embedded, Flag#5); CS credited to A Baker per CR convention. C Lease at catcher play#52 before documented substitution at play#54 (Flag#4). RBI advisory: OKDL RBI=3, R=4 (1-run gap — L Rosenberg scored on WP, play#19).</t>
        </is>
      </c>
    </row>
    <row r="18">
      <c r="A18" t="inlineStr">
        <is>
          <t>2026-03-14_LBRT_at_GLNL</t>
        </is>
      </c>
      <c r="B18" s="10" t="n">
        <v>46095</v>
      </c>
      <c r="C18" t="inlineStr">
        <is>
          <t>In-Season Game</t>
        </is>
      </c>
      <c r="D18" t="inlineStr">
        <is>
          <t>GLNL</t>
        </is>
      </c>
      <c r="E18" t="inlineStr">
        <is>
          <t>LBRT</t>
        </is>
      </c>
      <c r="F18" t="inlineStr">
        <is>
          <t>GLNL</t>
        </is>
      </c>
      <c r="G18" t="n">
        <v>5</v>
      </c>
      <c r="H18" t="inlineStr">
        <is>
          <t>GLNL_Game_18.md</t>
        </is>
      </c>
      <c r="I18" t="n">
        <v>4</v>
      </c>
      <c r="J18" t="n">
        <v>5</v>
      </c>
      <c r="K18" t="n">
        <v>1</v>
      </c>
      <c r="L18" t="n">
        <v>3</v>
      </c>
      <c r="M18" t="n">
        <v>5</v>
      </c>
      <c r="N18" t="n">
        <v>2</v>
      </c>
      <c r="O18" t="n">
        <v>9</v>
      </c>
      <c r="P18" t="inlineStr">
        <is>
          <t>LBRT win 4-3, 5 innings complete. GLNL did not bat in Bottom 5th (line score X vs play#44 anomaly, Flag#3). GLNL pitchers: M Melhuish T1-T2 (documented play#1 seq), C Starcher T3 (documented play#20), N Cohen T4-T5 (documented play#32). LBRT pitchers: S Crochunis B1 through P Moreau PO in B2 (undocumented start, Flag#1); C DiCerbo B2 from G Knauss mid-AB through B3 (documented play#16 embedded); D Nelson B4 plays#36-38 (entry inferred, Flag#2); T Kane B4 mid-M Melhuish AB onward (documented play#39). All 4 LBRT runs in Top 3rd (C Starcher allows all). CR E Laprise for C Lease (B2 play#13-seq) — E Laprise scores; R credited to C Lease per CR convention. C DiCerbo (LBRT) two-way player (Flag#6); D Nelson (LBRT) two-way player (Flag#2). D McGarity/B Knight/J Hebert substitution chain anomaly T5 (Flags#4+#5). RBI advisory: LBRT RBI=3, R=4 (C DiCerbo scored on E, play#24); GLNL RBI=2, R=3 (G Knauss scored on M Melhuish E reach, play#18).</t>
        </is>
      </c>
    </row>
    <row r="19">
      <c r="A19" t="inlineStr">
        <is>
          <t>2026-03-21_GLNL_at_MRRT</t>
        </is>
      </c>
      <c r="B19" s="10" t="n">
        <v>46102</v>
      </c>
      <c r="C19" t="inlineStr">
        <is>
          <t>In-Season Game</t>
        </is>
      </c>
      <c r="D19" t="inlineStr">
        <is>
          <t>GLNL</t>
        </is>
      </c>
      <c r="E19" t="inlineStr">
        <is>
          <t>GLNL</t>
        </is>
      </c>
      <c r="F19" t="inlineStr">
        <is>
          <t>MRRT</t>
        </is>
      </c>
      <c r="G19" t="n">
        <v>5</v>
      </c>
      <c r="H19" t="inlineStr">
        <is>
          <t>GLNL_Game_19.md</t>
        </is>
      </c>
      <c r="I19" t="n">
        <v>0</v>
      </c>
      <c r="J19" t="n">
        <v>1</v>
      </c>
      <c r="K19" t="n">
        <v>2</v>
      </c>
      <c r="L19" t="n">
        <v>10</v>
      </c>
      <c r="M19" t="n">
        <v>7</v>
      </c>
      <c r="N19" t="n">
        <v>1</v>
      </c>
      <c r="O19" t="n">
        <v>8</v>
      </c>
      <c r="P19" t="inlineStr">
        <is>
          <t>MRRT win 10-0, 5 innings (apparent mercy rule — game ends mid-Bottom 5th, play#48, M Delmonte scores on WP for 10th run, Flag#2). All 10 MRRT runs: B2(1), B3(3), B5(6). GLNL pitchers: J Miles B1-B3 (undocumented start, Flag#1); M Kirk B4-B5 through J Yeich walk (documented play#30); C Starcher B5 from M Delmonte mid-AB onward (documented play#47 embedded). MRRT pitchers: anonymous unnamed starter threw 5 pitches to A Baker T1 before S Thomas entered mid-AB (play#1 seq) — 0 outs/H/BB/K; no pitching row created for unnamed pitcher; A Baker K credited to S Thomas per mid-AB rule. S Thomas T1 mid-AB through G Knauss walk in T5; J Yeich T5 from A Baker mid-AB onward (documented play#38 seq). J Yeich two-way player pitcher+batter (Flag#7). E Laprise 'Batter Out (other)' T1 play#2 (Flag#3). J Devito FO with tag-up run not designated SAC (Flag#4); J Devito RBI credited per productive out rule. Flag#5: M Delmonte SB+E same embedded sequence (O Snow AB B4). Flag#6: A Devito unspecified adv to 3B play#46. RBI advisory: MRRT RBI=9, R=10 (1-run gap — M Delmonte scored on WP, play#48).</t>
        </is>
      </c>
    </row>
    <row r="20">
      <c r="A20" t="inlineStr">
        <is>
          <t>2026-03-23_GLNL_at_HWRD</t>
        </is>
      </c>
      <c r="B20" s="10" t="n">
        <v>46104</v>
      </c>
      <c r="C20" t="inlineStr">
        <is>
          <t>In-Season Game</t>
        </is>
      </c>
      <c r="D20" t="inlineStr">
        <is>
          <t>GLNL</t>
        </is>
      </c>
      <c r="E20" t="inlineStr">
        <is>
          <t>GLNL</t>
        </is>
      </c>
      <c r="F20" t="inlineStr">
        <is>
          <t>HWRD</t>
        </is>
      </c>
      <c r="G20" t="n">
        <v>5</v>
      </c>
      <c r="H20" t="inlineStr">
        <is>
          <t>GLNL_Game_20.md</t>
        </is>
      </c>
      <c r="I20" t="n">
        <v>10</v>
      </c>
      <c r="J20" t="n">
        <v>11</v>
      </c>
      <c r="K20" t="n">
        <v>1</v>
      </c>
      <c r="L20" t="n">
        <v>1</v>
      </c>
      <c r="M20" t="n">
        <v>3</v>
      </c>
      <c r="N20" t="n">
        <v>3</v>
      </c>
      <c r="O20" t="n">
        <v>9</v>
      </c>
      <c r="P20" t="inlineStr">
        <is>
          <t>GLNL win 10-1, 5 innings (apparent mercy rule, Flag#2). All GLNL runs: T1(1), T2(1), T3(7), T4(1). GLNL pitchers: B Conlon B1-B4 through N Hegedus 1B (undocumented start, Flag#1); N Cohen B4 from C Parise AB onward (documented play#45). HWRD pitchers: D Heim T1-T3 (documented play#1 seq); C Hudson T4-T5 (T4 entry inferred from Flag#4 + play#35 — D Heim at 3B; T5 confirmed play#47/50). B Conlon GLNL two-way pitcher+batter. D Heim + C Hudson HWRD two-way players. CR J Jones for B Conlon at 3B T3 ('(Play Edit)' scorer correction, Flag#3); J Jones scores on G Knauss HBP; R credited to B Conlon per CR convention; B Conlon continues batting (play#29). CR C Starcher for G Knauss T3 (play#24); C Starcher scores on C Brown 2B (play#25); R credited to G Knauss per CR. 2 SBs by M Melhuish embedded play#2 T1 (Flag#7). Two HWRD errors on single AB (play#2, C Gerber-Lombardi+D Heim, Flag#5). M Beares enters T4 without lineup note (Flag#11); C Hudson to pitcher T4 without lineup note (Flag#4). Z Blair mid-AB sub for A Proescher B5 (Flag#15). B Burckhardt at 1B B5 without lineup note (Flag#14). G Melhuish mid-AB entry T5 (play#49 seq). RBI advisory: GLNL RBI=9, R=10 (1-run gap — M Melhuish T1 scored on E reach by A Baker, no RBI).</t>
        </is>
      </c>
    </row>
    <row r="21">
      <c r="A21" t="inlineStr">
        <is>
          <t>2026-03-30_SHRW_at_GLNL</t>
        </is>
      </c>
      <c r="B21" s="10" t="n">
        <v>46111</v>
      </c>
      <c r="C21" t="inlineStr">
        <is>
          <t>In-Season Game</t>
        </is>
      </c>
      <c r="D21" t="inlineStr">
        <is>
          <t>GLNL</t>
        </is>
      </c>
      <c r="E21" t="inlineStr">
        <is>
          <t>SHRW</t>
        </is>
      </c>
      <c r="F21" t="inlineStr">
        <is>
          <t>GLNL</t>
        </is>
      </c>
      <c r="G21" t="n">
        <v>7</v>
      </c>
      <c r="H21" t="inlineStr">
        <is>
          <t>GLNL_Game_22.md</t>
        </is>
      </c>
      <c r="I21" t="n">
        <v>3</v>
      </c>
      <c r="J21" t="n">
        <v>4</v>
      </c>
      <c r="K21" t="n">
        <v>2</v>
      </c>
      <c r="L21" t="n">
        <v>0</v>
      </c>
      <c r="M21" t="n">
        <v>2</v>
      </c>
      <c r="N21" t="n">
        <v>1</v>
      </c>
      <c r="O21" t="n">
        <v>7</v>
      </c>
      <c r="P21" t="inlineStr">
        <is>
          <t>SHRW win 3-0, 7 innings complete. GLNL pitchers: J Miles T1-T6 through C Flickinger FO (documented play#1 seq); B Conlon T6 play#42 only (undocumented entry from RF, Flag#1); M Shriner T7 (documented play#47 seq). SHRW pitchers: L Gisriel B1-B6 (documented play#5 seq); C Crismond B7 (documented play#53 seq). CR J Hall for C Jagannathan (Top 6th, play#40 seq) — J Hall scores on J Berger 2B; R credited to C Jagannathan per CR convention. PR M Cheng for J Sarita (Top 7th, play#52 seq) — no run scored. 3 foul-tip Ks (plays#29,#38,#42, Flag#4); dropped 3rd J Bender reaches (play#19, PB, Flag#3); dropped 3rd J Berger out (play#25, Flag#3). A Jenkins bunt out as 'Ground Out' not SAC (play#31, Flag#5). J Bender 2 SBs in one AB (play#38 embedded, Flag#6). J Miles WP x2 (play#33 T5 + play#40 T6). Top 8th J Berger no outcome (Flag#2) — not counted as PA. RBI advisory: SHRW RBI=2, R=3 (1-run gap — C Calandro scored on WP play#33).</t>
        </is>
      </c>
    </row>
    <row r="22">
      <c r="A22" t="inlineStr">
        <is>
          <t>2026-03-31_GLNL_at_ATHL</t>
        </is>
      </c>
      <c r="B22" s="10" t="n">
        <v>46112</v>
      </c>
      <c r="C22" t="inlineStr">
        <is>
          <t>In-Season Game</t>
        </is>
      </c>
      <c r="D22" t="inlineStr">
        <is>
          <t>GLNL</t>
        </is>
      </c>
      <c r="E22" t="inlineStr">
        <is>
          <t>GLNL</t>
        </is>
      </c>
      <c r="F22" t="inlineStr">
        <is>
          <t>ATHL</t>
        </is>
      </c>
      <c r="G22" t="n">
        <v>7</v>
      </c>
      <c r="H22" t="inlineStr">
        <is>
          <t>GLNL_Game_23.md</t>
        </is>
      </c>
      <c r="I22" t="n">
        <v>6</v>
      </c>
      <c r="J22" t="n">
        <v>3</v>
      </c>
      <c r="K22" t="n">
        <v>0</v>
      </c>
      <c r="L22" t="n">
        <v>0</v>
      </c>
      <c r="M22" t="n">
        <v>2</v>
      </c>
      <c r="N22" t="n">
        <v>3</v>
      </c>
      <c r="O22" t="n">
        <v>8</v>
      </c>
      <c r="P22" t="inlineStr">
        <is>
          <t>GLNL win 6-0, 7 innings complete. GLNL pitchers: B Conlon B1-B7 play#57 (undocumented start, Flag#1); M Kirk B7 from N Brewer onward (documented play#58; duplicate lineup entry play#59, Flag#3). ATHL pitchers: L Byrns T1-T5 through A Baker FC (documented play#1 seq, 2 WP); J Bott T5 from A Nazelrod AB onward (documented play#38 seq, 2 WP); T MacKenzie T7 (inferred from play#54, Flag#12). CR P Moreau for G Melhuish (T6 play#46 seq) — P Moreau scores on WP (play#48); R credited to G Melhuish per CR. B Conlon IBW (only IBW in series, Flag#5). J Martin 2 SBs in one AB (play#6 embedded, Flag#6). Dropped 3rd K WP G Melhuish (play#13, Flag#7); dropped 3rd K PB S Tong (play#34, Flag#7). S Tong fly-into-DP (play#48, Flag#4); GDP=1 per rules. Play#37 FC+E: C Lease out; B Conlon+S Tong score on J Martin E — no RBI for A Baker (Flag#11). Top 8th J Miles no outcome (Flag#2) — not counted as PA. RBI advisory: GLNL RBI=1, R=6 (5-run gap: WP play#13, errors play#37×2, error play#38, WP play#48).</t>
        </is>
      </c>
    </row>
    <row r="23">
      <c r="A23" t="inlineStr">
        <is>
          <t>2026-03-07_HNTN_at_LNGR</t>
        </is>
      </c>
      <c r="B23" s="10" t="n">
        <v>46088</v>
      </c>
      <c r="C23" t="inlineStr">
        <is>
          <t>In-Season Game</t>
        </is>
      </c>
      <c r="D23" t="inlineStr">
        <is>
          <t>HNTN</t>
        </is>
      </c>
      <c r="E23" t="inlineStr">
        <is>
          <t>HNTN</t>
        </is>
      </c>
      <c r="F23" t="inlineStr">
        <is>
          <t>LNGR</t>
        </is>
      </c>
      <c r="G23" t="n">
        <v>6</v>
      </c>
      <c r="H23" t="inlineStr">
        <is>
          <t>HNTN_Game_1.md</t>
        </is>
      </c>
      <c r="I23" t="n">
        <v>15</v>
      </c>
      <c r="J23" t="n">
        <v>14</v>
      </c>
      <c r="K23" t="n">
        <v>2</v>
      </c>
      <c r="L23" t="n">
        <v>3</v>
      </c>
      <c r="M23" t="n">
        <v>4</v>
      </c>
      <c r="N23" t="n">
        <v>1</v>
      </c>
      <c r="O23" t="n">
        <v>13</v>
      </c>
      <c r="P23" t="inlineStr">
        <is>
          <t>HNTN wins 15–3, 6 innings (possible mercy rule, Flag #16). CRs: E Elliott for R Bolger (T1, T4) — T1 R credited to R Bolger; T4 CS credited to R Bolger. J Fields for B Marlowe (T4) — R credited to B Marlowe. LNGR_#16 for LNGR_#2 (B3, no R scored). LNGR pitching at T4 (#17) and T6 (#15) inferred from play descriptions (Flags #5, #6). R Gaetano T4 run via unspecified mechanism not credited as RBI (Flag #13).</t>
        </is>
      </c>
    </row>
    <row r="24">
      <c r="A24" t="inlineStr">
        <is>
          <t>2026-03-14_KNTS_at_HNTN</t>
        </is>
      </c>
      <c r="B24" s="10" t="n">
        <v>46095</v>
      </c>
      <c r="C24" t="inlineStr">
        <is>
          <t>In-Season Game</t>
        </is>
      </c>
      <c r="D24" t="inlineStr">
        <is>
          <t>HNTN</t>
        </is>
      </c>
      <c r="E24" t="inlineStr">
        <is>
          <t>KNTS</t>
        </is>
      </c>
      <c r="F24" t="inlineStr">
        <is>
          <t>HNTN</t>
        </is>
      </c>
      <c r="G24" t="n">
        <v>6</v>
      </c>
      <c r="H24" t="inlineStr">
        <is>
          <t>HNTN_Game_2.md</t>
        </is>
      </c>
      <c r="I24" t="n">
        <v>11</v>
      </c>
      <c r="J24" t="n">
        <v>10</v>
      </c>
      <c r="K24" t="n">
        <v>3</v>
      </c>
      <c r="L24" t="n">
        <v>6</v>
      </c>
      <c r="M24" t="n">
        <v>7</v>
      </c>
      <c r="N24" t="n">
        <v>1</v>
      </c>
      <c r="O24" t="n">
        <v>14</v>
      </c>
      <c r="P24" t="inlineStr">
        <is>
          <t>KNTS wins 11–6, 6 innings (possible mercy rule, Flag #17). 14 data integrity flags. KNTS starting pitcher identity unknown (Flag #5). J Hann pitching T6 inferred — no 'Lineup changed' logged (Flag #6). CR E Elliott in for R Gaetano B5 (play #51) — E Elliott out in DP (T Burghard GDP), no R for R Gaetano. J Laur PH for J Walter B6 (play #63, Flag #11). HNTN RBI=4 vs R=6: 2 diff — N McMurray scores on error (play #18), J Hann on WP (play #20). KNTS RBI=9 vs R=11: 2 diff — PB runs plays #45, #49.</t>
        </is>
      </c>
    </row>
    <row r="25">
      <c r="A25" t="inlineStr">
        <is>
          <t>2026-03-14_HNTN_at_STHR</t>
        </is>
      </c>
      <c r="B25" s="10" t="n">
        <v>46095</v>
      </c>
      <c r="C25" t="inlineStr">
        <is>
          <t>In-Season Game</t>
        </is>
      </c>
      <c r="D25" t="inlineStr">
        <is>
          <t>HNTN</t>
        </is>
      </c>
      <c r="E25" t="inlineStr">
        <is>
          <t>HNTN</t>
        </is>
      </c>
      <c r="F25" t="inlineStr">
        <is>
          <t>STHR</t>
        </is>
      </c>
      <c r="G25" t="n">
        <v>7</v>
      </c>
      <c r="H25" t="inlineStr">
        <is>
          <t>HNTN_Game_3.md</t>
        </is>
      </c>
      <c r="I25" t="n">
        <v>15</v>
      </c>
      <c r="J25" t="n">
        <v>18</v>
      </c>
      <c r="K25" t="n">
        <v>1</v>
      </c>
      <c r="L25" t="n">
        <v>0</v>
      </c>
      <c r="M25" t="n">
        <v>8</v>
      </c>
      <c r="N25" t="n">
        <v>5</v>
      </c>
      <c r="O25" t="n">
        <v>12</v>
      </c>
      <c r="P25" t="inlineStr">
        <is>
          <t>HNTN wins 15–0, 7 innings (possible mercy rule, Flag #15). 12 data integrity flags. STHR pitching entirely undocumented — single row STHR_SP_Unknown, indeterminate if 1 or multiple pitchers used (Flag #5). CRs: L Bennett for R Bolger T4 — out at home DP play #35, no R for R Bolger T4; G Grimes for R Bolger T6 — R credited to R Bolger play #52; J Fields for R Bolger T7 — R credited to R Bolger play #69; J Fields for J Cadden T6 — R credited to J Cadden play #55. T Burghard mid-AB PH for J Hann T7 play #66 (Flag #7). J Laur pitches B4–B5 and bats in R Kessler slot T6 (Flag #6). HNTN RBI=10 vs R=15 — 5 diff: J Walter scores on SS error play #31; J Laur ×2 on SS error plays #51, #65; J Hann T3 tags up on PO (not SAC fly outcome); J Hann T6 ambiguous single vs. catcher error (Flag #13).</t>
        </is>
      </c>
    </row>
    <row r="26">
      <c r="A26" t="inlineStr">
        <is>
          <t>2026-03-18_NRTH_at_HNTN</t>
        </is>
      </c>
      <c r="B26" s="10" t="n">
        <v>46099</v>
      </c>
      <c r="C26" t="inlineStr">
        <is>
          <t>In-Season Game</t>
        </is>
      </c>
      <c r="D26" t="inlineStr">
        <is>
          <t>HNTN</t>
        </is>
      </c>
      <c r="E26" t="inlineStr">
        <is>
          <t>NRTH</t>
        </is>
      </c>
      <c r="F26" t="inlineStr">
        <is>
          <t>HNTN</t>
        </is>
      </c>
      <c r="G26" t="n">
        <v>7</v>
      </c>
      <c r="H26" t="inlineStr">
        <is>
          <t>HNTN_Game_4.md</t>
        </is>
      </c>
      <c r="I26" t="n">
        <v>7</v>
      </c>
      <c r="J26" t="n">
        <v>9</v>
      </c>
      <c r="K26" t="n">
        <v>2</v>
      </c>
      <c r="L26" t="n">
        <v>9</v>
      </c>
      <c r="M26" t="n">
        <v>7</v>
      </c>
      <c r="N26" t="n">
        <v>4</v>
      </c>
      <c r="O26" t="n">
        <v>14</v>
      </c>
      <c r="P26" t="inlineStr">
        <is>
          <t>HNTN wins 9–7; HNTN did not bat in Bot 7th (home team leading — X in line score, Flag #4). 14 data integrity flags. NRTH starting pitcher #8 entry undocumented (Flag #5). HNTN pitching transitions (T Burghard→J Fields and J Fields→L Bennett) non-standard notation (Flag #6). NRTH #16 pitches B6 without logged entry (Flag #7). CR J Walter for R Bolger B4 play #39 — J Walter's R credited to R Bolger. CR C Wargo for J Cadden B6 play #57 — C Wargo R and SB credited to J Cadden; C Wargo (CR) scores on catcher error (no RBI per error rule). C Wargo steals 2nd and home in own batting slot B2 play #19 (Flags #11, #12). T Burghard PH for J Hann B6 (takes slot 2). L Montgomery bats B5 in apparent C Wargo slot with no logged substitution. G6 reflects 6 HNTN innings (18 outs) — HNTN did not bat in Bot 7th. HNTN RBI=7 vs R=9: diff=2 (C Wargo steal of home, C Wargo CR scores on error). NRTH RBI=6 vs R=7: diff=1 (#13 scores on J Cadden SS error play #51).</t>
        </is>
      </c>
    </row>
    <row r="27">
      <c r="A27" t="inlineStr">
        <is>
          <t>2026-03-20_CLVR_at_HNTN</t>
        </is>
      </c>
      <c r="B27" s="10" t="n">
        <v>46101</v>
      </c>
      <c r="C27" t="inlineStr">
        <is>
          <t>In-Season Game</t>
        </is>
      </c>
      <c r="D27" t="inlineStr">
        <is>
          <t>HNTN</t>
        </is>
      </c>
      <c r="E27" t="inlineStr">
        <is>
          <t>CLVR</t>
        </is>
      </c>
      <c r="F27" t="inlineStr">
        <is>
          <t>HNTN</t>
        </is>
      </c>
      <c r="G27" t="n">
        <v>7</v>
      </c>
      <c r="H27" t="inlineStr">
        <is>
          <t>HNTN_Game_5.md</t>
        </is>
      </c>
      <c r="I27" t="n">
        <v>0</v>
      </c>
      <c r="J27" t="n">
        <v>3</v>
      </c>
      <c r="K27" t="n">
        <v>2</v>
      </c>
      <c r="L27" t="n">
        <v>4</v>
      </c>
      <c r="M27" t="n">
        <v>3</v>
      </c>
      <c r="N27" t="n">
        <v>1</v>
      </c>
      <c r="O27" t="n">
        <v>14</v>
      </c>
      <c r="P27" t="inlineStr">
        <is>
          <t>HNTN wins 4–0, 7 innings; HNTN did not bat in Bot 7th (home team leading — X in line score, Flag #4). 14 data integrity flags. CLVR starting pitcher J Lee entry undocumented (Flag #5). J Laur pitches T6–T7 without logged entry (Flag #6). J Leichtweis pitches B6 without logged entry (Flag #7). Circular substitution B4: T Burghard PH for J Laur (walks), J Laur re-enters as PR for T Burghard (Flag #8). CRs: L Bennett for R Bolger B1 play #9 — L Bennett's R credited to R Bolger; L Montgomery for N McMurray B1 play #9 — L Montgomery's R credited to N McMurray (scores on WP play #10). C Wargo steals 2nd/3rd/home B2 plays #17–18 (Flags #10, #11). WPs: J Lee 2 (plays #6, #10; Flag #13 — R Gaetano advances 1st→3rd on single WP); J Leichtweis 3 (play #46 ×2, play #47; Flags #14, #15). G6 reflects 6 HNTN innings (18 outs). HNTN RBI=1 vs R=4: diff=3 (WP, steal of home, catcher error — no RBI on any).</t>
        </is>
      </c>
    </row>
    <row r="28">
      <c r="A28" t="inlineStr">
        <is>
          <t>2026-03-23_PTXN_at_HNTN</t>
        </is>
      </c>
      <c r="B28" s="10" t="n">
        <v>46104</v>
      </c>
      <c r="C28" t="inlineStr">
        <is>
          <t>In-Season Game</t>
        </is>
      </c>
      <c r="D28" t="inlineStr">
        <is>
          <t>HNTN</t>
        </is>
      </c>
      <c r="E28" t="inlineStr">
        <is>
          <t>PTXN</t>
        </is>
      </c>
      <c r="F28" t="inlineStr">
        <is>
          <t>HNTN</t>
        </is>
      </c>
      <c r="G28" t="n">
        <v>7</v>
      </c>
      <c r="H28" t="inlineStr">
        <is>
          <t>HNTN_Game_6.md</t>
        </is>
      </c>
      <c r="I28" t="n">
        <v>4</v>
      </c>
      <c r="J28" t="n">
        <v>8</v>
      </c>
      <c r="K28" t="n">
        <v>2</v>
      </c>
      <c r="L28" t="n">
        <v>5</v>
      </c>
      <c r="M28" t="n">
        <v>10</v>
      </c>
      <c r="N28" t="n">
        <v>1</v>
      </c>
      <c r="O28" t="n">
        <v>13</v>
      </c>
      <c r="P28" t="inlineStr">
        <is>
          <t>HNTN wins 5–4 (walk-off single R Bolger B6 play #58, Flag #13). HNTN did not bat in Bot 7th (home team leading — X in line score, Flag #4). 13 data integrity flags. R Kessler→J Fields non-standard notation (Flag #5). PTXN D Bradley→T Lakey and T Lakey→R Whitney undocumented transitions (Flag #6). B Cowan CS at home T1 play #4 embedded (Flag #7). CR R Hawkins for D Bradley T4 play #35 — R Hawkins does not score (stranded at 3rd). CR L Montgomery for R Bolger B4 play #42 and B6 play #59 — L Montgomery does not score either time. C Wargo SB 3rd B2 play #18 embedded in N McMurray AB. First intentional walk in series (C Jones T7 play #64, Flag #14). PB play #10: J Cadden scores, J Hann advances — PB score only, no RBI for J Laur. G6 reflects 6 HNTN innings (18 outs). HNTN RBI=4 vs R=5: diff=1 (J Cadden scores on PB play #10). PTXN RBI=4 vs R=4: all runs accounted.</t>
        </is>
      </c>
    </row>
    <row r="29">
      <c r="A29" t="inlineStr">
        <is>
          <t>2026-03-25_MCDN_at_HNTN</t>
        </is>
      </c>
      <c r="B29" s="10" t="n">
        <v>46106</v>
      </c>
      <c r="C29" t="inlineStr">
        <is>
          <t>In-Season Game</t>
        </is>
      </c>
      <c r="D29" t="inlineStr">
        <is>
          <t>HNTN</t>
        </is>
      </c>
      <c r="E29" t="inlineStr">
        <is>
          <t>MCDN</t>
        </is>
      </c>
      <c r="F29" t="inlineStr">
        <is>
          <t>HNTN</t>
        </is>
      </c>
      <c r="G29" t="n">
        <v>7</v>
      </c>
      <c r="H29" t="inlineStr">
        <is>
          <t>HNTN_Game_7.md</t>
        </is>
      </c>
      <c r="I29" t="n">
        <v>4</v>
      </c>
      <c r="J29" t="n">
        <v>3</v>
      </c>
      <c r="K29" t="n">
        <v>3</v>
      </c>
      <c r="L29" t="n">
        <v>6</v>
      </c>
      <c r="M29" t="n">
        <v>10</v>
      </c>
      <c r="N29" t="n">
        <v>0</v>
      </c>
      <c r="O29" t="n">
        <v>14</v>
      </c>
      <c r="P29" t="inlineStr">
        <is>
          <t>HNTN wins 6–4; HNTN did not bat in Bot 7th (home team leading — X, Flag #4). 14 data integrity flags. T Burghard→L Bennett non-standard notation (Flag #5); L Bennett→J Laur undocumented (Flag #7). MCDN #20→#18 non-standard notation (Flag #5); #18→#21 undocumented (Flag #6). CR G Grimes for R Bolger B2 play #26 — G Grimes does not score. CR E Elliott for J Laur B5 play #59 and for N McMurray B6 play #69 — E Elliott out at home on R Gaetano FC B6 play #70. MCDN CR #14 for #10 T6 play #62 — #14 scores on #16 GO play #65, R credited to #10 (Flag #15). J Hann foul bunt strikeout B5 play #58 (K_S, Flag #14). N McMurray SBs play #37 and #68; C Wargo SB play #49; R Kessler SB play #49; J Cadden SB play #70. G6 reflects 6 HNTN innings (18 outs). HNTN RBI=5 vs R=6: diff=1 (C Wargo scores on MCDN error play #49 — no RBI). MCDN RBI=3 vs R=4: diff=1 (#3 scores on WP T2 — no RBI).</t>
        </is>
      </c>
    </row>
    <row r="30">
      <c r="A30" t="inlineStr">
        <is>
          <t>2026-03-30_CHPT_at_HNTN</t>
        </is>
      </c>
      <c r="B30" s="10" t="n">
        <v>46111</v>
      </c>
      <c r="C30" t="inlineStr">
        <is>
          <t>In-Season Game</t>
        </is>
      </c>
      <c r="D30" t="inlineStr">
        <is>
          <t>HNTN</t>
        </is>
      </c>
      <c r="E30" t="inlineStr">
        <is>
          <t>CHPT</t>
        </is>
      </c>
      <c r="F30" t="inlineStr">
        <is>
          <t>HNTN</t>
        </is>
      </c>
      <c r="G30" t="n">
        <v>6</v>
      </c>
      <c r="H30" t="inlineStr">
        <is>
          <t>HNTN_Game_8.md</t>
        </is>
      </c>
      <c r="I30" t="n">
        <v>2</v>
      </c>
      <c r="J30" t="n">
        <v>6</v>
      </c>
      <c r="K30" t="n">
        <v>3</v>
      </c>
      <c r="L30" t="n">
        <v>12</v>
      </c>
      <c r="M30" t="n">
        <v>14</v>
      </c>
      <c r="N30" t="n">
        <v>0</v>
      </c>
      <c r="O30" t="n">
        <v>14</v>
      </c>
      <c r="P30" t="inlineStr">
        <is>
          <t>HNTN wins 12–2 in 6 innings (mercy rule likely — Flag #4); HNTN Bot 6th incomplete (game ended with J Hann at bat, 2 outs, play #65). 14 data integrity flags. N McMurray 3 HRs in 3 consecutive ABs plays #25, #41, #58 (7 RBI total, Flag #11). CR R Kessler for N McMurray B1 play #9 — R Kessler stranded at 3rd, N McMurray continues batting (Flag #12). Mid-AB subs: T Burghard for G Grimes B5 play #49 (count 2-1); J Walter for B Marlowe B6 play #62 (Flag #10). CHPT CRs: #7 for #11 T2 play #15 (picked off by N McMurray, Runner Out, Flag #6); #13 for #9 T4 play #31 and T6 play #52 (Flag #13). CHPT pitching: #11 B1–B4 partial (exits before play #40) → #15 B4 partial–B6 partial (exits before play #60) → #13 B6 partial (play #60 onward; Flag #14). CHPT RF and CF errors unnamed (Flag #9) — CHPT_RF_Unknown, CHPT_CF_Unknown keys used. G6 walk-off formula: 6×3 − (3−2) = 17 outs. HNTN RBI=11 vs R=12: diff=1 (J Laur scores on CHPT SS #6 error play #63 embedded — no RBI).</t>
        </is>
      </c>
    </row>
    <row r="31">
      <c r="A31" t="inlineStr">
        <is>
          <t>2026-04-01_RVRH_at_NRTH</t>
        </is>
      </c>
      <c r="B31" s="10" t="n">
        <v>46113</v>
      </c>
      <c r="C31" t="inlineStr">
        <is>
          <t>Scrimmage</t>
        </is>
      </c>
      <c r="D31" t="inlineStr">
        <is>
          <t>RVRH</t>
        </is>
      </c>
      <c r="E31" t="inlineStr">
        <is>
          <t>RVRH</t>
        </is>
      </c>
      <c r="F31" t="inlineStr">
        <is>
          <t>NRTH</t>
        </is>
      </c>
      <c r="G31" t="n">
        <v>7</v>
      </c>
      <c r="H31" t="inlineStr">
        <is>
          <t>RVRH_Game_1.md</t>
        </is>
      </c>
      <c r="I31" t="n">
        <v>6</v>
      </c>
      <c r="J31" t="n">
        <v>9</v>
      </c>
      <c r="K31" t="n">
        <v>1</v>
      </c>
      <c r="L31" t="n">
        <v>4</v>
      </c>
      <c r="M31" t="n">
        <v>3</v>
      </c>
      <c r="N31" t="n">
        <v>2</v>
      </c>
      <c r="O31" t="n">
        <v>5</v>
      </c>
      <c r="P31" t="inlineStr">
        <is>
          <t>RVRH win 6-4, away scrimmage vs. North Point. 7 innings. Courtesy runner C McClellan for G Dang (T1 play #7, T3 play #26). Undocumented pitching transitions: R Walsh B1 entry (Flag #1), E McCoy B4 entry (Flag #2). J Norwood scores on steal of home T3 (embedded play #25) — no RBI awarded. 5 data integrity flags in source log.</t>
        </is>
      </c>
    </row>
    <row r="32">
      <c r="A32" t="inlineStr">
        <is>
          <t>2026-04-01_OLDM_at_RVRH</t>
        </is>
      </c>
      <c r="B32" s="10" t="n">
        <v>46113</v>
      </c>
      <c r="C32" t="inlineStr">
        <is>
          <t>Scrimmage</t>
        </is>
      </c>
      <c r="D32" t="inlineStr">
        <is>
          <t>RVRH</t>
        </is>
      </c>
      <c r="E32" t="inlineStr">
        <is>
          <t>OLDM</t>
        </is>
      </c>
      <c r="F32" t="inlineStr">
        <is>
          <t>RVRH</t>
        </is>
      </c>
      <c r="G32" t="n">
        <v>7</v>
      </c>
      <c r="H32" t="inlineStr">
        <is>
          <t>RVRH_Game_2.md</t>
        </is>
      </c>
      <c r="I32" t="n">
        <v>13</v>
      </c>
      <c r="J32" t="n">
        <v>10</v>
      </c>
      <c r="K32" t="n">
        <v>1</v>
      </c>
      <c r="L32" t="n">
        <v>10</v>
      </c>
      <c r="M32" t="n">
        <v>10</v>
      </c>
      <c r="N32" t="n">
        <v>2</v>
      </c>
      <c r="O32" t="n">
        <v>10</v>
      </c>
      <c r="P32" t="inlineStr">
        <is>
          <t>RVRH loss 10-13, home scrimmage vs. Old Mill. 7 innings. Courtesy runner E Skolkin for H Zhang (B3 play #25). Pinch runners A Jensen (for B Mougey B6, play #58) and J Wilbon (for C Hairston T6, play #54) treated as standard subs — R credited to each. Undocumented pitching transitions: T Martini OLDM B1 (Flag #1), T Richmond OLDM B6 (Flag #2), J Norwood RVRH T7 (Flag #3), C Nichols RVRH T7 (Flag #4), C Koreck OLDM B7 (Flag #5), B Rzepkoski OLDM B7 (Flag #6). S Perron potential illegal re-entry T7 (Flag #8). RVRH RBI=9 vs R=10 — 1-run gap is A Fields scoring on WP (play #81, no RBI). 10 data integrity flags in source log.</t>
        </is>
      </c>
    </row>
    <row r="33">
      <c r="A33" t="inlineStr">
        <is>
          <t>2026-03-31_DMSC_at_HWRD</t>
        </is>
      </c>
      <c r="B33" s="10" t="n">
        <v>46112</v>
      </c>
      <c r="C33" t="inlineStr">
        <is>
          <t>In-Season Game</t>
        </is>
      </c>
      <c r="D33" t="inlineStr">
        <is>
          <t>HWRD</t>
        </is>
      </c>
      <c r="E33" t="inlineStr">
        <is>
          <t>DMSC</t>
        </is>
      </c>
      <c r="F33" t="inlineStr">
        <is>
          <t>HWRD</t>
        </is>
      </c>
      <c r="G33" t="n">
        <v>6</v>
      </c>
      <c r="H33" t="inlineStr">
        <is>
          <t>Screenshot_2026-04-04_at_12_47_25_PM.png; Screenshot_2026-04-04_at_12_47_31_PM.png</t>
        </is>
      </c>
      <c r="I33" t="n">
        <v>12</v>
      </c>
      <c r="J33" t="n">
        <v>10</v>
      </c>
      <c r="K33" t="n">
        <v>1</v>
      </c>
      <c r="L33" t="n">
        <v>0</v>
      </c>
      <c r="M33" t="n">
        <v>2</v>
      </c>
      <c r="N33" t="n">
        <v>5</v>
      </c>
      <c r="O33" t="n">
        <v>0</v>
      </c>
      <c r="P33" t="inlineStr">
        <is>
          <t>DMSC win 12-0, 6 innings, In-Season Game. Damascus Varsity Hornets at Howard Varsity Lions. Data_Tier=2. HWRD pitcher ER sum discrepancy: individual ERs sum to 9 (2+2+4+1) vs team total of 8 — Carter Hudson ER OCR read as 4 [AMBIGUOUS; may be 3]. HBP batter: G Iorio (DMSC) hit by A Proescher (HWRD). HWRD 5 errors attributed to D Alves (x2), C Hudson, Max Parise, Thomas Estrada. [AMBIGUOUS] "Holden #21 (SS)" — single name only; last name not captured in box score.</t>
        </is>
      </c>
    </row>
    <row r="34">
      <c r="A34" t="inlineStr">
        <is>
          <t>2026-03-21_HWRD_at_HMMN</t>
        </is>
      </c>
      <c r="B34" s="10" t="n">
        <v>46102</v>
      </c>
      <c r="C34" t="inlineStr">
        <is>
          <t>In-Season Game</t>
        </is>
      </c>
      <c r="D34" t="inlineStr">
        <is>
          <t>HWRD</t>
        </is>
      </c>
      <c r="E34" t="inlineStr">
        <is>
          <t>HWRD</t>
        </is>
      </c>
      <c r="F34" t="inlineStr">
        <is>
          <t>HMMN</t>
        </is>
      </c>
      <c r="G34" t="n">
        <v>7</v>
      </c>
      <c r="H34" t="inlineStr">
        <is>
          <t>Screenshot_2026-04-04_at_11_29_39_AM.png; Screenshot_2026-04-04_at_11_30_08_AM.png</t>
        </is>
      </c>
      <c r="I34" t="n">
        <v>8</v>
      </c>
      <c r="J34" t="n">
        <v>7</v>
      </c>
      <c r="K34" t="n">
        <v>4</v>
      </c>
      <c r="L34" t="n">
        <v>2</v>
      </c>
      <c r="M34" t="n">
        <v>2</v>
      </c>
      <c r="N34" t="n">
        <v>5</v>
      </c>
      <c r="O34" t="n">
        <v>0</v>
      </c>
      <c r="P34" t="inlineStr">
        <is>
          <t>HWRD win 8-2, 7 innings, In-Season Game. Howard Varsity Lions (Away) at Hammond Varsity Bears (Home). Data_Tier=2. [AMBIGUOUS] Thomas Estrada (HWRD) in SB line but not in batting table — SB not attributed to any row. B Giangrasso ER=0 vs R_Allowed=2 (2 unearned). C Stryker ER=2 vs R_Allowed=5 (3 unearned). G Garris ER=0 vs R_Allowed=1 (1 unearned). HWRD 4 errors: Creighton Lombardi-Gerber (x3), D Alves. HMMN 5 errors: Y Rivera (x3), G Draminski, L Tordella. L Duckworth (HMMN) AB=0 R=1 SB=1 — credited as pinch runner/courtesy runner.</t>
        </is>
      </c>
    </row>
    <row r="35">
      <c r="A35" t="inlineStr">
        <is>
          <t>2026-03-31_HWRD_at_CRFT</t>
        </is>
      </c>
      <c r="B35" s="10" t="n">
        <v>46112</v>
      </c>
      <c r="C35" t="inlineStr">
        <is>
          <t>In-Season Game</t>
        </is>
      </c>
      <c r="D35" t="inlineStr">
        <is>
          <t>HWRD</t>
        </is>
      </c>
      <c r="E35" t="inlineStr">
        <is>
          <t>HWRD</t>
        </is>
      </c>
      <c r="F35" t="inlineStr">
        <is>
          <t>CRFT</t>
        </is>
      </c>
      <c r="G35" t="n">
        <v>5</v>
      </c>
      <c r="H35" t="inlineStr">
        <is>
          <t>Screenshot_2026-04-04_at_12_46_48_PM.png; Screenshot_2026-04-04_at_12_46_53_PM.png</t>
        </is>
      </c>
      <c r="I35" t="n">
        <v>12</v>
      </c>
      <c r="J35" t="n">
        <v>10</v>
      </c>
      <c r="K35" t="n">
        <v>3</v>
      </c>
      <c r="L35" t="n">
        <v>11</v>
      </c>
      <c r="M35" t="n">
        <v>10</v>
      </c>
      <c r="N35" t="n">
        <v>1</v>
      </c>
      <c r="O35" t="n">
        <v>0</v>
      </c>
      <c r="P35" t="inlineStr">
        <is>
          <t>HWRD win 12-11, 5 innings. Howard Varsity Lions at Crofton Varsity Cardinals. Data_Tier=2. Same date as 2026-03-31_DMSC_at_HWRD (HWRD doubleheader — this game 11AM, other 1:30PM). CRFT_#10 ER=0, R_Allowed=5 (5 unearned runs). Z Blair ER=1, R_Allowed=2 (1 unearned run). Ryan Su H_Allowed corrected to 1 via team cross-check (OCR initially read R column as H). CRFT E=1 unattributed (no E line in CRFT batting notes). Advisory: CRFT BB individual sum=9 vs team=8 (1-player discrepancy); CRFT RBI individual sum=8 vs team=9 (CRFT_#10 SF likely not reflected in RBI column).</t>
        </is>
      </c>
    </row>
    <row r="36">
      <c r="A36" t="inlineStr">
        <is>
          <t>2026-03-30_HWRD_at_MRRT</t>
        </is>
      </c>
      <c r="B36" s="10" t="n">
        <v>46111</v>
      </c>
      <c r="C36" t="inlineStr">
        <is>
          <t>In-Season Game</t>
        </is>
      </c>
      <c r="D36" t="inlineStr">
        <is>
          <t>HWRD</t>
        </is>
      </c>
      <c r="E36" t="inlineStr">
        <is>
          <t>HWRD</t>
        </is>
      </c>
      <c r="F36" t="inlineStr">
        <is>
          <t>MRRT</t>
        </is>
      </c>
      <c r="G36" t="n">
        <v>5</v>
      </c>
      <c r="H36" t="inlineStr">
        <is>
          <t>Screenshot_2026-04-04_at_12_46_23_PM.png; Screenshot_2026-04-04_at_12_46_29_PM.png</t>
        </is>
      </c>
      <c r="I36" t="n">
        <v>3</v>
      </c>
      <c r="J36" t="n">
        <v>3</v>
      </c>
      <c r="K36" t="n">
        <v>5</v>
      </c>
      <c r="L36" t="n">
        <v>13</v>
      </c>
      <c r="M36" t="n">
        <v>3</v>
      </c>
      <c r="N36" t="n">
        <v>2</v>
      </c>
      <c r="O36" t="n">
        <v>0</v>
      </c>
      <c r="P36" t="inlineStr">
        <is>
          <t>MRRT win 13-3, 5 innings (mercy rule, B5). Howard Varsity Lions at Marriotts Ridge Varsity Mustangs. Data_Tier=2. HWRD committed 5 errors — heavily impacted unearned run total for MRRT. N Hegedus ER=2, R_Allowed=6 (4 unearned). D Heim ER=5, R_Allowed=6 (1 unearned). Gibson Martin IP=0.0, ER=0, R_Allowed=1 (1 unearned). O Snow ER=1, R_Allowed=3 (2 unearned). CS anomaly: Michael Delmonte (MRRT) in CS line but absent from batting table — likely pinch runner; CS not attributed to any batting row. Advisory: MRRT RBI individual sum=4 vs team=9 (SF RBIs for N Brown and J Devito likely not fully reflected in table; large discrepancy noted).</t>
        </is>
      </c>
    </row>
    <row r="37">
      <c r="A37" t="inlineStr">
        <is>
          <t>2026-03-23_CPPN_at_PLYV</t>
        </is>
      </c>
      <c r="B37" s="10" t="n">
        <v>46104</v>
      </c>
      <c r="C37" t="inlineStr">
        <is>
          <t>In-Season Game</t>
        </is>
      </c>
      <c r="D37" t="inlineStr">
        <is>
          <t>PLYV</t>
        </is>
      </c>
      <c r="E37" t="inlineStr">
        <is>
          <t>CPPN</t>
        </is>
      </c>
      <c r="F37" t="inlineStr">
        <is>
          <t>PLYV</t>
        </is>
      </c>
      <c r="G37" t="n">
        <v>5</v>
      </c>
      <c r="H37" t="inlineStr">
        <is>
          <t>Screenshot_2026-04-05_at_9_19_31_AM.png; Screenshot_2026-04-05_at_9_19_40_AM.png</t>
        </is>
      </c>
      <c r="I37" t="n">
        <v>0</v>
      </c>
      <c r="J37" t="n">
        <v>0</v>
      </c>
      <c r="K37" t="n">
        <v>3</v>
      </c>
      <c r="L37" t="n">
        <v>20</v>
      </c>
      <c r="M37" t="n">
        <v>3</v>
      </c>
      <c r="N37" t="n">
        <v>1</v>
      </c>
      <c r="O37" t="n">
        <v>0</v>
      </c>
      <c r="P37" t="inlineStr">
        <is>
          <t>PLYV win 20-0, 5 innings (mercy rule). Coppin Academy at Poly Varsity Engineers 2026. Data_Tier=2. [AMBIGUOUS] Individual PLYV R values for Hayden Flipovitz (OCR read 0 → corrected 2) and Zachariah Lawrence (OCR read 0 → corrected 1) adjusted via team total cross-check (initial tally 17 vs target 20). CPPN pitching individual ER sum=11 vs TEAM ER=9 (discrepancy of 2; ER not written to schema). Max Freeman threw complete-game shutout no-hitter: 5.0 IP, 0 H, 14 K, 1 BB, 3 WP. K Rice (L) recorded 0 outs with 7 WPs. Both teams new to repository.</t>
        </is>
      </c>
    </row>
    <row r="38">
      <c r="A38" t="inlineStr">
        <is>
          <t>2026-03-25_DGLS_at_PLYV</t>
        </is>
      </c>
      <c r="B38" s="10" t="n">
        <v>46106</v>
      </c>
      <c r="C38" t="inlineStr">
        <is>
          <t>In-Season Game</t>
        </is>
      </c>
      <c r="D38" t="inlineStr">
        <is>
          <t>PLYV</t>
        </is>
      </c>
      <c r="E38" t="inlineStr">
        <is>
          <t>DGLS</t>
        </is>
      </c>
      <c r="F38" t="inlineStr">
        <is>
          <t>PLYV</t>
        </is>
      </c>
      <c r="G38" t="n">
        <v>5</v>
      </c>
      <c r="H38" t="inlineStr">
        <is>
          <t>Screenshot_2026-04-05_at_12_27_16_PM.png; Screenshot_2026-04-05_at_12_27_27_PM.png</t>
        </is>
      </c>
      <c r="I38" t="n">
        <v>1</v>
      </c>
      <c r="J38" t="n">
        <v>3</v>
      </c>
      <c r="K38" t="n">
        <v>3</v>
      </c>
      <c r="L38" t="n">
        <v>14</v>
      </c>
      <c r="M38" t="n">
        <v>11</v>
      </c>
      <c r="N38" t="n">
        <v>0</v>
      </c>
      <c r="O38" t="n">
        <v>0</v>
      </c>
      <c r="P38" t="inlineStr">
        <is>
          <t>PLYV win 14-1, 5 innings. Poly Varsity Engineers 2026 vs. Douglass. Data_Tier=2. DGLS E=3: Isaac Montufar Reyes + leonard jones named; 1 error unattributed. WP: Wilner Vergel-Rivero 1, Deivid Mendoza 1. Ian Dickensheets (W): 4.0 IP, 3H, 1R, 11K. [AMBIGUOUS] PLYV TB line in batting notes includes DGLS player names at end (visual layout overlap); PLYV TB cross-check applied to PLYV players only — all pass.</t>
        </is>
      </c>
    </row>
    <row r="39">
      <c r="A39" t="inlineStr">
        <is>
          <t>2026-03-27_FRST_at_PLYV</t>
        </is>
      </c>
      <c r="B39" s="10" t="n">
        <v>46108</v>
      </c>
      <c r="C39" t="inlineStr">
        <is>
          <t>In-Season Game</t>
        </is>
      </c>
      <c r="D39" t="inlineStr">
        <is>
          <t>PLYV</t>
        </is>
      </c>
      <c r="E39" t="inlineStr">
        <is>
          <t>FRST</t>
        </is>
      </c>
      <c r="F39" t="inlineStr">
        <is>
          <t>PLYV</t>
        </is>
      </c>
      <c r="G39" t="n">
        <v>5</v>
      </c>
      <c r="H39" t="inlineStr">
        <is>
          <t>Screenshot_2026-04-05_at_1_43_14_PM.png; Screenshot_2026-04-05_at_1_43_21_PM.png</t>
        </is>
      </c>
      <c r="I39" t="n">
        <v>0</v>
      </c>
      <c r="J39" t="n">
        <v>0</v>
      </c>
      <c r="K39" t="n">
        <v>10</v>
      </c>
      <c r="L39" t="n">
        <v>24</v>
      </c>
      <c r="M39" t="n">
        <v>13</v>
      </c>
      <c r="N39" t="n">
        <v>0</v>
      </c>
      <c r="O39" t="n">
        <v>0</v>
      </c>
      <c r="P39" t="inlineStr">
        <is>
          <t>PLYV win 24-0, 5 innings. Poly Varsity Engineers 2026 vs. Forest Park Varsity Foresters. Data_Tier=2. FRST E=10: Riddick(3)+Bostic(2)+Laboo(2)+Jones(1)+Moore(1)=9 named; 1 unattributed (G9 advisory). Laboo (L): 2.0 IP, 11 H, 18 R, 7 BB, 1 WP. Riddick: 3.0 IP, HBP_Allowed=1 (Kaden Wooden). PLYV used 5 pitchers, each 1.0 IP, all recorded 3 Ks. No 2B/3B/HR for PLYV — all 13 H are singles; TB cross-check passes for all players. FRST all new to repository (10 new Roster entries).</t>
        </is>
      </c>
    </row>
    <row r="40">
      <c r="A40" t="inlineStr">
        <is>
          <t>2026-04-04_PLYV_at_ESTR</t>
        </is>
      </c>
      <c r="B40" s="10" t="n">
        <v>46116</v>
      </c>
      <c r="C40" t="inlineStr">
        <is>
          <t>In-Season Game</t>
        </is>
      </c>
      <c r="D40" t="inlineStr">
        <is>
          <t>PLYV</t>
        </is>
      </c>
      <c r="E40" t="inlineStr">
        <is>
          <t>PLYV</t>
        </is>
      </c>
      <c r="F40" t="inlineStr">
        <is>
          <t>ESTR</t>
        </is>
      </c>
      <c r="G40" t="n">
        <v>7</v>
      </c>
      <c r="H40" t="inlineStr">
        <is>
          <t>Screenshot_2026-04-05_at_1_50_56_PM.png; Screenshot_2026-04-05_at_1_51_03_PM.png</t>
        </is>
      </c>
      <c r="I40" t="n">
        <v>4</v>
      </c>
      <c r="J40" t="n">
        <v>7</v>
      </c>
      <c r="K40" t="n">
        <v>3</v>
      </c>
      <c r="L40" t="n">
        <v>8</v>
      </c>
      <c r="M40" t="n">
        <v>6</v>
      </c>
      <c r="N40" t="n">
        <v>3</v>
      </c>
      <c r="O40" t="n">
        <v>0</v>
      </c>
      <c r="P40" t="inlineStr">
        <is>
          <t>ESTR win 8-4, 7 innings. Poly Varsity Engineers 2026 at Eastern Tech Varsity Mavericks. Data_Tier=2. [AMBIGUOUS] Ian Dickensheets appears in PLYV CS batting notes line but is absent from PLYV batting table; likely used as courtesy runner — no batting row created; CS not attributed to any batting row. Henry Overton ER=1 vs R_Allowed=4 (3 unearned). Kingston Lawrence ER=1 vs R_Allowed=2 (1 unearned). PLYV E=3: Ikram Khan, Jakeem Mcbride, Kingston Antonio. ESTR E=3: Landry Evans(×2), Nate Noyes. ESTR all new to repository (11 Roster entries).</t>
        </is>
      </c>
    </row>
    <row r="41">
      <c r="A41" t="inlineStr">
        <is>
          <t>2026-04-04_PRKS_at_PLYV</t>
        </is>
      </c>
      <c r="B41" s="10" t="n">
        <v>46116</v>
      </c>
      <c r="C41" t="inlineStr">
        <is>
          <t>In-Season Game</t>
        </is>
      </c>
      <c r="D41" t="inlineStr">
        <is>
          <t>PLYV</t>
        </is>
      </c>
      <c r="E41" t="inlineStr">
        <is>
          <t>PRKS</t>
        </is>
      </c>
      <c r="F41" t="inlineStr">
        <is>
          <t>PLYV</t>
        </is>
      </c>
      <c r="G41" t="n">
        <v>7</v>
      </c>
      <c r="H41" t="inlineStr">
        <is>
          <t>Screenshot_2026-04-05_at_2_35_02_PM.png; Screenshot_2026-04-05_at_2_35_16_PM.png</t>
        </is>
      </c>
      <c r="I41" t="n">
        <v>3</v>
      </c>
      <c r="J41" t="n">
        <v>2</v>
      </c>
      <c r="K41" t="n">
        <v>4</v>
      </c>
      <c r="L41" t="n">
        <v>14</v>
      </c>
      <c r="M41" t="n">
        <v>16</v>
      </c>
      <c r="N41" t="n">
        <v>3</v>
      </c>
      <c r="O41" t="n">
        <v>0</v>
      </c>
      <c r="P41" t="inlineStr">
        <is>
          <t>PLYV win 14-3, 7 innings. Park School Varsity Bruins at Poly Varsity Engineers 2026. Data_Tier=2. Same date as 2026-04-04_PLYV_at_ESTR (PLYV doubleheader). [AMBIGUOUS] Jakeem Mcbride OCR R=0 corrected to R=1 (individual sum 13 vs target 14; walked and scored — consistent with box score context). Advisory: Individual PRKS RBI sum=0 vs TEAM RBI=2 — 3 PRKS runs likely scored via errors/WPs with no RBI credited to batters; noted, not resolvable from box score. Max Freeman (W): 4.0 IP, 1H, 1R, 0 ER, 5K. Nathaniel Barry ER=2=R_Allowed. PLYV E=3: Ashton Hill, Ikram Khan, Kaden Wooden. PRKS E=4: Luca Jordan(×3), Dylan Katz. PRKS all new to repository (12 entries). Kingston Antonio bats and pitches.</t>
        </is>
      </c>
    </row>
    <row r="42">
      <c r="A42" t="inlineStr">
        <is>
          <t>2026-03-14_CNTN_at_WSTM</t>
        </is>
      </c>
      <c r="B42" s="10" t="n">
        <v>46095</v>
      </c>
      <c r="C42" t="inlineStr">
        <is>
          <t>In-Season Game</t>
        </is>
      </c>
      <c r="D42" t="inlineStr">
        <is>
          <t>CNTN</t>
        </is>
      </c>
      <c r="E42" t="inlineStr">
        <is>
          <t>CNTN</t>
        </is>
      </c>
      <c r="F42" t="inlineStr">
        <is>
          <t>WSTM</t>
        </is>
      </c>
      <c r="G42" t="n">
        <v>7</v>
      </c>
      <c r="H42" t="inlineStr">
        <is>
          <t>Centennial_Game_1.md</t>
        </is>
      </c>
      <c r="I42" t="n">
        <v>1</v>
      </c>
      <c r="J42" t="n">
        <v>2</v>
      </c>
      <c r="K42" t="n">
        <v>4</v>
      </c>
      <c r="L42" t="n">
        <v>5</v>
      </c>
      <c r="M42" t="n">
        <v>4</v>
      </c>
      <c r="N42" t="n">
        <v>0</v>
      </c>
      <c r="O42" t="n">
        <v>5</v>
      </c>
      <c r="P42" t="inlineStr">
        <is>
          <t>WSTM wins 5-1 (7 inn). CNTN lone run via PB T4 (C Bade). WSTM runs: error(B2), balk(B3), 1B(B3), WP(B3), WP(B4) — RBI advisory: WSTM 5R, 1 RBI (4 runs via error/balk/WP, no RBI awarded). C Stachera CNTN opening pitcher inferred (Flag #1). W Shepperd WSTM T6 pitcher inferred (Flag #2). B Corrao mid-AB sub for A Gauthier T6. CR J Stone for W Shepperd B4 — SB credited to W Shepperd. Play #54 B7 J Cedeno not counted (Flag #5 — WSTM did not bat). Player IDs per log: "B" and "Paul" are sole identifiers (no last name/jersey). 5 QA flags.</t>
        </is>
      </c>
    </row>
    <row r="43">
      <c r="A43" t="inlineStr">
        <is>
          <t>2026-03-21_CNTN_at_WLDL</t>
        </is>
      </c>
      <c r="B43" s="10" t="n">
        <v>46102</v>
      </c>
      <c r="C43" t="inlineStr">
        <is>
          <t>In-Season Game</t>
        </is>
      </c>
      <c r="D43" t="inlineStr">
        <is>
          <t>CNTN</t>
        </is>
      </c>
      <c r="E43" t="inlineStr">
        <is>
          <t>CNTN</t>
        </is>
      </c>
      <c r="F43" t="inlineStr">
        <is>
          <t>WLDL</t>
        </is>
      </c>
      <c r="G43" t="n">
        <v>5</v>
      </c>
      <c r="H43" t="inlineStr">
        <is>
          <t>Centennial_Game_2.md</t>
        </is>
      </c>
      <c r="I43" t="n">
        <v>10</v>
      </c>
      <c r="J43" t="n">
        <v>9</v>
      </c>
      <c r="K43" t="n">
        <v>0</v>
      </c>
      <c r="L43" t="n">
        <v>0</v>
      </c>
      <c r="M43" t="n">
        <v>0</v>
      </c>
      <c r="N43" t="n">
        <v>3</v>
      </c>
      <c r="O43" t="n">
        <v>8</v>
      </c>
      <c r="P43" t="inlineStr">
        <is>
          <t>CNTN wins 10-0 (5 inn, run rule inferred per Flags #7/#8). Scoring: 2R T1 (WP/error — no RBI for 2 of those runs), 2R T2, 3R T4, 3R T5. RBI advisory: 10R, 8 RBI (2 runs via WP play #4 and error play #5 carry no RBI). R Schmidt T3-T5 pitching inferred (Flag #1); B Habershon T5 inferred (Flag #2); T4 pitcher unidentified — attributed to R Schmidt as last named WLDL pitcher. E Rayne CNTN B5 pitcher inferred (Flag #3). Duplicate C Stachera lineup note play #25 (Flag #4). E Ogg PR for C Stachera T3 — SB credited to E Ogg; C Stachera continues batting/pitching (Flag #6 anomaly). Play #48 T6 B Harris not counted (Flag #8 — line score shows 5 inn only). 8 QA flags.</t>
        </is>
      </c>
    </row>
    <row r="44">
      <c r="A44" t="inlineStr">
        <is>
          <t>2026-03-23_HMMN_at_CNTN</t>
        </is>
      </c>
      <c r="B44" s="10" t="n">
        <v>46104</v>
      </c>
      <c r="C44" t="inlineStr">
        <is>
          <t>In-Season Game</t>
        </is>
      </c>
      <c r="D44" t="inlineStr">
        <is>
          <t>CNTN</t>
        </is>
      </c>
      <c r="E44" t="inlineStr">
        <is>
          <t>HMMN</t>
        </is>
      </c>
      <c r="F44" t="inlineStr">
        <is>
          <t>CNTN</t>
        </is>
      </c>
      <c r="G44" t="n">
        <v>7</v>
      </c>
      <c r="H44" t="inlineStr">
        <is>
          <t>Centennial_Game_3.md</t>
        </is>
      </c>
      <c r="I44" t="n">
        <v>1</v>
      </c>
      <c r="J44" t="n">
        <v>4</v>
      </c>
      <c r="K44" t="n">
        <v>0</v>
      </c>
      <c r="L44" t="n">
        <v>10</v>
      </c>
      <c r="M44" t="n">
        <v>12</v>
      </c>
      <c r="N44" t="n">
        <v>3</v>
      </c>
      <c r="O44" t="n">
        <v>7</v>
      </c>
      <c r="P44" t="inlineStr">
        <is>
          <t>CNTN wins 10-1 (7 inn, CNTN home, B7 not played per Flag #7). HMMN sole run T5: Y Rivera steals 2nd (SB), advances 3rd on CNTN Error #1 (B Harris catcher), scores on CNTN Error #2 (C Bade CF) — all embedded in J Willis AB; no RBI for J Willis (RBI advisory: 1R, 0 RBI). CNTN scoring: 1R B1 (E Rayne 2B), 8R B5 (bases-clearing inning), 1R B6 (L Choe SAC fly). D Bhatt HMMN opening pitcher inferred (Flag #1). B Garris HMMN B5 entry inferred (Flag #2). L Duckworth mid-AB entry documented play #50. E Rayne B2 pop-fly DP (C Stachera Runner Out at home on tag-up; GDP credited to E Rayne). E Ogg CR for B Harris: B3 play #27 (does not score) and B5 play #45 (scores play #47, R credited to B Harris per CR rule; Flags #5, #6). N Macomber bats T7 in D Bhatt slot without documented sub (Flag #6). T Thomas mid-AB sub for G Garris T7 (play #63, documented); K Gardner mid-AB sub for Y Rivera T7 (play #65, documented). C Bade HBP B5 pitch seq ends "Ball 4" not HBP notation (Flag #4). Play #66 B7 E Rayne not counted (Flag #7, line score X). Flag numbering inconsistency in log (two Flag #4s).</t>
        </is>
      </c>
    </row>
    <row r="45">
      <c r="A45" t="inlineStr">
        <is>
          <t>2026-03-26_MRRT_at_CNTN</t>
        </is>
      </c>
      <c r="B45" s="10" t="n">
        <v>46107</v>
      </c>
      <c r="C45" t="inlineStr">
        <is>
          <t>In-Season Game</t>
        </is>
      </c>
      <c r="D45" t="inlineStr">
        <is>
          <t>CNTN</t>
        </is>
      </c>
      <c r="E45" t="inlineStr">
        <is>
          <t>MRRT</t>
        </is>
      </c>
      <c r="F45" t="inlineStr">
        <is>
          <t>CNTN</t>
        </is>
      </c>
      <c r="G45" t="n">
        <v>7</v>
      </c>
      <c r="H45" t="inlineStr">
        <is>
          <t>Centennial_Game_4.md</t>
        </is>
      </c>
      <c r="I45" t="n">
        <v>1</v>
      </c>
      <c r="J45" t="n">
        <v>5</v>
      </c>
      <c r="K45" t="n">
        <v>1</v>
      </c>
      <c r="L45" t="n">
        <v>3</v>
      </c>
      <c r="M45" t="n">
        <v>7</v>
      </c>
      <c r="N45" t="n">
        <v>1</v>
      </c>
      <c r="O45" t="n">
        <v>9</v>
      </c>
      <c r="P45" t="inlineStr">
        <is>
          <t>CNTN win 3-1 (7 inn, CNTN home, B7 not played per Flag #9). MRRT sole run T6: N Brown scores (mechanism not stated, Flag #6) — no RBI awarded (RBI advisory: MRRT 1R, 0 RBI). CNTN scoring: 1R B1 (B Harris 1B, aided by MRRT Error #1 M Delmonte LF), 1R B2 (A Gauthier 2B), 1R B3 (B Harris 2B). T Smith MRRT opening pitcher inferred (Flag #1). B Johnston CNTN T6 entry inferred (Flag #2). SB: C Bade B3 (play #25 embedded), A Gauthier B6 (play #56 embedded). WP: T Smith B2 (play #18 embedded — L Choe adv 2nd). PB: catcher B Harris B6 (J Devito adv 3rd play #52 embedded) — PB not in schema. CR E Ogg for B Harris ×3 (plays #10, #26, #45; Flag #8). M Parson sub for S Grams T7 (Flag #7). A Hlavaty sub for M Delmonte T7. CNTN Error #1: B Johnston (P) play #60 embedded. MRRT Error #1: M Delmonte (LF) play #9.</t>
        </is>
      </c>
    </row>
    <row r="46">
      <c r="A46" t="inlineStr">
        <is>
          <t>2026-03-31_CRFT_at_CNTN</t>
        </is>
      </c>
      <c r="B46" s="10" t="n">
        <v>46112</v>
      </c>
      <c r="C46" t="inlineStr">
        <is>
          <t>In-Season Game</t>
        </is>
      </c>
      <c r="D46" t="inlineStr">
        <is>
          <t>CNTN</t>
        </is>
      </c>
      <c r="E46" t="inlineStr">
        <is>
          <t>CRFT</t>
        </is>
      </c>
      <c r="F46" t="inlineStr">
        <is>
          <t>CNTN</t>
        </is>
      </c>
      <c r="G46" t="n">
        <v>7</v>
      </c>
      <c r="H46" t="inlineStr">
        <is>
          <t>Centennial_Game_5.md</t>
        </is>
      </c>
      <c r="I46" t="n">
        <v>9</v>
      </c>
      <c r="J46" t="n">
        <v>6</v>
      </c>
      <c r="K46" t="n">
        <v>0</v>
      </c>
      <c r="L46" t="n">
        <v>0</v>
      </c>
      <c r="M46" t="n">
        <v>1</v>
      </c>
      <c r="N46" t="n">
        <v>5</v>
      </c>
      <c r="O46" t="n">
        <v>8</v>
      </c>
      <c r="P46" t="inlineStr">
        <is>
          <t>CRFT win 9-0 (7 inn, CNTN home). CRFT scoring: 2R T2 (N Truman &amp; K Willis score on G Gallow 2B); 1R T3 (M Brown-Mitchell scores on B White SacFly); 2R T6 (N Kehs/L Davis CR scores G Gallow 1B; X Bejar scores E Colgan SAC); 4R T7 (B White scores N Kehs 2B; N Kehs &amp; J Gifford score K Willis error #4; K Willis scores — mechanism unstated Flag #6). CRFT opening pitcher A Weber inferred (Flag #1). J Gifford B7 pitcher entry inferred (Flag #2). CR L Davis for N Kehs T6 plays #44,#46 — L Davis run credited to N Kehs. CR E Ogg for B Harris ×3 (plays #9,#32,#52). Phantom T8 entry (play #65) skipped (Flag #8). M Brown-Mitchell T3 triple per scorer despite misplay note (Flag #5). RBI advisory: CRFT 9R, 6 RBI — 3 unaccounted (2 on error play #58, 1 unstated mechanism play #59 Flag #6). CNTN 0R, 0 RBI.</t>
        </is>
      </c>
    </row>
    <row r="47">
      <c r="A47" t="inlineStr">
        <is>
          <t>2026-03-31_CNTN_at_WLTR</t>
        </is>
      </c>
      <c r="B47" s="10" t="n">
        <v>46112</v>
      </c>
      <c r="C47" t="inlineStr">
        <is>
          <t>In-Season Game</t>
        </is>
      </c>
      <c r="D47" t="inlineStr">
        <is>
          <t>CNTN</t>
        </is>
      </c>
      <c r="E47" t="inlineStr">
        <is>
          <t>CNTN</t>
        </is>
      </c>
      <c r="F47" t="inlineStr">
        <is>
          <t>WLTR</t>
        </is>
      </c>
      <c r="G47" t="n">
        <v>7</v>
      </c>
      <c r="H47" t="inlineStr">
        <is>
          <t>Centennial_Game_6.md</t>
        </is>
      </c>
      <c r="I47" t="n">
        <v>3</v>
      </c>
      <c r="J47" t="n">
        <v>5</v>
      </c>
      <c r="K47" t="n">
        <v>5</v>
      </c>
      <c r="L47" t="n">
        <v>3</v>
      </c>
      <c r="M47" t="n">
        <v>6</v>
      </c>
      <c r="N47" t="n">
        <v>4</v>
      </c>
      <c r="O47" t="n">
        <v>7</v>
      </c>
      <c r="P47" t="inlineStr">
        <is>
          <t>3-3 tie — game called during Top 8th (time limit, Flag #7; 7 complete inn). CNTN scoring: 3R T2 (E Ogg/B Harris scores D Hill 1B; B Corrao scores A Gauthier walk; D Hill scores E Rayne walk). WLTR scoring: 1R B1 (C Martin/S Weston CR scores on C Stachera WP); 1R B3 (S Weston scores on C Stachera error CNTN E#3, embedded in G Matalia D3S AB); 1R B6 (H Bauer scores J Gilder SacFly). CR E Ogg for B Harris ×3 (plays #11,#26,#62); CR C Proescher for C Stachera (play #27 T3). CR C Martin for S Weston B1 play #7 — C Martin SB play #7 credited to S Weston; C Martin/S Weston run play #9 credited to S Weston. J Pena Simon caught stealing home B7 play #66 (Flag #2). Phantom T8 entry (play #68) — C Stachera at bat, no outcome, game called (Flag #7). RBI advisory: WLTR 3R, 1 RBI — 2 unaccounted (WP play #9, error play #31). CNTN 3R, 3 RBI — all accounted.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37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6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70" customWidth="1" min="25" max="25"/>
  </cols>
  <sheetData>
    <row r="1">
      <c r="A1" s="1" t="inlineStr">
        <is>
          <t>Game_ID</t>
        </is>
      </c>
      <c r="B1" s="1" t="inlineStr">
        <is>
          <t>Game_Date</t>
        </is>
      </c>
      <c r="C1" s="1" t="inlineStr">
        <is>
          <t>Opponent</t>
        </is>
      </c>
      <c r="D1" s="1" t="inlineStr">
        <is>
          <t>Team</t>
        </is>
      </c>
      <c r="E1" s="1" t="inlineStr">
        <is>
          <t>Player</t>
        </is>
      </c>
      <c r="F1" s="1" t="inlineStr">
        <is>
          <t>PA</t>
        </is>
      </c>
      <c r="G1" s="1" t="inlineStr">
        <is>
          <t>AB</t>
        </is>
      </c>
      <c r="H1" s="1" t="inlineStr">
        <is>
          <t>H</t>
        </is>
      </c>
      <c r="I1" s="1" t="inlineStr">
        <is>
          <t>1B</t>
        </is>
      </c>
      <c r="J1" s="1" t="inlineStr">
        <is>
          <t>2B</t>
        </is>
      </c>
      <c r="K1" s="1" t="inlineStr">
        <is>
          <t>3B</t>
        </is>
      </c>
      <c r="L1" s="1" t="inlineStr">
        <is>
          <t>HR</t>
        </is>
      </c>
      <c r="M1" s="1" t="inlineStr">
        <is>
          <t>BB</t>
        </is>
      </c>
      <c r="N1" s="1" t="inlineStr">
        <is>
          <t>HBP</t>
        </is>
      </c>
      <c r="O1" s="1" t="inlineStr">
        <is>
          <t>K</t>
        </is>
      </c>
      <c r="P1" s="1" t="inlineStr">
        <is>
          <t>K_L</t>
        </is>
      </c>
      <c r="Q1" s="1" t="inlineStr">
        <is>
          <t>K_S</t>
        </is>
      </c>
      <c r="R1" s="1" t="inlineStr">
        <is>
          <t>R</t>
        </is>
      </c>
      <c r="S1" s="1" t="inlineStr">
        <is>
          <t>RBI</t>
        </is>
      </c>
      <c r="T1" s="1" t="inlineStr">
        <is>
          <t>SB</t>
        </is>
      </c>
      <c r="U1" s="1" t="inlineStr">
        <is>
          <t>CS</t>
        </is>
      </c>
      <c r="V1" s="1" t="inlineStr">
        <is>
          <t>GDP</t>
        </is>
      </c>
      <c r="W1" s="1" t="inlineStr">
        <is>
          <t>SAC</t>
        </is>
      </c>
      <c r="X1" s="1" t="inlineStr">
        <is>
          <t>FC</t>
        </is>
      </c>
      <c r="Y1" s="1" t="inlineStr">
        <is>
          <t>Notes</t>
        </is>
      </c>
    </row>
    <row r="2" ht="32" customHeight="1">
      <c r="A2" t="inlineStr">
        <is>
          <t>2026-03-10_RVRH_at_WSTF</t>
        </is>
      </c>
      <c r="B2" s="10" t="n">
        <v>46091</v>
      </c>
      <c r="C2" t="inlineStr">
        <is>
          <t>Westfield High School</t>
        </is>
      </c>
      <c r="D2" t="inlineStr">
        <is>
          <t>RVRH</t>
        </is>
      </c>
      <c r="E2" t="inlineStr">
        <is>
          <t>R Walsh</t>
        </is>
      </c>
      <c r="F2" t="n">
        <v>4</v>
      </c>
      <c r="G2" t="n">
        <v>3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R in T1 via CR B Bixby (play #3); 2 RBI on T4 single (play #33); replaced by L Kreisl PH in T8</t>
        </is>
      </c>
    </row>
    <row r="3" ht="32" customHeight="1">
      <c r="A3" t="inlineStr">
        <is>
          <t>2026-03-10_RVRH_at_WSTF</t>
        </is>
      </c>
      <c r="B3" s="10" t="n">
        <v>46091</v>
      </c>
      <c r="C3" t="inlineStr">
        <is>
          <t>Westfield High School</t>
        </is>
      </c>
      <c r="D3" t="inlineStr">
        <is>
          <t>RVRH</t>
        </is>
      </c>
      <c r="E3" t="inlineStr">
        <is>
          <t>C Reis</t>
        </is>
      </c>
      <c r="F3" t="n">
        <v>4</v>
      </c>
      <c r="G3" t="n">
        <v>4</v>
      </c>
      <c r="H3" t="n">
        <v>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Scores T1 play #4 (H Zhang singles); 2 RBI on T4 single (play #34); also pitches B7</t>
        </is>
      </c>
    </row>
    <row r="4" ht="32" customHeight="1">
      <c r="A4" t="inlineStr">
        <is>
          <t>2026-03-10_RVRH_at_WSTF</t>
        </is>
      </c>
      <c r="B4" s="10" t="n">
        <v>46091</v>
      </c>
      <c r="C4" t="inlineStr">
        <is>
          <t>Westfield High School</t>
        </is>
      </c>
      <c r="D4" t="inlineStr">
        <is>
          <t>RVRH</t>
        </is>
      </c>
      <c r="E4" t="inlineStr">
        <is>
          <t>J Norwood</t>
        </is>
      </c>
      <c r="F4" t="n">
        <v>4</v>
      </c>
      <c r="G4" t="n">
        <v>4</v>
      </c>
      <c r="H4" t="n">
        <v>3</v>
      </c>
      <c r="I4" t="n">
        <v>2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inlineStr">
        <is>
          <t>FC play #35; sub inconsistency plays #58/#59 (Flag #1); CR B Bixby used T3+T7; also pitches B3 (inferred)</t>
        </is>
      </c>
    </row>
    <row r="5" ht="32" customHeight="1">
      <c r="A5" t="inlineStr">
        <is>
          <t>2026-03-10_RVRH_at_WSTF</t>
        </is>
      </c>
      <c r="B5" s="10" t="n">
        <v>46091</v>
      </c>
      <c r="C5" t="inlineStr">
        <is>
          <t>Westfield High School</t>
        </is>
      </c>
      <c r="D5" t="inlineStr">
        <is>
          <t>RVRH</t>
        </is>
      </c>
      <c r="E5" t="inlineStr">
        <is>
          <t>H Zhang</t>
        </is>
      </c>
      <c r="F5" t="n">
        <v>3</v>
      </c>
      <c r="G5" t="n">
        <v>2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RBI on T1 single (play #4); K_S in T5</t>
        </is>
      </c>
    </row>
    <row r="6" ht="32" customHeight="1">
      <c r="A6" t="inlineStr">
        <is>
          <t>2026-03-10_RVRH_at_WSTF</t>
        </is>
      </c>
      <c r="B6" s="10" t="n">
        <v>46091</v>
      </c>
      <c r="C6" t="inlineStr">
        <is>
          <t>Westfield High School</t>
        </is>
      </c>
      <c r="D6" t="inlineStr">
        <is>
          <t>RVRH</t>
        </is>
      </c>
      <c r="E6" t="inlineStr">
        <is>
          <t>C Naecker</t>
        </is>
      </c>
      <c r="F6" t="n">
        <v>3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inlineStr">
        <is>
          <t>RBI via productive GO T1 (play #5); SB embedded in play #43 pitch seq; replaced by R Ronayne PH T7</t>
        </is>
      </c>
    </row>
    <row r="7" ht="32" customHeight="1">
      <c r="A7" t="inlineStr">
        <is>
          <t>2026-03-10_RVRH_at_WSTF</t>
        </is>
      </c>
      <c r="B7" s="10" t="n">
        <v>46091</v>
      </c>
      <c r="C7" t="inlineStr">
        <is>
          <t>Westfield High School</t>
        </is>
      </c>
      <c r="D7" t="inlineStr">
        <is>
          <t>RVRH</t>
        </is>
      </c>
      <c r="E7" t="inlineStr">
        <is>
          <t>G Dang</t>
        </is>
      </c>
      <c r="F7" t="n">
        <v>3</v>
      </c>
      <c r="G7" t="n">
        <v>3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inlineStr">
        <is>
          <t>R via CR E Skolkin scoring play #33; CR used from T4 onward; FC play #6</t>
        </is>
      </c>
    </row>
    <row r="8" ht="32" customHeight="1">
      <c r="A8" t="inlineStr">
        <is>
          <t>2026-03-10_RVRH_at_WSTF</t>
        </is>
      </c>
      <c r="B8" s="10" t="n">
        <v>46091</v>
      </c>
      <c r="C8" t="inlineStr">
        <is>
          <t>Westfield High School</t>
        </is>
      </c>
      <c r="D8" t="inlineStr">
        <is>
          <t>RVRH</t>
        </is>
      </c>
      <c r="E8" t="inlineStr">
        <is>
          <t>A Fields</t>
        </is>
      </c>
      <c r="F8" t="n">
        <v>4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K_L play #44; scores on throw play #33; 2 BB; also plays 2B</t>
        </is>
      </c>
    </row>
    <row r="9" ht="32" customHeight="1">
      <c r="A9" t="inlineStr">
        <is>
          <t>2026-03-10_RVRH_at_WSTF</t>
        </is>
      </c>
      <c r="B9" s="10" t="n">
        <v>46091</v>
      </c>
      <c r="C9" t="inlineStr">
        <is>
          <t>Westfield High School</t>
        </is>
      </c>
      <c r="D9" t="inlineStr">
        <is>
          <t>RVRH</t>
        </is>
      </c>
      <c r="E9" t="inlineStr">
        <is>
          <t>E McCoy</t>
        </is>
      </c>
      <c r="F9" t="n">
        <v>4</v>
      </c>
      <c r="G9" t="n">
        <v>3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2</v>
      </c>
      <c r="P9" t="n">
        <v>0</v>
      </c>
      <c r="Q9" t="n">
        <v>2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K play #62 was dropped 3rd strike (out at 1B); CS embedded in play #52 pitch seq; also plays CF</t>
        </is>
      </c>
    </row>
    <row r="10" ht="32" customHeight="1">
      <c r="A10" t="inlineStr">
        <is>
          <t>2026-03-10_RVRH_at_WSTF</t>
        </is>
      </c>
      <c r="B10" s="10" t="n">
        <v>46091</v>
      </c>
      <c r="C10" t="inlineStr">
        <is>
          <t>Westfield High School</t>
        </is>
      </c>
      <c r="D10" t="inlineStr">
        <is>
          <t>RVRH</t>
        </is>
      </c>
      <c r="E10" t="inlineStr">
        <is>
          <t>C Nichols</t>
        </is>
      </c>
      <c r="F10" t="n">
        <v>3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1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K_L play #66; K_S plays #14 and #31; also pitches B8</t>
        </is>
      </c>
    </row>
    <row r="11" ht="32" customHeight="1">
      <c r="A11" t="inlineStr">
        <is>
          <t>2026-03-10_RVRH_at_WSTF</t>
        </is>
      </c>
      <c r="B11" s="10" t="n">
        <v>46091</v>
      </c>
      <c r="C11" t="inlineStr">
        <is>
          <t>Westfield High School</t>
        </is>
      </c>
      <c r="D11" t="inlineStr">
        <is>
          <t>RVRH</t>
        </is>
      </c>
      <c r="E11" t="inlineStr">
        <is>
          <t>A Contreras</t>
        </is>
      </c>
      <c r="F11" t="n">
        <v>3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Replaced by B Mougey PH in T8</t>
        </is>
      </c>
    </row>
    <row r="12" ht="32" customHeight="1">
      <c r="A12" t="inlineStr">
        <is>
          <t>2026-03-10_RVRH_at_WSTF</t>
        </is>
      </c>
      <c r="B12" s="10" t="n">
        <v>46091</v>
      </c>
      <c r="C12" t="inlineStr">
        <is>
          <t>Westfield High School</t>
        </is>
      </c>
      <c r="D12" t="inlineStr">
        <is>
          <t>RVRH</t>
        </is>
      </c>
      <c r="E12" t="inlineStr">
        <is>
          <t>B Bixby</t>
        </is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Bats T7 play #58; CR for R Walsh (T1) and J Norwood (T3); sub inconsistency see Flag #1</t>
        </is>
      </c>
    </row>
    <row r="13" ht="32" customHeight="1">
      <c r="A13" t="inlineStr">
        <is>
          <t>2026-03-10_RVRH_at_WSTF</t>
        </is>
      </c>
      <c r="B13" s="10" t="n">
        <v>46091</v>
      </c>
      <c r="C13" t="inlineStr">
        <is>
          <t>Westfield High School</t>
        </is>
      </c>
      <c r="D13" t="inlineStr">
        <is>
          <t>RVRH</t>
        </is>
      </c>
      <c r="E13" t="inlineStr">
        <is>
          <t>R Ronayne</t>
        </is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PH for C Naecker T7 (play #60); also pitches B5-B6</t>
        </is>
      </c>
    </row>
    <row r="14" ht="32" customHeight="1">
      <c r="A14" t="inlineStr">
        <is>
          <t>2026-03-10_RVRH_at_WSTF</t>
        </is>
      </c>
      <c r="B14" s="10" t="n">
        <v>46091</v>
      </c>
      <c r="C14" t="inlineStr">
        <is>
          <t>Westfield High School</t>
        </is>
      </c>
      <c r="D14" t="inlineStr">
        <is>
          <t>RVRH</t>
        </is>
      </c>
      <c r="E14" t="inlineStr">
        <is>
          <t>B Mougey</t>
        </is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PH for A Contreras T8 (play #67)</t>
        </is>
      </c>
    </row>
    <row r="15" ht="32" customHeight="1">
      <c r="A15" t="inlineStr">
        <is>
          <t>2026-03-10_RVRH_at_WSTF</t>
        </is>
      </c>
      <c r="B15" s="10" t="n">
        <v>46091</v>
      </c>
      <c r="C15" t="inlineStr">
        <is>
          <t>Westfield High School</t>
        </is>
      </c>
      <c r="D15" t="inlineStr">
        <is>
          <t>RVRH</t>
        </is>
      </c>
      <c r="E15" t="inlineStr">
        <is>
          <t>L Kreisl</t>
        </is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PH for R Walsh T8 (play #68); also plays LF</t>
        </is>
      </c>
    </row>
    <row r="16" ht="32" customHeight="1">
      <c r="A16" t="inlineStr">
        <is>
          <t>2026-03-10_RVRH_at_WSTF</t>
        </is>
      </c>
      <c r="B16" s="10" t="n">
        <v>46091</v>
      </c>
      <c r="C16" t="inlineStr">
        <is>
          <t>Westfield High School</t>
        </is>
      </c>
      <c r="D16" t="inlineStr">
        <is>
          <t>WSTF</t>
        </is>
      </c>
      <c r="E16" t="inlineStr">
        <is>
          <t>WSTF_#1</t>
        </is>
      </c>
      <c r="F16" t="n">
        <v>6</v>
      </c>
      <c r="G16" t="n">
        <v>5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GDP play #64 (double play to 2B); RBI on 1B play #46 (#9 scores); 6 PA ties team-high</t>
        </is>
      </c>
    </row>
    <row r="17" ht="32" customHeight="1">
      <c r="A17" t="inlineStr">
        <is>
          <t>2026-03-10_RVRH_at_WSTF</t>
        </is>
      </c>
      <c r="B17" s="10" t="n">
        <v>46091</v>
      </c>
      <c r="C17" t="inlineStr">
        <is>
          <t>Westfield High School</t>
        </is>
      </c>
      <c r="D17" t="inlineStr">
        <is>
          <t>WSTF</t>
        </is>
      </c>
      <c r="E17" t="inlineStr">
        <is>
          <t>WSTF_#2</t>
        </is>
      </c>
      <c r="F17" t="n">
        <v>5</v>
      </c>
      <c r="G17" t="n">
        <v>5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inlineStr">
        <is>
          <t>Walk-off RBI single play #77; FC play #47; K_S plays #9 and #26</t>
        </is>
      </c>
    </row>
    <row r="18" ht="32" customHeight="1">
      <c r="A18" t="inlineStr">
        <is>
          <t>2026-03-10_RVRH_at_WSTF</t>
        </is>
      </c>
      <c r="B18" s="10" t="n">
        <v>46091</v>
      </c>
      <c r="C18" t="inlineStr">
        <is>
          <t>Westfield High School</t>
        </is>
      </c>
      <c r="D18" t="inlineStr">
        <is>
          <t>WSTF</t>
        </is>
      </c>
      <c r="E18" t="inlineStr">
        <is>
          <t>WSTF_#3</t>
        </is>
      </c>
      <c r="F18" t="n">
        <v>4</v>
      </c>
      <c r="G18" t="n">
        <v>4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Reached on error play #69 (AB, not H); K_L play #48; scores play #72 on #6 triple; also pitches T5-T6 (partial)</t>
        </is>
      </c>
    </row>
    <row r="19" ht="32" customHeight="1">
      <c r="A19" t="inlineStr">
        <is>
          <t>2026-03-10_RVRH_at_WSTF</t>
        </is>
      </c>
      <c r="B19" s="10" t="n">
        <v>46091</v>
      </c>
      <c r="C19" t="inlineStr">
        <is>
          <t>Westfield High School</t>
        </is>
      </c>
      <c r="D19" t="inlineStr">
        <is>
          <t>WSTF</t>
        </is>
      </c>
      <c r="E19" t="inlineStr">
        <is>
          <t>WSTF_#4</t>
        </is>
      </c>
      <c r="F19" t="n">
        <v>4</v>
      </c>
      <c r="G19" t="n">
        <v>3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RBI on 1B play #49 (#2 scores on throw); scores play #72 on #6 triple</t>
        </is>
      </c>
    </row>
    <row r="20" ht="32" customHeight="1">
      <c r="A20" t="inlineStr">
        <is>
          <t>2026-03-10_RVRH_at_WSTF</t>
        </is>
      </c>
      <c r="B20" s="10" t="n">
        <v>46091</v>
      </c>
      <c r="C20" t="inlineStr">
        <is>
          <t>Westfield High School</t>
        </is>
      </c>
      <c r="D20" t="inlineStr">
        <is>
          <t>WSTF</t>
        </is>
      </c>
      <c r="E20" t="inlineStr">
        <is>
          <t>WSTF_#5</t>
        </is>
      </c>
      <c r="F20" t="n">
        <v>4</v>
      </c>
      <c r="G20" t="n">
        <v>3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inlineStr">
        <is>
          <t>FC play #12; scores B4 play #39 (GO by #7) and B8 play #72 (#6 triple)</t>
        </is>
      </c>
    </row>
    <row r="21" ht="32" customHeight="1">
      <c r="A21" t="inlineStr">
        <is>
          <t>2026-03-10_RVRH_at_WSTF</t>
        </is>
      </c>
      <c r="B21" s="10" t="n">
        <v>46091</v>
      </c>
      <c r="C21" t="inlineStr">
        <is>
          <t>Westfield High School</t>
        </is>
      </c>
      <c r="D21" t="inlineStr">
        <is>
          <t>WSTF</t>
        </is>
      </c>
      <c r="E21" t="inlineStr">
        <is>
          <t>WSTF_#6</t>
        </is>
      </c>
      <c r="F21" t="n">
        <v>4</v>
      </c>
      <c r="G21" t="n">
        <v>4</v>
      </c>
      <c r="H21" t="n">
        <v>2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3B play #72 scores 3 runs (3 RBI); scores play #73 on #7 GO</t>
        </is>
      </c>
    </row>
    <row r="22" ht="32" customHeight="1">
      <c r="A22" t="inlineStr">
        <is>
          <t>2026-03-10_RVRH_at_WSTF</t>
        </is>
      </c>
      <c r="B22" s="10" t="n">
        <v>46091</v>
      </c>
      <c r="C22" t="inlineStr">
        <is>
          <t>Westfield High School</t>
        </is>
      </c>
      <c r="D22" t="inlineStr">
        <is>
          <t>WSTF</t>
        </is>
      </c>
      <c r="E22" t="inlineStr">
        <is>
          <t>WSTF_#7</t>
        </is>
      </c>
      <c r="F22" t="n">
        <v>4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K_L play #17; 2 productive GOs score runs (plays #39 and #73)</t>
        </is>
      </c>
    </row>
    <row r="23" ht="32" customHeight="1">
      <c r="A23" t="inlineStr">
        <is>
          <t>2026-03-10_RVRH_at_WSTF</t>
        </is>
      </c>
      <c r="B23" s="10" t="n">
        <v>46091</v>
      </c>
      <c r="C23" t="inlineStr">
        <is>
          <t>Westfield High School</t>
        </is>
      </c>
      <c r="D23" t="inlineStr">
        <is>
          <t>WSTF</t>
        </is>
      </c>
      <c r="E23" t="inlineStr">
        <is>
          <t>WSTF_#8</t>
        </is>
      </c>
      <c r="F23" t="n">
        <v>4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Also pitches partial T4-T5</t>
        </is>
      </c>
    </row>
    <row r="24" ht="32" customHeight="1">
      <c r="A24" t="inlineStr">
        <is>
          <t>2026-03-10_RVRH_at_WSTF</t>
        </is>
      </c>
      <c r="B24" s="10" t="n">
        <v>46091</v>
      </c>
      <c r="C24" t="inlineStr">
        <is>
          <t>Westfield High School</t>
        </is>
      </c>
      <c r="D24" t="inlineStr">
        <is>
          <t>WSTF</t>
        </is>
      </c>
      <c r="E24" t="inlineStr">
        <is>
          <t>WSTF_#9</t>
        </is>
      </c>
      <c r="F24" t="n">
        <v>4</v>
      </c>
      <c r="G24" t="n">
        <v>2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HBP play #45; SB embedded play #46 pitch seq; scores B5 play #46 and B8 play #77; also pitches T3, partial T4, T8</t>
        </is>
      </c>
    </row>
    <row r="25">
      <c r="A25" t="inlineStr">
        <is>
          <t>2026-03-14_WTTN_at_RVRH</t>
        </is>
      </c>
      <c r="B25" s="10" t="n">
        <v>46095</v>
      </c>
      <c r="C25" t="inlineStr">
        <is>
          <t>Wootton Varsity Patriots</t>
        </is>
      </c>
      <c r="D25" t="inlineStr">
        <is>
          <t>RVRH</t>
        </is>
      </c>
      <c r="E25" t="inlineStr">
        <is>
          <t>R Walsh</t>
        </is>
      </c>
      <c r="F25" t="n">
        <v>4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No notable events.</t>
        </is>
      </c>
    </row>
    <row r="26">
      <c r="A26" t="inlineStr">
        <is>
          <t>2026-03-14_WTTN_at_RVRH</t>
        </is>
      </c>
      <c r="B26" s="10" t="n">
        <v>46095</v>
      </c>
      <c r="C26" t="inlineStr">
        <is>
          <t>Wootton Varsity Patriots</t>
        </is>
      </c>
      <c r="D26" t="inlineStr">
        <is>
          <t>RVRH</t>
        </is>
      </c>
      <c r="E26" t="inlineStr">
        <is>
          <t>C Reis</t>
        </is>
      </c>
      <c r="F26" t="n">
        <v>4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R B3 (play #26), B5 (play #47), B7 (play #68 via CR E Skolkin); CR E Skolkin used B7 (play #67)</t>
        </is>
      </c>
    </row>
    <row r="27">
      <c r="A27" t="inlineStr">
        <is>
          <t>2026-03-14_WTTN_at_RVRH</t>
        </is>
      </c>
      <c r="B27" s="10" t="n">
        <v>46095</v>
      </c>
      <c r="C27" t="inlineStr">
        <is>
          <t>Wootton Varsity Patriots</t>
        </is>
      </c>
      <c r="D27" t="inlineStr">
        <is>
          <t>RVRH</t>
        </is>
      </c>
      <c r="E27" t="inlineStr">
        <is>
          <t>J Norwood</t>
        </is>
      </c>
      <c r="F27" t="n">
        <v>4</v>
      </c>
      <c r="G27" t="n">
        <v>2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R B3 (play #26), B7 (play #69); RBI B3 play #24 (A Contreras scores); also pitches T5 (Flag #10)</t>
        </is>
      </c>
    </row>
    <row r="28">
      <c r="A28" t="inlineStr">
        <is>
          <t>2026-03-14_WTTN_at_RVRH</t>
        </is>
      </c>
      <c r="B28" s="10" t="n">
        <v>46095</v>
      </c>
      <c r="C28" t="inlineStr">
        <is>
          <t>Wootton Varsity Patriots</t>
        </is>
      </c>
      <c r="D28" t="inlineStr">
        <is>
          <t>RVRH</t>
        </is>
      </c>
      <c r="E28" t="inlineStr">
        <is>
          <t>H Zhang</t>
        </is>
      </c>
      <c r="F28" t="n">
        <v>4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inlineStr">
        <is>
          <t>GDP B1 play #9; also pitches T1-T2; CR J Jenkins used B5 play #48 (inning-ending play, no run scored)</t>
        </is>
      </c>
    </row>
    <row r="29">
      <c r="A29" t="inlineStr">
        <is>
          <t>2026-03-14_WTTN_at_RVRH</t>
        </is>
      </c>
      <c r="B29" s="10" t="n">
        <v>46095</v>
      </c>
      <c r="C29" t="inlineStr">
        <is>
          <t>Wootton Varsity Patriots</t>
        </is>
      </c>
      <c r="D29" t="inlineStr">
        <is>
          <t>RVRH</t>
        </is>
      </c>
      <c r="E29" t="inlineStr">
        <is>
          <t>C Naecker</t>
        </is>
      </c>
      <c r="F29" t="n">
        <v>4</v>
      </c>
      <c r="G29" t="n">
        <v>4</v>
      </c>
      <c r="H29" t="n">
        <v>3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inlineStr">
        <is>
          <t>CS (pickoff) play #15 embedded in Section 4; RBI: 2 on 2B play #26, 1 on GO play #47, 1 on 1B play #68 (E Skolkin CR scores)</t>
        </is>
      </c>
    </row>
    <row r="30">
      <c r="A30" t="inlineStr">
        <is>
          <t>2026-03-14_WTTN_at_RVRH</t>
        </is>
      </c>
      <c r="B30" s="10" t="n">
        <v>46095</v>
      </c>
      <c r="C30" t="inlineStr">
        <is>
          <t>Wootton Varsity Patriots</t>
        </is>
      </c>
      <c r="D30" t="inlineStr">
        <is>
          <t>RVRH</t>
        </is>
      </c>
      <c r="E30" t="inlineStr">
        <is>
          <t>G Dang</t>
        </is>
      </c>
      <c r="F30" t="n">
        <v>4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K_L play #27 (Section 4 final pitch 'Strike 3 looking'); RBI B7 play #69 (J Norwood tags up and scores)</t>
        </is>
      </c>
    </row>
    <row r="31">
      <c r="A31" t="inlineStr">
        <is>
          <t>2026-03-14_WTTN_at_RVRH</t>
        </is>
      </c>
      <c r="B31" s="10" t="n">
        <v>46095</v>
      </c>
      <c r="C31" t="inlineStr">
        <is>
          <t>Wootton Varsity Patriots</t>
        </is>
      </c>
      <c r="D31" t="inlineStr">
        <is>
          <t>RVRH</t>
        </is>
      </c>
      <c r="E31" t="inlineStr">
        <is>
          <t>A Fields</t>
        </is>
      </c>
      <c r="F31" t="n">
        <v>4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K_S play #56 (Section 4 final pitch 'Strike 3 swinging')</t>
        </is>
      </c>
    </row>
    <row r="32">
      <c r="A32" t="inlineStr">
        <is>
          <t>2026-03-14_WTTN_at_RVRH</t>
        </is>
      </c>
      <c r="B32" s="10" t="n">
        <v>46095</v>
      </c>
      <c r="C32" t="inlineStr">
        <is>
          <t>Wootton Varsity Patriots</t>
        </is>
      </c>
      <c r="D32" t="inlineStr">
        <is>
          <t>RVRH</t>
        </is>
      </c>
      <c r="E32" t="inlineStr">
        <is>
          <t>E McCoy</t>
        </is>
      </c>
      <c r="F32" t="n">
        <v>2</v>
      </c>
      <c r="G32" t="n">
        <v>2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R B3 play #23; replaced in B6 by A Contreras (play #57); also pitches T7 and T8 (Flag #1)</t>
        </is>
      </c>
    </row>
    <row r="33">
      <c r="A33" t="inlineStr">
        <is>
          <t>2026-03-14_WTTN_at_RVRH</t>
        </is>
      </c>
      <c r="B33" s="10" t="n">
        <v>46095</v>
      </c>
      <c r="C33" t="inlineStr">
        <is>
          <t>Wootton Varsity Patriots</t>
        </is>
      </c>
      <c r="D33" t="inlineStr">
        <is>
          <t>RVRH</t>
        </is>
      </c>
      <c r="E33" t="inlineStr">
        <is>
          <t>C Nichols</t>
        </is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inlineStr">
        <is>
          <t>SAC B3 play #20 (outcome explicitly says 'sacrifices'); replaced in B6 by R Ronayne (play #58 note)</t>
        </is>
      </c>
    </row>
    <row r="34">
      <c r="A34" t="inlineStr">
        <is>
          <t>2026-03-14_WTTN_at_RVRH</t>
        </is>
      </c>
      <c r="B34" s="10" t="n">
        <v>46095</v>
      </c>
      <c r="C34" t="inlineStr">
        <is>
          <t>Wootton Varsity Patriots</t>
        </is>
      </c>
      <c r="D34" t="inlineStr">
        <is>
          <t>RVRH</t>
        </is>
      </c>
      <c r="E34" t="inlineStr">
        <is>
          <t>A Contreras</t>
        </is>
      </c>
      <c r="F34" t="n">
        <v>3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inlineStr">
        <is>
          <t>R B3 play #24 (J Norwood doubles, A Contreras scores); HBP B3 play #21; FC B4 play #38; sub in for E McCoy B6 (play #57)</t>
        </is>
      </c>
    </row>
    <row r="35">
      <c r="A35" t="inlineStr">
        <is>
          <t>2026-03-14_WTTN_at_RVRH</t>
        </is>
      </c>
      <c r="B35" s="10" t="n">
        <v>46095</v>
      </c>
      <c r="C35" t="inlineStr">
        <is>
          <t>Wootton Varsity Patriots</t>
        </is>
      </c>
      <c r="D35" t="inlineStr">
        <is>
          <t>RVRH</t>
        </is>
      </c>
      <c r="E35" t="inlineStr">
        <is>
          <t>R Ronayne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>Sub for C Nichols B6 (play #58 note)</t>
        </is>
      </c>
    </row>
    <row r="36">
      <c r="A36" t="inlineStr">
        <is>
          <t>2026-03-14_WTTN_at_RVRH</t>
        </is>
      </c>
      <c r="B36" s="10" t="n">
        <v>46095</v>
      </c>
      <c r="C36" t="inlineStr">
        <is>
          <t>Wootton Varsity Patriots</t>
        </is>
      </c>
      <c r="D36" t="inlineStr">
        <is>
          <t>RVRH</t>
        </is>
      </c>
      <c r="E36" t="inlineStr">
        <is>
          <t>B Bixby</t>
        </is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Pop out B6 play #59; 2 errors as LF in T6 (plays #49, #52)</t>
        </is>
      </c>
    </row>
    <row r="37">
      <c r="A37" t="inlineStr">
        <is>
          <t>2026-03-14_WTTN_at_RVRH</t>
        </is>
      </c>
      <c r="B37" s="10" t="n">
        <v>46095</v>
      </c>
      <c r="C37" t="inlineStr">
        <is>
          <t>Wootton Varsity Patriots</t>
        </is>
      </c>
      <c r="D37" t="inlineStr">
        <is>
          <t>WTTN</t>
        </is>
      </c>
      <c r="E37" t="inlineStr">
        <is>
          <t>T Cornet</t>
        </is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K_L play #17 (Section 4 final pitch 'Strike 3 looking'); K_S play #41 (Section 4 final pitch 'Strike 3 swinging'); also pitches B6</t>
        </is>
      </c>
    </row>
    <row r="38">
      <c r="A38" t="inlineStr">
        <is>
          <t>2026-03-14_WTTN_at_RVRH</t>
        </is>
      </c>
      <c r="B38" s="10" t="n">
        <v>46095</v>
      </c>
      <c r="C38" t="inlineStr">
        <is>
          <t>Wootton Varsity Patriots</t>
        </is>
      </c>
      <c r="D38" t="inlineStr">
        <is>
          <t>WTTN</t>
        </is>
      </c>
      <c r="E38" t="inlineStr">
        <is>
          <t>J Reid</t>
        </is>
      </c>
      <c r="F38" t="n">
        <v>4</v>
      </c>
      <c r="G38" t="n">
        <v>4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>R scored T1 play #3 (J Arnold doubles, J Reid scores); error play #42 T5 (not a hit)</t>
        </is>
      </c>
    </row>
    <row r="39">
      <c r="A39" t="inlineStr">
        <is>
          <t>2026-03-14_WTTN_at_RVRH</t>
        </is>
      </c>
      <c r="B39" s="10" t="n">
        <v>46095</v>
      </c>
      <c r="C39" t="inlineStr">
        <is>
          <t>Wootton Varsity Patriots</t>
        </is>
      </c>
      <c r="D39" t="inlineStr">
        <is>
          <t>WTTN</t>
        </is>
      </c>
      <c r="E39" t="inlineStr">
        <is>
          <t>J Arnold</t>
        </is>
      </c>
      <c r="F39" t="n">
        <v>4</v>
      </c>
      <c r="G39" t="n">
        <v>4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>RBI play #3 (J Reid scores on 2B); K_L play #61 (Section 4 final pitch 'Strike 3 looking')</t>
        </is>
      </c>
    </row>
    <row r="40">
      <c r="A40" t="inlineStr">
        <is>
          <t>2026-03-14_WTTN_at_RVRH</t>
        </is>
      </c>
      <c r="B40" s="10" t="n">
        <v>46095</v>
      </c>
      <c r="C40" t="inlineStr">
        <is>
          <t>Wootton Varsity Patriots</t>
        </is>
      </c>
      <c r="D40" t="inlineStr">
        <is>
          <t>WTTN</t>
        </is>
      </c>
      <c r="E40" t="inlineStr">
        <is>
          <t>A Grainger</t>
        </is>
      </c>
      <c r="F40" t="n">
        <v>4</v>
      </c>
      <c r="G40" t="n">
        <v>4</v>
      </c>
      <c r="H40" t="n">
        <v>2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inlineStr">
        <is>
          <t>R T4 play #32 (WP during N Zweig K), R T6 play #52 (N Zweig error, A Grainger scores); SB T6 play #50 (embedded Section 4 during L Avila K AB); K_S play #4 — Section 3 says 'looking' but Section 4 final pitch 'swinging' — K_S recorded per Section 4; error play #49 T6 (not a hit)</t>
        </is>
      </c>
    </row>
    <row r="41">
      <c r="A41" t="inlineStr">
        <is>
          <t>2026-03-14_WTTN_at_RVRH</t>
        </is>
      </c>
      <c r="B41" s="10" t="n">
        <v>46095</v>
      </c>
      <c r="C41" t="inlineStr">
        <is>
          <t>Wootton Varsity Patriots</t>
        </is>
      </c>
      <c r="D41" t="inlineStr">
        <is>
          <t>WTTN</t>
        </is>
      </c>
      <c r="E41" t="inlineStr">
        <is>
          <t>L Avila</t>
        </is>
      </c>
      <c r="F41" t="n">
        <v>4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</v>
      </c>
      <c r="P41" t="n">
        <v>0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R T4 play #33 (K Schmelzer singles, L Avila scores); K_S plays #5 and #50; also pitches B1-B3 (Flag #11)</t>
        </is>
      </c>
    </row>
    <row r="42">
      <c r="A42" t="inlineStr">
        <is>
          <t>2026-03-14_WTTN_at_RVRH</t>
        </is>
      </c>
      <c r="B42" s="10" t="n">
        <v>46095</v>
      </c>
      <c r="C42" t="inlineStr">
        <is>
          <t>Wootton Varsity Patriots</t>
        </is>
      </c>
      <c r="D42" t="inlineStr">
        <is>
          <t>WTTN</t>
        </is>
      </c>
      <c r="E42" t="inlineStr">
        <is>
          <t>J Allen</t>
        </is>
      </c>
      <c r="F42" t="n">
        <v>3</v>
      </c>
      <c r="G42" t="n">
        <v>3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>Play #71 T8 has no recorded outcome — not counted (Flag #1); also pitches B4</t>
        </is>
      </c>
    </row>
    <row r="43">
      <c r="A43" t="inlineStr">
        <is>
          <t>2026-03-14_WTTN_at_RVRH</t>
        </is>
      </c>
      <c r="B43" s="10" t="n">
        <v>46095</v>
      </c>
      <c r="C43" t="inlineStr">
        <is>
          <t>Wootton Varsity Patriots</t>
        </is>
      </c>
      <c r="D43" t="inlineStr">
        <is>
          <t>WTTN</t>
        </is>
      </c>
      <c r="E43" t="inlineStr">
        <is>
          <t>N Zweig</t>
        </is>
      </c>
      <c r="F43" t="n">
        <v>3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>K_S play #32 (Section 4 final pitch 'Strike 3 swinging'); reaches on error play #52 (not a hit)</t>
        </is>
      </c>
    </row>
    <row r="44">
      <c r="A44" t="inlineStr">
        <is>
          <t>2026-03-14_WTTN_at_RVRH</t>
        </is>
      </c>
      <c r="B44" s="10" t="n">
        <v>46095</v>
      </c>
      <c r="C44" t="inlineStr">
        <is>
          <t>Wootton Varsity Patriots</t>
        </is>
      </c>
      <c r="D44" t="inlineStr">
        <is>
          <t>WTTN</t>
        </is>
      </c>
      <c r="E44" t="inlineStr">
        <is>
          <t>K Schmelzer</t>
        </is>
      </c>
      <c r="F44" t="n">
        <v>3</v>
      </c>
      <c r="G44" t="n">
        <v>2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inlineStr">
        <is>
          <t>CS play #34 (caught stealing 2nd explicitly logged); GDP play #12; RBI play #33 (L Avila scores on 1B); IBB play #53</t>
        </is>
      </c>
    </row>
    <row r="45">
      <c r="A45" t="inlineStr">
        <is>
          <t>2026-03-14_WTTN_at_RVRH</t>
        </is>
      </c>
      <c r="B45" s="10" t="n">
        <v>46095</v>
      </c>
      <c r="C45" t="inlineStr">
        <is>
          <t>Wootton Varsity Patriots</t>
        </is>
      </c>
      <c r="D45" t="inlineStr">
        <is>
          <t>WTTN</t>
        </is>
      </c>
      <c r="E45" t="inlineStr">
        <is>
          <t>A Yang</t>
        </is>
      </c>
      <c r="F45" t="n">
        <v>3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K_S play #16 (Section 4 final pitch 'Strike 3 swinging'); K_L play #40 (Section 4 final pitch 'Strike 3 looking'); sub for A Lim play #16</t>
        </is>
      </c>
    </row>
    <row r="46">
      <c r="A46" t="inlineStr">
        <is>
          <t>2026-03-21_RVRH_at_GLFR</t>
        </is>
      </c>
      <c r="B46" s="10" t="n">
        <v>46102</v>
      </c>
      <c r="C46" t="inlineStr">
        <is>
          <t>Guilford Park Varsity Panthers</t>
        </is>
      </c>
      <c r="D46" t="inlineStr">
        <is>
          <t>RVRH</t>
        </is>
      </c>
      <c r="E46" t="inlineStr">
        <is>
          <t>R Walsh</t>
        </is>
      </c>
      <c r="F46" t="n">
        <v>4</v>
      </c>
      <c r="G46" t="n">
        <v>4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1</v>
      </c>
      <c r="R46" t="n">
        <v>2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Dropped 3rd strike play #1 (K_S, Sec4 #1 'Strike 3 swinging'); 1B play #10 (2 RBI: A Fields + B Bixby/G Dang score); K_L play #24 (Sec4 #24 'Strike 3 looking'); 2B play #57 (2 RBI: E Skolkin + L Kreisl score); R scored play #4 (H Zhang FC); R scored play #11 via CR E Skolkin (credited to R Walsh)</t>
        </is>
      </c>
    </row>
    <row r="47">
      <c r="A47" t="inlineStr">
        <is>
          <t>2026-03-21_RVRH_at_GLFR</t>
        </is>
      </c>
      <c r="B47" s="10" t="n">
        <v>46102</v>
      </c>
      <c r="C47" t="inlineStr">
        <is>
          <t>Guilford Park Varsity Panthers</t>
        </is>
      </c>
      <c r="D47" t="inlineStr">
        <is>
          <t>RVRH</t>
        </is>
      </c>
      <c r="E47" t="inlineStr">
        <is>
          <t>C Reis</t>
        </is>
      </c>
      <c r="F47" t="n">
        <v>4</v>
      </c>
      <c r="G47" t="n">
        <v>4</v>
      </c>
      <c r="H47" t="n">
        <v>4</v>
      </c>
      <c r="I47" t="n">
        <v>3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>1B play #2; 1B play #11 (2 RBI: E Skolkin/R Walsh + A Contreras score); 1B play #25 (2 RBI: A Contreras + E McCoy score, no error per Flag #5); 2B play #43; R scored play #5, play #14, play #44 via CR R Miller (credited to C Reis)</t>
        </is>
      </c>
    </row>
    <row r="48">
      <c r="A48" t="inlineStr">
        <is>
          <t>2026-03-21_RVRH_at_GLFR</t>
        </is>
      </c>
      <c r="B48" s="10" t="n">
        <v>46102</v>
      </c>
      <c r="C48" t="inlineStr">
        <is>
          <t>Guilford Park Varsity Panthers</t>
        </is>
      </c>
      <c r="D48" t="inlineStr">
        <is>
          <t>RVRH</t>
        </is>
      </c>
      <c r="E48" t="inlineStr">
        <is>
          <t>J Norwood</t>
        </is>
      </c>
      <c r="F48" t="n">
        <v>4</v>
      </c>
      <c r="G48" t="n">
        <v>2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2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inlineStr">
        <is>
          <t>BB play #3; Fly Out play #12; 1B play #44 (1 RBI: R Miller/C Reis CR scores); SAC Fly play #59 (1 RBI: B Bixby scores); Foul Tip Out play #26 classified as K_S (foul tip on 3rd strike, contact made); R scored play #5 (C Naecker 1B); also pitches B4–B5 (Flag #7)</t>
        </is>
      </c>
    </row>
    <row r="49">
      <c r="A49" t="inlineStr">
        <is>
          <t>2026-03-21_RVRH_at_GLFR</t>
        </is>
      </c>
      <c r="B49" s="10" t="n">
        <v>46102</v>
      </c>
      <c r="C49" t="inlineStr">
        <is>
          <t>Guilford Park Varsity Panthers</t>
        </is>
      </c>
      <c r="D49" t="inlineStr">
        <is>
          <t>RVRH</t>
        </is>
      </c>
      <c r="E49" t="inlineStr">
        <is>
          <t>H Zhang</t>
        </is>
      </c>
      <c r="F49" t="n">
        <v>5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2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inlineStr">
        <is>
          <t>FC play #4 (1 RBI: R Walsh scores, no error); HBP play #13; Fly Out play #27; Ground Out play #45; Walk play #60; R scored play #7 (A Fields 1B) + play #15 (G Dang error — R via error, contributes to R total)</t>
        </is>
      </c>
    </row>
    <row r="50">
      <c r="A50" t="inlineStr">
        <is>
          <t>2026-03-21_RVRH_at_GLFR</t>
        </is>
      </c>
      <c r="B50" s="10" t="n">
        <v>46102</v>
      </c>
      <c r="C50" t="inlineStr">
        <is>
          <t>Guilford Park Varsity Panthers</t>
        </is>
      </c>
      <c r="D50" t="inlineStr">
        <is>
          <t>RVRH</t>
        </is>
      </c>
      <c r="E50" t="inlineStr">
        <is>
          <t>C Naecker</t>
        </is>
      </c>
      <c r="F50" t="n">
        <v>3</v>
      </c>
      <c r="G50" t="n">
        <v>3</v>
      </c>
      <c r="H50" t="n">
        <v>2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1B play #5 (2 RBI: J Norwood + C Reis score, no error per Flag #4); Error play #14 (not a hit; C Reis scores on error — no RBI); 1B play #32; R scored play #9 (A Contreras BB, forced) + play #15 (G Dang error); subbed by B Mougey T5 (play #52)</t>
        </is>
      </c>
    </row>
    <row r="51">
      <c r="A51" t="inlineStr">
        <is>
          <t>2026-03-21_RVRH_at_GLFR</t>
        </is>
      </c>
      <c r="B51" s="10" t="n">
        <v>46102</v>
      </c>
      <c r="C51" t="inlineStr">
        <is>
          <t>Guilford Park Varsity Panthers</t>
        </is>
      </c>
      <c r="D51" t="inlineStr">
        <is>
          <t>RVRH</t>
        </is>
      </c>
      <c r="E51" t="inlineStr">
        <is>
          <t>G Dang</t>
        </is>
      </c>
      <c r="F51" t="n">
        <v>3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HBP play #6; CR B Bixby used T1 (play #7 Sec4); Error play #15 (not a hit; runs scored on error — no RBI); Ground Out play #33; R credited play #10 via CR B Bixby (B Bixby scores on R Walsh 1B)</t>
        </is>
      </c>
    </row>
    <row r="52">
      <c r="A52" t="inlineStr">
        <is>
          <t>2026-03-21_RVRH_at_GLFR</t>
        </is>
      </c>
      <c r="B52" s="10" t="n">
        <v>46102</v>
      </c>
      <c r="C52" t="inlineStr">
        <is>
          <t>Guilford Park Varsity Panthers</t>
        </is>
      </c>
      <c r="D52" t="inlineStr">
        <is>
          <t>RVRH</t>
        </is>
      </c>
      <c r="E52" t="inlineStr">
        <is>
          <t>A Fields</t>
        </is>
      </c>
      <c r="F52" t="n">
        <v>3</v>
      </c>
      <c r="G52" t="n">
        <v>3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1B play #7 (1 RBI: H Zhang scores); Fly Out play #16; K_L play #34 (Sec4 #34 final pitch 'Strike 3 looking'); R scored play #10 (R Walsh 1B)</t>
        </is>
      </c>
    </row>
    <row r="53">
      <c r="A53" t="inlineStr">
        <is>
          <t>2026-03-21_RVRH_at_GLFR</t>
        </is>
      </c>
      <c r="B53" s="10" t="n">
        <v>46102</v>
      </c>
      <c r="C53" t="inlineStr">
        <is>
          <t>Guilford Park Varsity Panthers</t>
        </is>
      </c>
      <c r="D53" t="inlineStr">
        <is>
          <t>RVRH</t>
        </is>
      </c>
      <c r="E53" t="inlineStr">
        <is>
          <t>E McCoy</t>
        </is>
      </c>
      <c r="F53" t="n">
        <v>3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K_S play #8 (Sec4 #8 'Strike 3 swinging'); Walk play #22; Ground Out play #35; R scored play #25 (C Reis 1B, no error per Flag #5)</t>
        </is>
      </c>
    </row>
    <row r="54">
      <c r="A54" t="inlineStr">
        <is>
          <t>2026-03-21_RVRH_at_GLFR</t>
        </is>
      </c>
      <c r="B54" s="10" t="n">
        <v>46102</v>
      </c>
      <c r="C54" t="inlineStr">
        <is>
          <t>Guilford Park Varsity Panthers</t>
        </is>
      </c>
      <c r="D54" t="inlineStr">
        <is>
          <t>RVRH</t>
        </is>
      </c>
      <c r="E54" t="inlineStr">
        <is>
          <t>A Contreras</t>
        </is>
      </c>
      <c r="F54" t="n">
        <v>3</v>
      </c>
      <c r="G54" t="n">
        <v>2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Walk play #9 (1 RBI: C Naecker scores, bases-loaded); 1B play #23; Pop Out play #41; R scored play #11 (C Reis 1B) + play #25 (C Reis 1B, advances to 3rd on throw, then scores)</t>
        </is>
      </c>
    </row>
    <row r="55">
      <c r="A55" t="inlineStr">
        <is>
          <t>2026-03-21_RVRH_at_GLFR</t>
        </is>
      </c>
      <c r="B55" s="10" t="n">
        <v>46102</v>
      </c>
      <c r="C55" t="inlineStr">
        <is>
          <t>Guilford Park Varsity Panthers</t>
        </is>
      </c>
      <c r="D55" t="inlineStr">
        <is>
          <t>RVRH</t>
        </is>
      </c>
      <c r="E55" t="inlineStr">
        <is>
          <t>E Skolkin</t>
        </is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inlineStr">
        <is>
          <t>FC play #54 (T5); R scored play #57 (R Walsh 2B); also used as CR for R Walsh T1 (play #11 Sec4) — run credited to R Walsh, not E Skolkin</t>
        </is>
      </c>
    </row>
    <row r="56">
      <c r="A56" t="inlineStr">
        <is>
          <t>2026-03-21_RVRH_at_GLFR</t>
        </is>
      </c>
      <c r="B56" s="10" t="n">
        <v>46102</v>
      </c>
      <c r="C56" t="inlineStr">
        <is>
          <t>Guilford Park Varsity Panthers</t>
        </is>
      </c>
      <c r="D56" t="inlineStr">
        <is>
          <t>RVRH</t>
        </is>
      </c>
      <c r="E56" t="inlineStr">
        <is>
          <t>B Bixby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Walk play #56 (T5; 1 RBI: B Mougey scores, forced); R scored play #59 (J Norwood SAC Fly); also used as CR for G Dang T1 (play #7 Sec4) — run from that CR credited to G Dang; 2 errors as LF T6 (plays #49, #52 — separate from batting)</t>
        </is>
      </c>
    </row>
    <row r="57">
      <c r="A57" t="inlineStr">
        <is>
          <t>2026-03-21_RVRH_at_GLFR</t>
        </is>
      </c>
      <c r="B57" s="10" t="n">
        <v>46102</v>
      </c>
      <c r="C57" t="inlineStr">
        <is>
          <t>Guilford Park Varsity Panthers</t>
        </is>
      </c>
      <c r="D57" t="inlineStr">
        <is>
          <t>RVRH</t>
        </is>
      </c>
      <c r="E57" t="inlineStr">
        <is>
          <t>R Ronayne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Walk play #53 (T5); out on FC play #54 (E Skolkin FC, R Ronayne out advancing to 2nd); T6 play #69 AB not counted (no outcome recorded, Flag #1)</t>
        </is>
      </c>
    </row>
    <row r="58">
      <c r="A58" t="inlineStr">
        <is>
          <t>2026-03-21_RVRH_at_GLFR</t>
        </is>
      </c>
      <c r="B58" s="10" t="n">
        <v>46102</v>
      </c>
      <c r="C58" t="inlineStr">
        <is>
          <t>Guilford Park Varsity Panthers</t>
        </is>
      </c>
      <c r="D58" t="inlineStr">
        <is>
          <t>RVRH</t>
        </is>
      </c>
      <c r="E58" t="inlineStr">
        <is>
          <t>B Mougey</t>
        </is>
      </c>
      <c r="F58" t="n">
        <v>2</v>
      </c>
      <c r="G58" t="n">
        <v>2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Sub for C Naecker T5 (play #52 Sec4); 1B play #52; K_L play #61 (Sec4 #61 'Strike 3 looking'); R scored play #56 (B Bixby BB, B Mougey forced home from 3rd)</t>
        </is>
      </c>
    </row>
    <row r="59">
      <c r="A59" t="inlineStr">
        <is>
          <t>2026-03-21_RVRH_at_GLFR</t>
        </is>
      </c>
      <c r="B59" s="10" t="n">
        <v>46102</v>
      </c>
      <c r="C59" t="inlineStr">
        <is>
          <t>Guilford Park Varsity Panthers</t>
        </is>
      </c>
      <c r="D59" t="inlineStr">
        <is>
          <t>RVRH</t>
        </is>
      </c>
      <c r="E59" t="inlineStr">
        <is>
          <t>L Kreisl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Walk play #55 (T5); R scored play #57 (R Walsh 2B)</t>
        </is>
      </c>
    </row>
    <row r="60">
      <c r="A60" t="inlineStr">
        <is>
          <t>2026-03-21_RVRH_at_GLFR</t>
        </is>
      </c>
      <c r="B60" s="10" t="n">
        <v>46102</v>
      </c>
      <c r="C60" t="inlineStr">
        <is>
          <t>Guilford Park Varsity Panthers</t>
        </is>
      </c>
      <c r="D60" t="inlineStr">
        <is>
          <t>RVRH</t>
        </is>
      </c>
      <c r="E60" t="inlineStr">
        <is>
          <t>R Miller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Walk play #58 (T5); stranded at 2nd (B Mougey K ends inning); also used as CR for C Reis T4 (play #44 Sec4) — run credited to C Reis, not R Miller</t>
        </is>
      </c>
    </row>
    <row r="61">
      <c r="A61" t="inlineStr">
        <is>
          <t>2026-03-21_RVRH_at_GLFR</t>
        </is>
      </c>
      <c r="B61" s="10" t="n">
        <v>46102</v>
      </c>
      <c r="C61" t="inlineStr">
        <is>
          <t>Guilford Park Varsity Panthers</t>
        </is>
      </c>
      <c r="D61" t="inlineStr">
        <is>
          <t>GLFR</t>
        </is>
      </c>
      <c r="E61" t="inlineStr">
        <is>
          <t>GLFR_BS</t>
        </is>
      </c>
      <c r="F61" t="n">
        <v>3</v>
      </c>
      <c r="G61" t="n">
        <v>2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Dropped 3rd strike B1 play #17 — out at first (K_S, Sec4 #17 'Strike 3 swinging'; Flag #13); Walk B3 play #36; 1B B4 play #50 (2 RBI: M R + J H score, no error per Flag #8); R scored B3 play #39 (L L FC DP, B S scores from 3rd); also pitches T1; GLFR name abbreviated per Flag #3</t>
        </is>
      </c>
    </row>
    <row r="62">
      <c r="A62" t="inlineStr">
        <is>
          <t>2026-03-21_RVRH_at_GLFR</t>
        </is>
      </c>
      <c r="B62" s="10" t="n">
        <v>46102</v>
      </c>
      <c r="C62" t="inlineStr">
        <is>
          <t>Guilford Park Varsity Panthers</t>
        </is>
      </c>
      <c r="D62" t="inlineStr">
        <is>
          <t>GLFR</t>
        </is>
      </c>
      <c r="E62" t="inlineStr">
        <is>
          <t>GLFR_AA</t>
        </is>
      </c>
      <c r="F62" t="n">
        <v>3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2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K_L B1 play #18 (Sec4 #18 'Strike 3 looking'); Walk B3 play #37; K_S B4 play #51 (Sec4 #51 'Strike 3 swinging'); also pitches T2–T4; GLFR name abbreviated per Flag #3</t>
        </is>
      </c>
    </row>
    <row r="63">
      <c r="A63" t="inlineStr">
        <is>
          <t>2026-03-21_RVRH_at_GLFR</t>
        </is>
      </c>
      <c r="B63" s="10" t="n">
        <v>46102</v>
      </c>
      <c r="C63" t="inlineStr">
        <is>
          <t>Guilford Park Varsity Panthers</t>
        </is>
      </c>
      <c r="D63" t="inlineStr">
        <is>
          <t>GLFR</t>
        </is>
      </c>
      <c r="E63" t="inlineStr">
        <is>
          <t>GLFR_LR</t>
        </is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inlineStr">
        <is>
          <t>Walk B1 play #19; Walk B3 play #38; Walk B5 play #62 (CR Z M in during AB, Sec4 #63); CS=1: CR Z M caught stealing home (Sec4 play #66, B5, during M R walk AB) — CS credited to L R per CR tracking; GLFR name abbreviated per Flag #3</t>
        </is>
      </c>
    </row>
    <row r="64">
      <c r="A64" t="inlineStr">
        <is>
          <t>2026-03-21_RVRH_at_GLFR</t>
        </is>
      </c>
      <c r="B64" s="10" t="n">
        <v>46102</v>
      </c>
      <c r="C64" t="inlineStr">
        <is>
          <t>Guilford Park Varsity Panthers</t>
        </is>
      </c>
      <c r="D64" t="inlineStr">
        <is>
          <t>GLFR</t>
        </is>
      </c>
      <c r="E64" t="inlineStr">
        <is>
          <t>GLFR_LL</t>
        </is>
      </c>
      <c r="F64" t="n">
        <v>3</v>
      </c>
      <c r="G64" t="n">
        <v>2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inlineStr">
        <is>
          <t>Walk B1 play #20; FC Double Play B3 play #39 (GDP+1 and FC+1 per 'double play' in outcome; Flag #6 — routing inconsistency; L L reaches safely); 2B B5 play #63; R scored play #66 (steals home during M R walk AB, Sec4); also pitches T5; GLFR name abbreviated per Flag #3</t>
        </is>
      </c>
    </row>
    <row r="65">
      <c r="A65" t="inlineStr">
        <is>
          <t>2026-03-21_RVRH_at_GLFR</t>
        </is>
      </c>
      <c r="B65" s="10" t="n">
        <v>46102</v>
      </c>
      <c r="C65" t="inlineStr">
        <is>
          <t>Guilford Park Varsity Panthers</t>
        </is>
      </c>
      <c r="D65" t="inlineStr">
        <is>
          <t>GLFR</t>
        </is>
      </c>
      <c r="E65" t="inlineStr">
        <is>
          <t>GLFR_ST</t>
        </is>
      </c>
      <c r="F65" t="n">
        <v>3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inlineStr">
        <is>
          <t>K_L B1 play #21 (Sec4 #21 'Strike 3 looking'); FC B3 play #40 (L L out advancing to 2nd); Walk B5 play #64; SB=1: steals 2nd embedded Sec4 play #66 (B5, during M R walk AB); R scored play #67 (I W 1B, S T scores on throw, no error per Flag #10); GLFR name abbreviated per Flag #3</t>
        </is>
      </c>
    </row>
    <row r="66">
      <c r="A66" t="inlineStr">
        <is>
          <t>2026-03-21_RVRH_at_GLFR</t>
        </is>
      </c>
      <c r="B66" s="10" t="n">
        <v>46102</v>
      </c>
      <c r="C66" t="inlineStr">
        <is>
          <t>Guilford Park Varsity Panthers</t>
        </is>
      </c>
      <c r="D66" t="inlineStr">
        <is>
          <t>GLFR</t>
        </is>
      </c>
      <c r="E66" t="inlineStr">
        <is>
          <t>GLFR_JH</t>
        </is>
      </c>
      <c r="F66" t="n">
        <v>3</v>
      </c>
      <c r="G66" t="n">
        <v>2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3B B2 play #28; HBP B4 play #46; Infield Fly Out B5 play #65; R scored play #29 (M R SAC Fly) + play #50 (B S 1B, J H scores from 3rd after PB advanced him; Flag #8); GLFR name abbreviated per Flag #3</t>
        </is>
      </c>
    </row>
    <row r="67">
      <c r="A67" t="inlineStr">
        <is>
          <t>2026-03-21_RVRH_at_GLFR</t>
        </is>
      </c>
      <c r="B67" s="10" t="n">
        <v>46102</v>
      </c>
      <c r="C67" t="inlineStr">
        <is>
          <t>Guilford Park Varsity Panthers</t>
        </is>
      </c>
      <c r="D67" t="inlineStr">
        <is>
          <t>GLFR</t>
        </is>
      </c>
      <c r="E67" t="inlineStr">
        <is>
          <t>GLFR_MR</t>
        </is>
      </c>
      <c r="F67" t="n">
        <v>3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inlineStr">
        <is>
          <t>SAC Fly B2 play #29 (1 RBI: J H scores; outcome explicitly says 'sacrifice fly'); 1B B4 play #47; Walk B5 play #66; R scored play #50 (B S 1B, M R scores on throw from 2nd after PB; Flag #8); GLFR name abbreviated per Flag #3</t>
        </is>
      </c>
    </row>
    <row r="68">
      <c r="A68" t="inlineStr">
        <is>
          <t>2026-03-21_RVRH_at_GLFR</t>
        </is>
      </c>
      <c r="B68" s="10" t="n">
        <v>46102</v>
      </c>
      <c r="C68" t="inlineStr">
        <is>
          <t>Guilford Park Varsity Panthers</t>
        </is>
      </c>
      <c r="D68" t="inlineStr">
        <is>
          <t>GLFR</t>
        </is>
      </c>
      <c r="E68" t="inlineStr">
        <is>
          <t>GLFR_IW</t>
        </is>
      </c>
      <c r="F68" t="n">
        <v>3</v>
      </c>
      <c r="G68" t="n">
        <v>3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K_S B2 play #30 (Sec4 #30 'Strike 3 swinging'); K_L B4 play #48 (Sec4 #48 'Strike 3 looking'); 1B B5 play #67 (1 RBI: S T scores on throw, no error per Flag #10); GLFR name abbreviated per Flag #3</t>
        </is>
      </c>
    </row>
    <row r="69">
      <c r="A69" t="inlineStr">
        <is>
          <t>2026-03-21_RVRH_at_GLFR</t>
        </is>
      </c>
      <c r="B69" s="10" t="n">
        <v>46102</v>
      </c>
      <c r="C69" t="inlineStr">
        <is>
          <t>Guilford Park Varsity Panthers</t>
        </is>
      </c>
      <c r="D69" t="inlineStr">
        <is>
          <t>GLFR</t>
        </is>
      </c>
      <c r="E69" t="inlineStr">
        <is>
          <t>GLFR_JS</t>
        </is>
      </c>
      <c r="F69" t="n">
        <v>3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K_L B2 play #31 (Sec4 #31 'Strike 3 looking'); K_S B4 play #49 (Sec4 #49 'Strike 3 swinging'); K_L B5 play #68 (Sec4 #68 'Strike 3 looking'); GLFR name abbreviated per Flag #3</t>
        </is>
      </c>
    </row>
    <row r="70">
      <c r="A70" t="inlineStr">
        <is>
          <t>2026-03-23_WLDL_at_RVRH</t>
        </is>
      </c>
      <c r="B70" s="10" t="n">
        <v>46104</v>
      </c>
      <c r="C70" t="inlineStr">
        <is>
          <t>Wilde Lake Varsity Cats</t>
        </is>
      </c>
      <c r="D70" t="inlineStr">
        <is>
          <t>RVRH</t>
        </is>
      </c>
      <c r="E70" t="inlineStr">
        <is>
          <t>R Walsh</t>
        </is>
      </c>
      <c r="F70" t="n">
        <v>4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K_S B2 play #18 (Sec4 #18 'Strike 3 swinging'); SB B3: steals 2nd embedded in C Reis AB (Sec4 #32); R scored B3 play #32 on C Reis 1B (advanced 1st→2nd on SB, 2nd→3rd on PB during same AB, scored on single); sub A Wu takes R Walsh batting slot in B4 (play #54 note)</t>
        </is>
      </c>
    </row>
    <row r="71">
      <c r="A71" t="inlineStr">
        <is>
          <t>2026-03-23_WLDL_at_RVRH</t>
        </is>
      </c>
      <c r="B71" s="10" t="n">
        <v>46104</v>
      </c>
      <c r="C71" t="inlineStr">
        <is>
          <t>Wilde Lake Varsity Cats</t>
        </is>
      </c>
      <c r="D71" t="inlineStr">
        <is>
          <t>RVRH</t>
        </is>
      </c>
      <c r="E71" t="inlineStr">
        <is>
          <t>C Reis</t>
        </is>
      </c>
      <c r="F71" t="n">
        <v>4</v>
      </c>
      <c r="G71" t="n">
        <v>4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inlineStr">
        <is>
          <t>1B B3 play #32 (RBI=1: R Walsh scores on single); SB B3: steals 2nd embedded in J Norwood AB (Sec4 #33); R scored B3 play #33 (J Norwood 2B, C Reis scores from 3rd after SB+WP during J Norwood AB); FC B3 play #41 (R Walsh out); sub R Miller/L Kreisl take C Reis batting slot in B4 (T4 play #44 note mislabeled as CR)</t>
        </is>
      </c>
    </row>
    <row r="72">
      <c r="A72" t="inlineStr">
        <is>
          <t>2026-03-23_WLDL_at_RVRH</t>
        </is>
      </c>
      <c r="B72" s="10" t="n">
        <v>46104</v>
      </c>
      <c r="C72" t="inlineStr">
        <is>
          <t>Wilde Lake Varsity Cats</t>
        </is>
      </c>
      <c r="D72" t="inlineStr">
        <is>
          <t>RVRH</t>
        </is>
      </c>
      <c r="E72" t="inlineStr">
        <is>
          <t>J Norwood</t>
        </is>
      </c>
      <c r="F72" t="n">
        <v>5</v>
      </c>
      <c r="G72" t="n">
        <v>4</v>
      </c>
      <c r="H72" t="n">
        <v>3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4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1B B1 play #6; 2B B3 play #33 (RBI=1: C Reis scores from 3rd); 3B B4 play #56 (RBI=2: A Wu + L Kreisl score); R: play #27 (G Dang triple), play #34 (H Zhang 1B), play #51 (A Fields walk, forced in), play #57 (R Ronayne 1B); picked off at 1B B1 play #7 — baserunner out, not a separate PA; also plays 1B</t>
        </is>
      </c>
    </row>
    <row r="73">
      <c r="A73" t="inlineStr">
        <is>
          <t>2026-03-23_WLDL_at_RVRH</t>
        </is>
      </c>
      <c r="B73" s="10" t="n">
        <v>46104</v>
      </c>
      <c r="C73" t="inlineStr">
        <is>
          <t>Wilde Lake Varsity Cats</t>
        </is>
      </c>
      <c r="D73" t="inlineStr">
        <is>
          <t>RVRH</t>
        </is>
      </c>
      <c r="E73" t="inlineStr">
        <is>
          <t>H Zhang</t>
        </is>
      </c>
      <c r="F73" t="n">
        <v>3</v>
      </c>
      <c r="G73" t="n">
        <v>2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2B B2 play #12; HBP B3 play #25; 1B B3 play #34 (RBI=1: J Norwood scores from 2nd); R: play #14 (scores on PB by J Bunnell during G Dang K AB — no RBI for anyone), play #27 (G Dang triple, scores from 2nd), play #37 (WP during A Fields walk AB, B Habershon pitching — no RBI)</t>
        </is>
      </c>
    </row>
    <row r="74">
      <c r="A74" t="inlineStr">
        <is>
          <t>2026-03-23_WLDL_at_RVRH</t>
        </is>
      </c>
      <c r="B74" s="10" t="n">
        <v>46104</v>
      </c>
      <c r="C74" t="inlineStr">
        <is>
          <t>Wilde Lake Varsity Cats</t>
        </is>
      </c>
      <c r="D74" t="inlineStr">
        <is>
          <t>RVRH</t>
        </is>
      </c>
      <c r="E74" t="inlineStr">
        <is>
          <t>C Naecker</t>
        </is>
      </c>
      <c r="F74" t="n">
        <v>3</v>
      </c>
      <c r="G74" t="n">
        <v>3</v>
      </c>
      <c r="H74" t="n">
        <v>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1B B2 play #13; 1B B3 play #26; 1B B3 play #35; R: play #14 (scores on error by J Bunnell during G Dang K AB — no RBI), play #27 (G Dang triple, scores from 1st), play #38 (WP during E McCoy walk AB — no RBI); replaced in B4 batting slot by C Nichols (no explicit lineup note)</t>
        </is>
      </c>
    </row>
    <row r="75">
      <c r="A75" t="inlineStr">
        <is>
          <t>2026-03-23_WLDL_at_RVRH</t>
        </is>
      </c>
      <c r="B75" s="10" t="n">
        <v>46104</v>
      </c>
      <c r="C75" t="inlineStr">
        <is>
          <t>Wilde Lake Varsity Cats</t>
        </is>
      </c>
      <c r="D75" t="inlineStr">
        <is>
          <t>RVRH</t>
        </is>
      </c>
      <c r="E75" t="inlineStr">
        <is>
          <t>G Dang</t>
        </is>
      </c>
      <c r="F75" t="n">
        <v>2</v>
      </c>
      <c r="G75" t="n">
        <v>2</v>
      </c>
      <c r="H75" t="n">
        <v>2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3B B3 play #27 (RBI=3: J Norwood + H Zhang + C Naecker score); CR B Bixby used; 1B B3 play #36 (bats 2nd time this inning, Flag #7); CR B Bixby used again (Sec4 #37); R×2 credited via CR B Bixby: play #28 (A Fields 1B, B Bixby scores from 3rd) and play #39 (A Contreras 2B, B Bixby scores from 3rd)</t>
        </is>
      </c>
    </row>
    <row r="76">
      <c r="A76" t="inlineStr">
        <is>
          <t>2026-03-23_WLDL_at_RVRH</t>
        </is>
      </c>
      <c r="B76" s="10" t="n">
        <v>46104</v>
      </c>
      <c r="C76" t="inlineStr">
        <is>
          <t>Wilde Lake Varsity Cats</t>
        </is>
      </c>
      <c r="D76" t="inlineStr">
        <is>
          <t>RVRH</t>
        </is>
      </c>
      <c r="E76" t="inlineStr">
        <is>
          <t>A Fields</t>
        </is>
      </c>
      <c r="F76" t="n">
        <v>4</v>
      </c>
      <c r="G76" t="n">
        <v>2</v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3</v>
      </c>
      <c r="S76" t="n">
        <v>2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1B B2 play #15; 1B B3 play #28 (RBI=1: B Bixby/G Dang scores from 3rd via CR); BB B3 play #37; BB B4 play #51 (RBI=1: J Norwood scores, forced in); SB B3: steals 2nd embedded in E McCoy K AB (Sec4 #29); R: play #32 (scores on PB during C Reis AB — no RBI), play #39 (A Contreras 2B, scores from 2nd), play #54 (A Wu 1B, scores from 3rd)</t>
        </is>
      </c>
    </row>
    <row r="77">
      <c r="A77" t="inlineStr">
        <is>
          <t>2026-03-23_WLDL_at_RVRH</t>
        </is>
      </c>
      <c r="B77" s="10" t="n">
        <v>46104</v>
      </c>
      <c r="C77" t="inlineStr">
        <is>
          <t>Wilde Lake Varsity Cats</t>
        </is>
      </c>
      <c r="D77" t="inlineStr">
        <is>
          <t>RVRH</t>
        </is>
      </c>
      <c r="E77" t="inlineStr">
        <is>
          <t>E McCoy</t>
        </is>
      </c>
      <c r="F77" t="n">
        <v>3</v>
      </c>
      <c r="G77" t="n">
        <v>2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1B B2 play #16; K_S B3 play #29 (Sec4 #29 'Strike 3 swinging'); BB B3 play #38; replaced in B4 batting slot by B Bixby (no explicit lineup note); stranded at 2nd (B2) and at 3rd (B3 play #41 ends inning)</t>
        </is>
      </c>
    </row>
    <row r="78">
      <c r="A78" t="inlineStr">
        <is>
          <t>2026-03-23_WLDL_at_RVRH</t>
        </is>
      </c>
      <c r="B78" s="10" t="n">
        <v>46104</v>
      </c>
      <c r="C78" t="inlineStr">
        <is>
          <t>Wilde Lake Varsity Cats</t>
        </is>
      </c>
      <c r="D78" t="inlineStr">
        <is>
          <t>RVRH</t>
        </is>
      </c>
      <c r="E78" t="inlineStr">
        <is>
          <t>A Contreras</t>
        </is>
      </c>
      <c r="F78" t="n">
        <v>3</v>
      </c>
      <c r="G78" t="n">
        <v>2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HBP B2 play #17; FO B3 play #30 (A Fields tags up to 3rd); 2B B3 play #39 (RBI=2: B Bixby/G Dang scores from 3rd via CR + A Fields scores from 2nd); replaced in B4 batting slot by R Miller (see T4 play #44 note, mislabeled as CR)</t>
        </is>
      </c>
    </row>
    <row r="79">
      <c r="A79" t="inlineStr">
        <is>
          <t>2026-03-23_WLDL_at_RVRH</t>
        </is>
      </c>
      <c r="B79" s="10" t="n">
        <v>46104</v>
      </c>
      <c r="C79" t="inlineStr">
        <is>
          <t>Wilde Lake Varsity Cats</t>
        </is>
      </c>
      <c r="D79" t="inlineStr">
        <is>
          <t>RVRH</t>
        </is>
      </c>
      <c r="E79" t="inlineStr">
        <is>
          <t>B Bixby</t>
        </is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inlineStr">
        <is>
          <t>Bats B4 play #52 (in E McCoy batting slot); FC play #52 (SS N Dalesio to 2B D Coleman; Flag #5 — no out explicitly recorded); RBI=1: R Ronayne scores on FC; R scored B4 play #55 (L Kreisl FC, B Bixby scores from 3rd); also CR for G Dang ×2 in B3 (plays #28 and #37 Sec4; Flag #7) — runs from those credited to G Dang</t>
        </is>
      </c>
    </row>
    <row r="80">
      <c r="A80" t="inlineStr">
        <is>
          <t>2026-03-23_WLDL_at_RVRH</t>
        </is>
      </c>
      <c r="B80" s="10" t="n">
        <v>46104</v>
      </c>
      <c r="C80" t="inlineStr">
        <is>
          <t>Wilde Lake Varsity Cats</t>
        </is>
      </c>
      <c r="D80" t="inlineStr">
        <is>
          <t>RVRH</t>
        </is>
      </c>
      <c r="E80" t="inlineStr">
        <is>
          <t>R Ronayne</t>
        </is>
      </c>
      <c r="F80" t="n">
        <v>2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BB B4 play #48 (J Norwood advances to 2nd on PB during AB, Sec4 #48); R scored B4 play #52 (B Bixby FC, R Ronayne scores from 3rd); 1B B4 play #57 (RBI=1: J Norwood scores from 3rd); out on C Nichols FC play #58 (R Ronayne out advancing to 2nd, inning ends)</t>
        </is>
      </c>
    </row>
    <row r="81">
      <c r="A81" t="inlineStr">
        <is>
          <t>2026-03-23_WLDL_at_RVRH</t>
        </is>
      </c>
      <c r="B81" s="10" t="n">
        <v>46104</v>
      </c>
      <c r="C81" t="inlineStr">
        <is>
          <t>Wilde Lake Varsity Cats</t>
        </is>
      </c>
      <c r="D81" t="inlineStr">
        <is>
          <t>RVRH</t>
        </is>
      </c>
      <c r="E81" t="inlineStr">
        <is>
          <t>C Nichols</t>
        </is>
      </c>
      <c r="F81" t="n">
        <v>2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inlineStr">
        <is>
          <t>BB B4 play #49; FC B4 play #58 (R Ronayne out, inning ends); R scored B4 play #53 (R Miller 1B, C Nichols scores from 3rd); also pitches T4 (lineup note play #42)</t>
        </is>
      </c>
    </row>
    <row r="82">
      <c r="A82" t="inlineStr">
        <is>
          <t>2026-03-23_WLDL_at_RVRH</t>
        </is>
      </c>
      <c r="B82" s="10" t="n">
        <v>46104</v>
      </c>
      <c r="C82" t="inlineStr">
        <is>
          <t>Wilde Lake Varsity Cats</t>
        </is>
      </c>
      <c r="D82" t="inlineStr">
        <is>
          <t>RVRH</t>
        </is>
      </c>
      <c r="E82" t="inlineStr">
        <is>
          <t>B Mougey</t>
        </is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K_L B4 play #50 (Sec4 #50 'Strike 3 looking'); B5 play #63 not counted — no outcome recorded (Flag #1); sub for C Naecker batting slot (Sec4 #50 lineup note)</t>
        </is>
      </c>
    </row>
    <row r="83">
      <c r="A83" t="inlineStr">
        <is>
          <t>2026-03-23_WLDL_at_RVRH</t>
        </is>
      </c>
      <c r="B83" s="10" t="n">
        <v>46104</v>
      </c>
      <c r="C83" t="inlineStr">
        <is>
          <t>Wilde Lake Varsity Cats</t>
        </is>
      </c>
      <c r="D83" t="inlineStr">
        <is>
          <t>RVRH</t>
        </is>
      </c>
      <c r="E83" t="inlineStr">
        <is>
          <t>R Miller</t>
        </is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1B B4 play #53 (RBI=1: C Nichols scores from 3rd); out advancing to 3rd on L Kreisl FC play #55 (not a run); takes C Reis/A Contreras batting slot in B4; T4 play #44 note labels this as 'CR for C Reis' — mislabeled, treated as defensive/batting sub</t>
        </is>
      </c>
    </row>
    <row r="84">
      <c r="A84" t="inlineStr">
        <is>
          <t>2026-03-23_WLDL_at_RVRH</t>
        </is>
      </c>
      <c r="B84" s="10" t="n">
        <v>46104</v>
      </c>
      <c r="C84" t="inlineStr">
        <is>
          <t>Wilde Lake Varsity Cats</t>
        </is>
      </c>
      <c r="D84" t="inlineStr">
        <is>
          <t>RVRH</t>
        </is>
      </c>
      <c r="E84" t="inlineStr">
        <is>
          <t>A Wu</t>
        </is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Sub for R Walsh batting slot (play #54 note: 'Lineup changed: A Wu in for batter R Walsh'); 1B B4 play #54 (RBI=1: A Fields scores from 3rd); R scored B4 play #56 (J Norwood triple, A Wu scores from 2nd)</t>
        </is>
      </c>
    </row>
    <row r="85">
      <c r="A85" t="inlineStr">
        <is>
          <t>2026-03-23_WLDL_at_RVRH</t>
        </is>
      </c>
      <c r="B85" s="10" t="n">
        <v>46104</v>
      </c>
      <c r="C85" t="inlineStr">
        <is>
          <t>Wilde Lake Varsity Cats</t>
        </is>
      </c>
      <c r="D85" t="inlineStr">
        <is>
          <t>RVRH</t>
        </is>
      </c>
      <c r="E85" t="inlineStr">
        <is>
          <t>L Kreisl</t>
        </is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inlineStr">
        <is>
          <t>Sub for C Reis batting slot (play #55 note: 'Lineup changed: L Kreisl in for batter C Reis'); FC B4 play #55 (R Miller out advancing to 3rd; RBI=1: B Bixby scores from 3rd); R scored B4 play #56 (J Norwood triple, L Kreisl scores from 1st)</t>
        </is>
      </c>
    </row>
    <row r="86">
      <c r="A86" t="inlineStr">
        <is>
          <t>2026-03-23_WLDL_at_RVRH</t>
        </is>
      </c>
      <c r="B86" s="10" t="n">
        <v>46104</v>
      </c>
      <c r="C86" t="inlineStr">
        <is>
          <t>Wilde Lake Varsity Cats</t>
        </is>
      </c>
      <c r="D86" t="inlineStr">
        <is>
          <t>WLDL</t>
        </is>
      </c>
      <c r="E86" t="inlineStr">
        <is>
          <t>T Sommer</t>
        </is>
      </c>
      <c r="F86" t="n">
        <v>2</v>
      </c>
      <c r="G86" t="n">
        <v>2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K_S T1 play #1 (Sec4 #1 'Strike 3 swinging'); 1B T3 play #22; also pitches B1–B2</t>
        </is>
      </c>
    </row>
    <row r="87">
      <c r="A87" t="inlineStr">
        <is>
          <t>2026-03-23_WLDL_at_RVRH</t>
        </is>
      </c>
      <c r="B87" s="10" t="n">
        <v>46104</v>
      </c>
      <c r="C87" t="inlineStr">
        <is>
          <t>Wilde Lake Varsity Cats</t>
        </is>
      </c>
      <c r="D87" t="inlineStr">
        <is>
          <t>WLDL</t>
        </is>
      </c>
      <c r="E87" t="inlineStr">
        <is>
          <t>D Coleman</t>
        </is>
      </c>
      <c r="F87" t="n">
        <v>2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K_L T1 play #2 (Sec4 #2 'Strike 3 looking'); GO T3 play #23; A Lindsay CS embedded in D Coleman AB T3 (Sec4 #23); sub D Tang takes D Coleman batting slot T5 (play #62 note)</t>
        </is>
      </c>
    </row>
    <row r="88">
      <c r="A88" t="inlineStr">
        <is>
          <t>2026-03-23_WLDL_at_RVRH</t>
        </is>
      </c>
      <c r="B88" s="10" t="n">
        <v>46104</v>
      </c>
      <c r="C88" t="inlineStr">
        <is>
          <t>Wilde Lake Varsity Cats</t>
        </is>
      </c>
      <c r="D88" t="inlineStr">
        <is>
          <t>WLDL</t>
        </is>
      </c>
      <c r="E88" t="inlineStr">
        <is>
          <t>N Dalesio</t>
        </is>
      </c>
      <c r="F88" t="n">
        <v>2</v>
      </c>
      <c r="G88" t="n">
        <v>2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>
        <is>
          <t>K_L T1 play #3 (Sec4 #3 'Strike 3 looking'); 1B T4 play #42; stranded at 2nd (T4, B Habershon 1B play #45 advances N Dalesio to 2nd; N Gilchrist K ends inning); also plays SS</t>
        </is>
      </c>
    </row>
    <row r="89">
      <c r="A89" t="inlineStr">
        <is>
          <t>2026-03-23_WLDL_at_RVRH</t>
        </is>
      </c>
      <c r="B89" s="10" t="n">
        <v>46104</v>
      </c>
      <c r="C89" t="inlineStr">
        <is>
          <t>Wilde Lake Varsity Cats</t>
        </is>
      </c>
      <c r="D89" t="inlineStr">
        <is>
          <t>WLDL</t>
        </is>
      </c>
      <c r="E89" t="inlineStr">
        <is>
          <t>J Bunnell</t>
        </is>
      </c>
      <c r="F89" t="n">
        <v>2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>
        <is>
          <t>GO T2 play #8; K_L T4 play #43 (Sec4 #43 'Strike 3 looking'); also plays C; error on C Naecker advancement B2 play #14 (WLDL E=1)</t>
        </is>
      </c>
    </row>
    <row r="90">
      <c r="A90" t="inlineStr">
        <is>
          <t>2026-03-23_WLDL_at_RVRH</t>
        </is>
      </c>
      <c r="B90" s="10" t="n">
        <v>46104</v>
      </c>
      <c r="C90" t="inlineStr">
        <is>
          <t>Wilde Lake Varsity Cats</t>
        </is>
      </c>
      <c r="D90" t="inlineStr">
        <is>
          <t>WLDL</t>
        </is>
      </c>
      <c r="E90" t="inlineStr">
        <is>
          <t>R Schmidt</t>
        </is>
      </c>
      <c r="F90" t="n">
        <v>2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>
        <is>
          <t>GO T2 play #9; K_L T4 play #44 (Sec4 #44 'Strike 3 looking'); also pitches B3; error on A Fields advancement B2 play #16 (WLDL E=2)</t>
        </is>
      </c>
    </row>
    <row r="91">
      <c r="A91" t="inlineStr">
        <is>
          <t>2026-03-23_WLDL_at_RVRH</t>
        </is>
      </c>
      <c r="B91" s="10" t="n">
        <v>46104</v>
      </c>
      <c r="C91" t="inlineStr">
        <is>
          <t>Wilde Lake Varsity Cats</t>
        </is>
      </c>
      <c r="D91" t="inlineStr">
        <is>
          <t>WLDL</t>
        </is>
      </c>
      <c r="E91" t="inlineStr">
        <is>
          <t>B Habershon</t>
        </is>
      </c>
      <c r="F91" t="n">
        <v>2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BB T2 play #10; 1B T4 play #45 (N Dalesio advances to 2nd); stranded at 1st (T4, N Gilchrist K ends inning); also pitches B3 (partial) + B4 + B5 partial</t>
        </is>
      </c>
    </row>
    <row r="92">
      <c r="A92" t="inlineStr">
        <is>
          <t>2026-03-23_WLDL_at_RVRH</t>
        </is>
      </c>
      <c r="B92" s="10" t="n">
        <v>46104</v>
      </c>
      <c r="C92" t="inlineStr">
        <is>
          <t>Wilde Lake Varsity Cats</t>
        </is>
      </c>
      <c r="D92" t="inlineStr">
        <is>
          <t>WLDL</t>
        </is>
      </c>
      <c r="E92" t="inlineStr">
        <is>
          <t>W Switzer</t>
        </is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>
        <is>
          <t>K_L T2 play #11 (Sec4 #11 'Strike 3 looking'); sub N Gilchrist takes W Switzer batting slot T4 (play #46 note)</t>
        </is>
      </c>
    </row>
    <row r="93">
      <c r="A93" t="inlineStr">
        <is>
          <t>2026-03-23_WLDL_at_RVRH</t>
        </is>
      </c>
      <c r="B93" s="10" t="n">
        <v>46104</v>
      </c>
      <c r="C93" t="inlineStr">
        <is>
          <t>Wilde Lake Varsity Cats</t>
        </is>
      </c>
      <c r="D93" t="inlineStr">
        <is>
          <t>WLDL</t>
        </is>
      </c>
      <c r="E93" t="inlineStr">
        <is>
          <t>D Linares</t>
        </is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>
        <is>
          <t>Bunt Out T3 play #20; sub J Nguyen takes D Linares batting slot T5 (play #59 note)</t>
        </is>
      </c>
    </row>
    <row r="94">
      <c r="A94" t="inlineStr">
        <is>
          <t>2026-03-23_WLDL_at_RVRH</t>
        </is>
      </c>
      <c r="B94" s="10" t="n">
        <v>46104</v>
      </c>
      <c r="C94" t="inlineStr">
        <is>
          <t>Wilde Lake Varsity Cats</t>
        </is>
      </c>
      <c r="D94" t="inlineStr">
        <is>
          <t>WLDL</t>
        </is>
      </c>
      <c r="E94" t="inlineStr">
        <is>
          <t>A Lindsay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inlineStr">
        <is>
          <t>BB T3 play #21; CS=1: caught stealing 3rd (3B H Zhang) embedded in D Coleman AB (Sec4 #23, Flag #8); sub D Bouadi takes A Lindsay batting slot T5 (play #60 note); also plays RF; error on J Norwood fly ball B3 play #24 (WLDL E=3)</t>
        </is>
      </c>
    </row>
    <row r="95">
      <c r="A95" t="inlineStr">
        <is>
          <t>2026-03-23_WLDL_at_RVRH</t>
        </is>
      </c>
      <c r="B95" s="10" t="n">
        <v>46104</v>
      </c>
      <c r="C95" t="inlineStr">
        <is>
          <t>Wilde Lake Varsity Cats</t>
        </is>
      </c>
      <c r="D95" t="inlineStr">
        <is>
          <t>WLDL</t>
        </is>
      </c>
      <c r="E95" t="inlineStr">
        <is>
          <t>N Gilchrist</t>
        </is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K_S T4 play #46 (Sec4 #46 'Strike 3 swinging'); sub for W Switzer (play #46 note)</t>
        </is>
      </c>
    </row>
    <row r="96">
      <c r="A96" t="inlineStr">
        <is>
          <t>2026-03-23_WLDL_at_RVRH</t>
        </is>
      </c>
      <c r="B96" s="10" t="n">
        <v>46104</v>
      </c>
      <c r="C96" t="inlineStr">
        <is>
          <t>Wilde Lake Varsity Cats</t>
        </is>
      </c>
      <c r="D96" t="inlineStr">
        <is>
          <t>WLDL</t>
        </is>
      </c>
      <c r="E96" t="inlineStr">
        <is>
          <t>J Nguyen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BB T5 play #59; stranded at 1st (3 subsequent Ks end inning); sub for D Linares (play #59 note)</t>
        </is>
      </c>
    </row>
    <row r="97">
      <c r="A97" t="inlineStr">
        <is>
          <t>2026-03-23_WLDL_at_RVRH</t>
        </is>
      </c>
      <c r="B97" s="10" t="n">
        <v>46104</v>
      </c>
      <c r="C97" t="inlineStr">
        <is>
          <t>Wilde Lake Varsity Cats</t>
        </is>
      </c>
      <c r="D97" t="inlineStr">
        <is>
          <t>WLDL</t>
        </is>
      </c>
      <c r="E97" t="inlineStr">
        <is>
          <t>D Bouadi</t>
        </is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K_S T5 play #60 (Sec4 #60 'Strike 3 swinging'); sub for A Lindsay (play #60 note)</t>
        </is>
      </c>
    </row>
    <row r="98">
      <c r="A98" t="inlineStr">
        <is>
          <t>2026-03-23_WLDL_at_RVRH</t>
        </is>
      </c>
      <c r="B98" s="10" t="n">
        <v>46104</v>
      </c>
      <c r="C98" t="inlineStr">
        <is>
          <t>Wilde Lake Varsity Cats</t>
        </is>
      </c>
      <c r="D98" t="inlineStr">
        <is>
          <t>WLDL</t>
        </is>
      </c>
      <c r="E98" t="inlineStr">
        <is>
          <t>E Griffiths</t>
        </is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K_L T5 play #61 (Sec4 #61 'Strike 3 looking'); sub for T Sommer (play #61 note)</t>
        </is>
      </c>
    </row>
    <row r="99">
      <c r="A99" t="inlineStr">
        <is>
          <t>2026-03-23_WLDL_at_RVRH</t>
        </is>
      </c>
      <c r="B99" s="10" t="n">
        <v>46104</v>
      </c>
      <c r="C99" t="inlineStr">
        <is>
          <t>Wilde Lake Varsity Cats</t>
        </is>
      </c>
      <c r="D99" t="inlineStr">
        <is>
          <t>WLDL</t>
        </is>
      </c>
      <c r="E99" t="inlineStr">
        <is>
          <t>D Tang</t>
        </is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>
        <is>
          <t>K_S T5 play #62 (Sec4 #62 'Strike 3 swinging'); sub for D Coleman (play #62 note)</t>
        </is>
      </c>
    </row>
    <row r="100">
      <c r="A100" t="inlineStr">
        <is>
          <t>2026-03-25_RVRH_at_HMMN</t>
        </is>
      </c>
      <c r="B100" s="10" t="n">
        <v>46106</v>
      </c>
      <c r="C100" t="inlineStr">
        <is>
          <t>Hammond Varsity Bears</t>
        </is>
      </c>
      <c r="D100" t="inlineStr">
        <is>
          <t>RVRH</t>
        </is>
      </c>
      <c r="E100" t="inlineStr">
        <is>
          <t>R Walsh</t>
        </is>
      </c>
      <c r="F100" t="n">
        <v>4</v>
      </c>
      <c r="G100" t="n">
        <v>4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2B T1 play #1; GO T3 play #27 (RBI=1: A Fields scores from 3rd); FO T5 play #43; GO T6 play #56; T8 play #74 not counted (Flag #1); R: T1 play #4 (H Zhang SAC fly), T3 play #20 (J Norwood 1B)</t>
        </is>
      </c>
    </row>
    <row r="101">
      <c r="A101" t="inlineStr">
        <is>
          <t>2026-03-25_RVRH_at_HMMN</t>
        </is>
      </c>
      <c r="B101" s="10" t="n">
        <v>46106</v>
      </c>
      <c r="C101" t="inlineStr">
        <is>
          <t>Hammond Varsity Bears</t>
        </is>
      </c>
      <c r="D101" t="inlineStr">
        <is>
          <t>RVRH</t>
        </is>
      </c>
      <c r="E101" t="inlineStr">
        <is>
          <t>C Reis</t>
        </is>
      </c>
      <c r="F101" t="n">
        <v>5</v>
      </c>
      <c r="G101" t="n">
        <v>4</v>
      </c>
      <c r="H101" t="n">
        <v>4</v>
      </c>
      <c r="I101" t="n">
        <v>4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1B T1 play #2; 1B T3 play #19; BB T3 play #28 (2nd time through order); 1B T5 play #44; 1B T6 play #57 (RBI=2: A Contreras + A Fields score); R: T3 play #21 (H Zhang 2B, C Reis scores from 2nd), T5 play #47 (C Naecker SAC fly)</t>
        </is>
      </c>
    </row>
    <row r="102">
      <c r="A102" t="inlineStr">
        <is>
          <t>2026-03-25_RVRH_at_HMMN</t>
        </is>
      </c>
      <c r="B102" s="10" t="n">
        <v>46106</v>
      </c>
      <c r="C102" t="inlineStr">
        <is>
          <t>Hammond Varsity Bears</t>
        </is>
      </c>
      <c r="D102" t="inlineStr">
        <is>
          <t>RVRH</t>
        </is>
      </c>
      <c r="E102" t="inlineStr">
        <is>
          <t>J Norwood</t>
        </is>
      </c>
      <c r="F102" t="n">
        <v>5</v>
      </c>
      <c r="G102" t="n">
        <v>4</v>
      </c>
      <c r="H102" t="n">
        <v>2</v>
      </c>
      <c r="I102" t="n">
        <v>2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>
        <is>
          <t>BB T1 play #3; 1B T3 play #20 (RBI=1: R Walsh scores); K_L T3 play #29 (Sec4 #29 'Strike 3 looking'); 1B T5 play #45; FO T6 play #58; R: T3 play #22 (C Naecker 1B, J Norwood scores from 3rd); bats twice in T3 (order cycles); also plays 1B</t>
        </is>
      </c>
    </row>
    <row r="103">
      <c r="A103" t="inlineStr">
        <is>
          <t>2026-03-25_RVRH_at_HMMN</t>
        </is>
      </c>
      <c r="B103" s="10" t="n">
        <v>46106</v>
      </c>
      <c r="C103" t="inlineStr">
        <is>
          <t>Hammond Varsity Bears</t>
        </is>
      </c>
      <c r="D103" t="inlineStr">
        <is>
          <t>RVRH</t>
        </is>
      </c>
      <c r="E103" t="inlineStr">
        <is>
          <t>H Zhang</t>
        </is>
      </c>
      <c r="F103" t="n">
        <v>5</v>
      </c>
      <c r="G103" t="n">
        <v>3</v>
      </c>
      <c r="H103" t="n">
        <v>3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2</v>
      </c>
      <c r="S103" t="n">
        <v>3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inlineStr">
        <is>
          <t>SAC fly T1 play #4 (RBI=1: R Walsh scores); 2B T3 play #21 (RBI=1: C Reis scores); 1B T4 play #33; HBP T5 play #46; HR T7 play #65 (RBI=1: solo); R: T3 play #22 via CR C McClellan (C Naecker 1B, credited to H Zhang), T7 play #65 (HR); CR C McClellan used T3 (#22 Sec4), T4 (#34 Sec4), T5 (#47 Sec4) — Flag #8; also pitches bottom halves</t>
        </is>
      </c>
    </row>
    <row r="104">
      <c r="A104" t="inlineStr">
        <is>
          <t>2026-03-25_RVRH_at_HMMN</t>
        </is>
      </c>
      <c r="B104" s="10" t="n">
        <v>46106</v>
      </c>
      <c r="C104" t="inlineStr">
        <is>
          <t>Hammond Varsity Bears</t>
        </is>
      </c>
      <c r="D104" t="inlineStr">
        <is>
          <t>RVRH</t>
        </is>
      </c>
      <c r="E104" t="inlineStr">
        <is>
          <t>C Naecker</t>
        </is>
      </c>
      <c r="F104" t="n">
        <v>5</v>
      </c>
      <c r="G104" t="n">
        <v>3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0</v>
      </c>
      <c r="R104" t="n">
        <v>2</v>
      </c>
      <c r="S104" t="n">
        <v>3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inlineStr">
        <is>
          <t>K_L T1 play #5 (Sec4 #5 'Strike 3 looking'); 1B T3 play #22 (RBI=2: C McClellan/H Zhang + J Norwood score); FO T4 play #34; SAC fly T5 play #47 (RBI=1: C Reis scores); BB T7 play #66; SB=1: Sec4 #67 steals 2nd during R Ronayne K AB (T7); R: T3 play #24 (WP during A Fields AB — no RBI), T7 play #69 (E by SS P Yarnell during E McCoy PO AB — no RBI)</t>
        </is>
      </c>
    </row>
    <row r="105">
      <c r="A105" t="inlineStr">
        <is>
          <t>2026-03-25_RVRH_at_HMMN</t>
        </is>
      </c>
      <c r="B105" s="10" t="n">
        <v>46106</v>
      </c>
      <c r="C105" t="inlineStr">
        <is>
          <t>Hammond Varsity Bears</t>
        </is>
      </c>
      <c r="D105" t="inlineStr">
        <is>
          <t>RVRH</t>
        </is>
      </c>
      <c r="E105" t="inlineStr">
        <is>
          <t>G Dang</t>
        </is>
      </c>
      <c r="F105" t="n">
        <v>4</v>
      </c>
      <c r="G105" t="n">
        <v>3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>
        <is>
          <t>Dropped 3rd strike T1 play #6 — K_S (Sec4 #6 'Strike 3 swinging'); out at first; 1B T3 play #23; BB T4 play #35 (CR E Skolkin in, Sec4 #36); FO T5 play #48; R: T3 play #24 (A Fields 1B, G Dang scores from 3rd); subbed by R Ronayne in T7 — no lineup note (inferred from batting order)</t>
        </is>
      </c>
    </row>
    <row r="106">
      <c r="A106" t="inlineStr">
        <is>
          <t>2026-03-25_RVRH_at_HMMN</t>
        </is>
      </c>
      <c r="B106" s="10" t="n">
        <v>46106</v>
      </c>
      <c r="C106" t="inlineStr">
        <is>
          <t>Hammond Varsity Bears</t>
        </is>
      </c>
      <c r="D106" t="inlineStr">
        <is>
          <t>RVRH</t>
        </is>
      </c>
      <c r="E106" t="inlineStr">
        <is>
          <t>A Fields</t>
        </is>
      </c>
      <c r="F106" t="n">
        <v>5</v>
      </c>
      <c r="G106" t="n">
        <v>4</v>
      </c>
      <c r="H106" t="n">
        <v>3</v>
      </c>
      <c r="I106" t="n">
        <v>3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2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K_S T2 play #11 (Sec4 #11 'Strike 3 swinging'); 1B T3 play #24 (RBI=1: G Dang scores; C Naecker WP-scored during AB — no RBI); BB T4 play #36; 1B T6 play #53; 1B T7 play #68; SB=1: Sec4 #69 steals 2nd during E McCoy PO AB (T7); R: T3 play #27 (R Walsh GO, A Fields scores from 3rd), T6 play #57 (C Reis 1B, A Fields scores from 3rd)</t>
        </is>
      </c>
    </row>
    <row r="107">
      <c r="A107" t="inlineStr">
        <is>
          <t>2026-03-25_RVRH_at_HMMN</t>
        </is>
      </c>
      <c r="B107" s="10" t="n">
        <v>46106</v>
      </c>
      <c r="C107" t="inlineStr">
        <is>
          <t>Hammond Varsity Bears</t>
        </is>
      </c>
      <c r="D107" t="inlineStr">
        <is>
          <t>RVRH</t>
        </is>
      </c>
      <c r="E107" t="inlineStr">
        <is>
          <t>E McCoy</t>
        </is>
      </c>
      <c r="F107" t="n">
        <v>5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inlineStr">
        <is>
          <t>PO T2 play #12; SAC bunt T3 play #25 (outcome explicitly says 'E McCoy sacrifices'); LO T4 play #37; FO T6 play #54; PO T7 play #69 (C Naecker scores on embedded E — no RBI for E McCoy; Flag #6)</t>
        </is>
      </c>
    </row>
    <row r="108">
      <c r="A108" t="inlineStr">
        <is>
          <t>2026-03-25_RVRH_at_HMMN</t>
        </is>
      </c>
      <c r="B108" s="10" t="n">
        <v>46106</v>
      </c>
      <c r="C108" t="inlineStr">
        <is>
          <t>Hammond Varsity Bears</t>
        </is>
      </c>
      <c r="D108" t="inlineStr">
        <is>
          <t>RVRH</t>
        </is>
      </c>
      <c r="E108" t="inlineStr">
        <is>
          <t>A Contreras</t>
        </is>
      </c>
      <c r="F108" t="n">
        <v>5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>
        <is>
          <t>PO T2 play #13; Error-ROE T3 play #26 (not a hit; advances to 2nd on same error; HMMN E=1); PO T4 play #38; HBP T6 play #55; FO T7 play #70; R: T6 play #57 (C Reis 1B, A Contreras scores from 3rd)</t>
        </is>
      </c>
    </row>
    <row r="109">
      <c r="A109" t="inlineStr">
        <is>
          <t>2026-03-25_RVRH_at_HMMN</t>
        </is>
      </c>
      <c r="B109" s="10" t="n">
        <v>46106</v>
      </c>
      <c r="C109" t="inlineStr">
        <is>
          <t>Hammond Varsity Bears</t>
        </is>
      </c>
      <c r="D109" t="inlineStr">
        <is>
          <t>RVRH</t>
        </is>
      </c>
      <c r="E109" t="inlineStr">
        <is>
          <t>R Ronayne</t>
        </is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>
        <is>
          <t>K_L T7 play #67 (Sec4 #67 'Strike 3 looking'); subs for G Dang T7 — no lineup note, inferred from batting order position</t>
        </is>
      </c>
    </row>
    <row r="110">
      <c r="A110" t="inlineStr">
        <is>
          <t>2026-03-25_RVRH_at_HMMN</t>
        </is>
      </c>
      <c r="B110" s="10" t="n">
        <v>46106</v>
      </c>
      <c r="C110" t="inlineStr">
        <is>
          <t>Hammond Varsity Bears</t>
        </is>
      </c>
      <c r="D110" t="inlineStr">
        <is>
          <t>HMMN</t>
        </is>
      </c>
      <c r="E110" t="inlineStr">
        <is>
          <t>Y Rivera</t>
        </is>
      </c>
      <c r="F110" t="n">
        <v>3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K_S B1 play #7 (Sec4 #7 'Strike 3 swinging'); GO B3 play #31; GO B5 play #52; sub T Thomas takes Y Rivera slot B7 (Flag #3)</t>
        </is>
      </c>
    </row>
    <row r="111">
      <c r="A111" t="inlineStr">
        <is>
          <t>2026-03-25_RVRH_at_HMMN</t>
        </is>
      </c>
      <c r="B111" s="10" t="n">
        <v>46106</v>
      </c>
      <c r="C111" t="inlineStr">
        <is>
          <t>Hammond Varsity Bears</t>
        </is>
      </c>
      <c r="D111" t="inlineStr">
        <is>
          <t>HMMN</t>
        </is>
      </c>
      <c r="E111" t="inlineStr">
        <is>
          <t>P Yarnell</t>
        </is>
      </c>
      <c r="F111" t="n">
        <v>3</v>
      </c>
      <c r="G111" t="n">
        <v>3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1B B1 play #8; GO B3 play #32; FO B6 play #59; also pitches T1-T3 partial; 3 errors at SS (T4 embedded, T5, T7 embedded; Flag #7)</t>
        </is>
      </c>
    </row>
    <row r="112">
      <c r="A112" t="inlineStr">
        <is>
          <t>2026-03-25_RVRH_at_HMMN</t>
        </is>
      </c>
      <c r="B112" s="10" t="n">
        <v>46106</v>
      </c>
      <c r="C112" t="inlineStr">
        <is>
          <t>Hammond Varsity Bears</t>
        </is>
      </c>
      <c r="D112" t="inlineStr">
        <is>
          <t>HMMN</t>
        </is>
      </c>
      <c r="E112" t="inlineStr">
        <is>
          <t>C Stryker</t>
        </is>
      </c>
      <c r="F112" t="n">
        <v>3</v>
      </c>
      <c r="G112" t="n">
        <v>3</v>
      </c>
      <c r="H112" t="n">
        <v>2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>
        <is>
          <t>PO B1 play #9; 1B B4 play #39; 1B B6 play #60; R: B6 play #61 (J Willis 1B + error by LF A Contreras, C Stryker scores — no RBI for J Willis)</t>
        </is>
      </c>
    </row>
    <row r="113">
      <c r="A113" t="inlineStr">
        <is>
          <t>2026-03-25_RVRH_at_HMMN</t>
        </is>
      </c>
      <c r="B113" s="10" t="n">
        <v>46106</v>
      </c>
      <c r="C113" t="inlineStr">
        <is>
          <t>Hammond Varsity Bears</t>
        </is>
      </c>
      <c r="D113" t="inlineStr">
        <is>
          <t>HMMN</t>
        </is>
      </c>
      <c r="E113" t="inlineStr">
        <is>
          <t>J Willis</t>
        </is>
      </c>
      <c r="F113" t="n">
        <v>3</v>
      </c>
      <c r="G113" t="n">
        <v>3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PO B1 play #10; K_S B4 play #40 (Sec4 #40 'Strike 3 swinging'); 1B B6 play #61; R: B6 play #63 (G Draminski SAC bunt, J Willis scores from 3rd)</t>
        </is>
      </c>
    </row>
    <row r="114">
      <c r="A114" t="inlineStr">
        <is>
          <t>2026-03-25_RVRH_at_HMMN</t>
        </is>
      </c>
      <c r="B114" s="10" t="n">
        <v>46106</v>
      </c>
      <c r="C114" t="inlineStr">
        <is>
          <t>Hammond Varsity Bears</t>
        </is>
      </c>
      <c r="D114" t="inlineStr">
        <is>
          <t>HMMN</t>
        </is>
      </c>
      <c r="E114" t="inlineStr">
        <is>
          <t>B Garris</t>
        </is>
      </c>
      <c r="F114" t="n">
        <v>3</v>
      </c>
      <c r="G114" t="n">
        <v>3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FO B2 play #14; FO B4 play #41; 1B B6 play #62; stranded at 2nd (B6 L Tordella GO ends inning)</t>
        </is>
      </c>
    </row>
    <row r="115">
      <c r="A115" t="inlineStr">
        <is>
          <t>2026-03-25_RVRH_at_HMMN</t>
        </is>
      </c>
      <c r="B115" s="10" t="n">
        <v>46106</v>
      </c>
      <c r="C115" t="inlineStr">
        <is>
          <t>Hammond Varsity Bears</t>
        </is>
      </c>
      <c r="D115" t="inlineStr">
        <is>
          <t>HMMN</t>
        </is>
      </c>
      <c r="E115" t="inlineStr">
        <is>
          <t>G Draminski</t>
        </is>
      </c>
      <c r="F115" t="n">
        <v>3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inlineStr">
        <is>
          <t>GO B2 play #15; FC B4 play #42 (C Stryker out advancing to 2nd); SAC bunt B6 play #63 (outcome explicitly says 'sacrifices'; RBI=1: J Willis scores from 3rd); also pitches T7</t>
        </is>
      </c>
    </row>
    <row r="116">
      <c r="A116" t="inlineStr">
        <is>
          <t>2026-03-25_RVRH_at_HMMN</t>
        </is>
      </c>
      <c r="B116" s="10" t="n">
        <v>46106</v>
      </c>
      <c r="C116" t="inlineStr">
        <is>
          <t>Hammond Varsity Bears</t>
        </is>
      </c>
      <c r="D116" t="inlineStr">
        <is>
          <t>HMMN</t>
        </is>
      </c>
      <c r="E116" t="inlineStr">
        <is>
          <t>L Tordella</t>
        </is>
      </c>
      <c r="F116" t="n">
        <v>3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HBP B2 play #16; CR D Bhatt used B2 (Sec4 #17) — D Bhatt stranded; K_L B5 play #49 (Sec4 #49 'Strike 3 looking'); GO B6 play #64</t>
        </is>
      </c>
    </row>
    <row r="117">
      <c r="A117" t="inlineStr">
        <is>
          <t>2026-03-25_RVRH_at_HMMN</t>
        </is>
      </c>
      <c r="B117" s="10" t="n">
        <v>46106</v>
      </c>
      <c r="C117" t="inlineStr">
        <is>
          <t>Hammond Varsity Bears</t>
        </is>
      </c>
      <c r="D117" t="inlineStr">
        <is>
          <t>HMMN</t>
        </is>
      </c>
      <c r="E117" t="inlineStr">
        <is>
          <t>N Macomber</t>
        </is>
      </c>
      <c r="F117" t="n">
        <v>3</v>
      </c>
      <c r="G117" t="n">
        <v>3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GO B2 play #17; 1B B5 play #50; GO B7 play #71; stranded at 1st (B5 G Garris PO + Y Rivera GO end inning)</t>
        </is>
      </c>
    </row>
    <row r="118">
      <c r="A118" t="inlineStr">
        <is>
          <t>2026-03-25_RVRH_at_HMMN</t>
        </is>
      </c>
      <c r="B118" s="10" t="n">
        <v>46106</v>
      </c>
      <c r="C118" t="inlineStr">
        <is>
          <t>Hammond Varsity Bears</t>
        </is>
      </c>
      <c r="D118" t="inlineStr">
        <is>
          <t>HMMN</t>
        </is>
      </c>
      <c r="E118" t="inlineStr">
        <is>
          <t>G Garris</t>
        </is>
      </c>
      <c r="F118" t="n">
        <v>3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GO B3 play #30; PO B5 play #51; FO B7 play #72; also plays LF</t>
        </is>
      </c>
    </row>
    <row r="119">
      <c r="A119" t="inlineStr">
        <is>
          <t>2026-03-25_RVRH_at_HMMN</t>
        </is>
      </c>
      <c r="B119" s="10" t="n">
        <v>46106</v>
      </c>
      <c r="C119" t="inlineStr">
        <is>
          <t>Hammond Varsity Bears</t>
        </is>
      </c>
      <c r="D119" t="inlineStr">
        <is>
          <t>HMMN</t>
        </is>
      </c>
      <c r="E119" t="inlineStr">
        <is>
          <t>T Thomas</t>
        </is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K_S B7 play #73 (Sec4 #73 'Strike 3 swinging'); no lineup note — appears in Y Rivera batting slot B7; Flag #3</t>
        </is>
      </c>
    </row>
    <row r="120">
      <c r="A120" t="inlineStr">
        <is>
          <t>2026-03-27_GLNL_at_RVRH</t>
        </is>
      </c>
      <c r="B120" s="10" t="n">
        <v>46108</v>
      </c>
      <c r="C120" t="inlineStr">
        <is>
          <t>Glenelg Varsity Gladiators</t>
        </is>
      </c>
      <c r="D120" t="inlineStr">
        <is>
          <t>RVRH</t>
        </is>
      </c>
      <c r="E120" t="inlineStr">
        <is>
          <t>R Walsh</t>
        </is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3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BB B1 play #5; BB B3 play #22; HBP B3 play #31 (RBI=1: A Fields scores forced from 3rd); R: B1 play #8 (H Zhang GDP, R Walsh scores from 3rd); B3 play #25 (H Zhang SAC fly, R Walsh scores from 3rd); B3 play #34 via CR C McClellan (H Zhang BB, C McClellan forced home — credited to R Walsh); also pitches T1–T4</t>
        </is>
      </c>
    </row>
    <row r="121">
      <c r="A121" t="inlineStr">
        <is>
          <t>2026-03-27_GLNL_at_RVRH</t>
        </is>
      </c>
      <c r="B121" s="10" t="n">
        <v>46108</v>
      </c>
      <c r="C121" t="inlineStr">
        <is>
          <t>Glenelg Varsity Gladiators</t>
        </is>
      </c>
      <c r="D121" t="inlineStr">
        <is>
          <t>RVRH</t>
        </is>
      </c>
      <c r="E121" t="inlineStr">
        <is>
          <t>C Reis</t>
        </is>
      </c>
      <c r="F121" t="n">
        <v>4</v>
      </c>
      <c r="G121" t="n">
        <v>2</v>
      </c>
      <c r="H121" t="n">
        <v>2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3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>
        <is>
          <t>HBP B1 play #6; HBP B3 play #23; 1B B3 play #32 (RBI=1: E McCoy scores); 1B B4 play #45; R: B3 play #26 (C Naecker 1B, C Reis scores from 3rd); B3 play #35 (C Naecker 1B 2nd time, C Reis scores from 3rd); B4 play #48 via CR R Miller (C Naecker SAC fly, R Miller scores — credited to C Reis; Flag #4)</t>
        </is>
      </c>
    </row>
    <row r="122">
      <c r="A122" t="inlineStr">
        <is>
          <t>2026-03-27_GLNL_at_RVRH</t>
        </is>
      </c>
      <c r="B122" s="10" t="n">
        <v>46108</v>
      </c>
      <c r="C122" t="inlineStr">
        <is>
          <t>Glenelg Varsity Gladiators</t>
        </is>
      </c>
      <c r="D122" t="inlineStr">
        <is>
          <t>RVRH</t>
        </is>
      </c>
      <c r="E122" t="inlineStr">
        <is>
          <t>J Norwood</t>
        </is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4</v>
      </c>
      <c r="N122" t="n">
        <v>0</v>
      </c>
      <c r="O122" t="n">
        <v>0</v>
      </c>
      <c r="P122" t="n">
        <v>0</v>
      </c>
      <c r="Q122" t="n">
        <v>0</v>
      </c>
      <c r="R122" t="n">
        <v>3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BB B1 play #7; BB B3 play #24 (RBI=1: A Contreras forced home); BB B3 play #33 (RBI=1: A Contreras forced home 2nd time); BB B4 play #46; R: B3 play #26 (C Naecker 1B, J Norwood scores on the throw; Flag #10); B4 play #49 (G Dang SAC fly, J Norwood scores from 3rd); also plays 1B</t>
        </is>
      </c>
    </row>
    <row r="123">
      <c r="A123" t="inlineStr">
        <is>
          <t>2026-03-27_GLNL_at_RVRH</t>
        </is>
      </c>
      <c r="B123" s="10" t="n">
        <v>46108</v>
      </c>
      <c r="C123" t="inlineStr">
        <is>
          <t>Glenelg Varsity Gladiators</t>
        </is>
      </c>
      <c r="D123" t="inlineStr">
        <is>
          <t>RVRH</t>
        </is>
      </c>
      <c r="E123" t="inlineStr">
        <is>
          <t>H Zhang</t>
        </is>
      </c>
      <c r="F123" t="n">
        <v>4</v>
      </c>
      <c r="G123" t="n">
        <v>2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2</v>
      </c>
      <c r="S123" t="n">
        <v>3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inlineStr">
        <is>
          <t>GDP B1 play #8 (RBI=1: R Walsh scores from 3rd on DP); SAC fly B3 play #25 (RBI=1: R Walsh scores); BB B3 play #34 (RBI=1: C McClellan/R Walsh CR scores forced from 3rd); 1B B4 play #47 (R Miller to 3rd, J Norwood to 2nd — no RBI on this play); R: B4 play #51 (E McCoy 1B, H Zhang scores from 2nd on throw; Flag #10)</t>
        </is>
      </c>
    </row>
    <row r="124">
      <c r="A124" t="inlineStr">
        <is>
          <t>2026-03-27_GLNL_at_RVRH</t>
        </is>
      </c>
      <c r="B124" s="10" t="n">
        <v>46108</v>
      </c>
      <c r="C124" t="inlineStr">
        <is>
          <t>Glenelg Varsity Gladiators</t>
        </is>
      </c>
      <c r="D124" t="inlineStr">
        <is>
          <t>RVRH</t>
        </is>
      </c>
      <c r="E124" t="inlineStr">
        <is>
          <t>C Naecker</t>
        </is>
      </c>
      <c r="F124" t="n">
        <v>4</v>
      </c>
      <c r="G124" t="n">
        <v>3</v>
      </c>
      <c r="H124" t="n">
        <v>2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2</v>
      </c>
      <c r="S124" t="n">
        <v>5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inlineStr">
        <is>
          <t>K_S B1 play #9 (Sec4 #9 'Strike 3 swinging'); 1B B3 play #26 (RBI=2: J Norwood scores on throw + C Reis scores; Flag #10); 1B B3 play #35 2nd time through (RBI=2: J Norwood + C Reis score again; Flag #6); SAC fly B4 play #48 (RBI=1: R Miller/C Reis CR scores); R: B3 play #27 (G Dang SAC fly, C Naecker scores from 3rd after WP — no RBI); B3 play #36 (G Dang 2B, C Naecker scores)</t>
        </is>
      </c>
    </row>
    <row r="125">
      <c r="A125" t="inlineStr">
        <is>
          <t>2026-03-27_GLNL_at_RVRH</t>
        </is>
      </c>
      <c r="B125" s="10" t="n">
        <v>46108</v>
      </c>
      <c r="C125" t="inlineStr">
        <is>
          <t>Glenelg Varsity Gladiators</t>
        </is>
      </c>
      <c r="D125" t="inlineStr">
        <is>
          <t>RVRH</t>
        </is>
      </c>
      <c r="E125" t="inlineStr">
        <is>
          <t>G Dang</t>
        </is>
      </c>
      <c r="F125" t="n">
        <v>4</v>
      </c>
      <c r="G125" t="n">
        <v>2</v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4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inlineStr">
        <is>
          <t>1B B2 play #13; CR B Bixby in (Sec4 #14); SAC fly B3 play #27 (RBI=1: C Naecker scores from 3rd; Flag #7 — G Dang bats twice in B3); 2B B3 play #36 (RBI=2: C Naecker + H Zhang score); CR B Bixby in again (Sec4 #37); SAC fly B4 play #49 (RBI=1: J Norwood scores from 3rd); R: B3 play #38 via CR B Bixby (E McCoy Error-ROE, B Bixby scores from 3rd — credited to G Dang)</t>
        </is>
      </c>
    </row>
    <row r="126">
      <c r="A126" t="inlineStr">
        <is>
          <t>2026-03-27_GLNL_at_RVRH</t>
        </is>
      </c>
      <c r="B126" s="10" t="n">
        <v>46108</v>
      </c>
      <c r="C126" t="inlineStr">
        <is>
          <t>Glenelg Varsity Gladiators</t>
        </is>
      </c>
      <c r="D126" t="inlineStr">
        <is>
          <t>RVRH</t>
        </is>
      </c>
      <c r="E126" t="inlineStr">
        <is>
          <t>A Fields</t>
        </is>
      </c>
      <c r="F126" t="n">
        <v>4</v>
      </c>
      <c r="G126" t="n">
        <v>2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>
        <is>
          <t>FO B2 play #14; BB B3 play #28; BB B3 play #37 (2nd time through); 1B B4 play #50; R: B3 play #31 (R Walsh HBP forces A Fields home from 3rd); B3 play #38 (E McCoy Error-ROE, A Fields scores from 2nd — no RBI; error play)</t>
        </is>
      </c>
    </row>
    <row r="127">
      <c r="A127" t="inlineStr">
        <is>
          <t>2026-03-27_GLNL_at_RVRH</t>
        </is>
      </c>
      <c r="B127" s="10" t="n">
        <v>46108</v>
      </c>
      <c r="C127" t="inlineStr">
        <is>
          <t>Glenelg Varsity Gladiators</t>
        </is>
      </c>
      <c r="D127" t="inlineStr">
        <is>
          <t>RVRH</t>
        </is>
      </c>
      <c r="E127" t="inlineStr">
        <is>
          <t>E McCoy</t>
        </is>
      </c>
      <c r="F127" t="n">
        <v>4</v>
      </c>
      <c r="G127" t="n">
        <v>4</v>
      </c>
      <c r="H127" t="n">
        <v>2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inlineStr">
        <is>
          <t>Line-into-DP B2 play #15 (GDP; B Bixby CR out advancing = 2nd out); 1B B3 play #29; Error-ROE B3 play #38 (not a hit; A Fields + B Bixby/G Dang CR score on error — no RBI); 1B B4 play #51 (RBI=1: H Zhang scores from 2nd on throw; Flag #10); R: B3 play #32 (C Reis 1B, E McCoy scores from 3rd)</t>
        </is>
      </c>
    </row>
    <row r="128">
      <c r="A128" t="inlineStr">
        <is>
          <t>2026-03-27_GLNL_at_RVRH</t>
        </is>
      </c>
      <c r="B128" s="10" t="n">
        <v>46108</v>
      </c>
      <c r="C128" t="inlineStr">
        <is>
          <t>Glenelg Varsity Gladiators</t>
        </is>
      </c>
      <c r="D128" t="inlineStr">
        <is>
          <t>RVRH</t>
        </is>
      </c>
      <c r="E128" t="inlineStr">
        <is>
          <t>A Contreras</t>
        </is>
      </c>
      <c r="F128" t="n">
        <v>3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2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inlineStr">
        <is>
          <t>1B B3 play #21; BB B3 play #30 (2nd time through); BB B3 play #39 (3rd time through); SB=1: steals 2nd embedded in R Walsh walk B3 (Sec4 #22); R: B3 play #24 (J Norwood BB forces A Contreras home); B3 play #33 (J Norwood BB forces A Contreras home 2nd time)</t>
        </is>
      </c>
    </row>
    <row r="129">
      <c r="A129" t="inlineStr">
        <is>
          <t>2026-03-27_GLNL_at_RVRH</t>
        </is>
      </c>
      <c r="B129" s="10" t="n">
        <v>46108</v>
      </c>
      <c r="C129" t="inlineStr">
        <is>
          <t>Glenelg Varsity Gladiators</t>
        </is>
      </c>
      <c r="D129" t="inlineStr">
        <is>
          <t>RVRH</t>
        </is>
      </c>
      <c r="E129" t="inlineStr">
        <is>
          <t>B Bixby</t>
        </is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BB B4 play #52 (stranded; WP during AB Sec4 #52 advances A Fields to 3rd, E McCoy to 2nd); also CR for G Dang B2 (Sec4 #14, stranded on DP play #15) and CR for G Dang B3 2nd time (Sec4 #37) — B Bixby scores play #38 on E McCoy error, R credited to G Dang per CR rule</t>
        </is>
      </c>
    </row>
    <row r="130">
      <c r="A130" t="inlineStr">
        <is>
          <t>2026-03-27_GLNL_at_RVRH</t>
        </is>
      </c>
      <c r="B130" s="10" t="n">
        <v>46108</v>
      </c>
      <c r="C130" t="inlineStr">
        <is>
          <t>Glenelg Varsity Gladiators</t>
        </is>
      </c>
      <c r="D130" t="inlineStr">
        <is>
          <t>RVRH</t>
        </is>
      </c>
      <c r="E130" t="inlineStr">
        <is>
          <t>C McClellan</t>
        </is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>
        <is>
          <t>GO B4 play #53 (inning-ending out); also CR for R Walsh B3 (Sec4 #32) — C McClellan scores on H Zhang BB play #34, R credited to R Walsh per CR rule</t>
        </is>
      </c>
    </row>
    <row r="131">
      <c r="A131" t="inlineStr">
        <is>
          <t>2026-03-27_GLNL_at_RVRH</t>
        </is>
      </c>
      <c r="B131" s="10" t="n">
        <v>46108</v>
      </c>
      <c r="C131" t="inlineStr">
        <is>
          <t>Glenelg Varsity Gladiators</t>
        </is>
      </c>
      <c r="D131" t="inlineStr">
        <is>
          <t>GLNL</t>
        </is>
      </c>
      <c r="E131" t="inlineStr">
        <is>
          <t>M Melhuish</t>
        </is>
      </c>
      <c r="F131" t="n">
        <v>2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FO T1 play #1; IF Out T3 play #18; also pitches B1–B3 (through play #26)</t>
        </is>
      </c>
    </row>
    <row r="132">
      <c r="A132" t="inlineStr">
        <is>
          <t>2026-03-27_GLNL_at_RVRH</t>
        </is>
      </c>
      <c r="B132" s="10" t="n">
        <v>46108</v>
      </c>
      <c r="C132" t="inlineStr">
        <is>
          <t>Glenelg Varsity Gladiators</t>
        </is>
      </c>
      <c r="D132" t="inlineStr">
        <is>
          <t>GLNL</t>
        </is>
      </c>
      <c r="E132" t="inlineStr">
        <is>
          <t>A Baker</t>
        </is>
      </c>
      <c r="F132" t="n">
        <v>2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>
        <is>
          <t>PO T1 play #2; FO T3 play #19; sub P Moreau takes A Baker slot T5 (play #57 note)</t>
        </is>
      </c>
    </row>
    <row r="133">
      <c r="A133" t="inlineStr">
        <is>
          <t>2026-03-27_GLNL_at_RVRH</t>
        </is>
      </c>
      <c r="B133" s="10" t="n">
        <v>46108</v>
      </c>
      <c r="C133" t="inlineStr">
        <is>
          <t>Glenelg Varsity Gladiators</t>
        </is>
      </c>
      <c r="D133" t="inlineStr">
        <is>
          <t>GLNL</t>
        </is>
      </c>
      <c r="E133" t="inlineStr">
        <is>
          <t>C Lease</t>
        </is>
      </c>
      <c r="F133" t="n">
        <v>2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inlineStr">
        <is>
          <t>Error-ROE T1 play #3 (advances to 2nd on same error; RVRH E=1 C Nichols); FC T3 play #20 (T Blayman out at 2nd; Flag #8 — C Brown at 3rd but does not score)</t>
        </is>
      </c>
    </row>
    <row r="134">
      <c r="A134" t="inlineStr">
        <is>
          <t>2026-03-27_GLNL_at_RVRH</t>
        </is>
      </c>
      <c r="B134" s="10" t="n">
        <v>46108</v>
      </c>
      <c r="C134" t="inlineStr">
        <is>
          <t>Glenelg Varsity Gladiators</t>
        </is>
      </c>
      <c r="D134" t="inlineStr">
        <is>
          <t>GLNL</t>
        </is>
      </c>
      <c r="E134" t="inlineStr">
        <is>
          <t>B Conlon</t>
        </is>
      </c>
      <c r="F134" t="n">
        <v>2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>
        <is>
          <t>FO T1 play #4; HBP T4 play #41 (out advancing to 2nd on J Miles FC play #42)</t>
        </is>
      </c>
    </row>
    <row r="135">
      <c r="A135" t="inlineStr">
        <is>
          <t>2026-03-27_GLNL_at_RVRH</t>
        </is>
      </c>
      <c r="B135" s="10" t="n">
        <v>46108</v>
      </c>
      <c r="C135" t="inlineStr">
        <is>
          <t>Glenelg Varsity Gladiators</t>
        </is>
      </c>
      <c r="D135" t="inlineStr">
        <is>
          <t>GLNL</t>
        </is>
      </c>
      <c r="E135" t="inlineStr">
        <is>
          <t>J Miles</t>
        </is>
      </c>
      <c r="F135" t="n">
        <v>2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inlineStr">
        <is>
          <t>PO T2 play #10; FC T4 play #42 ('pops into fielder's choice' — unusual notation; Flag #3; J Miles reaches at 1B); also plays 1B; GLNL E=1 on E McCoy B3 play #38</t>
        </is>
      </c>
    </row>
    <row r="136">
      <c r="A136" t="inlineStr">
        <is>
          <t>2026-03-27_GLNL_at_RVRH</t>
        </is>
      </c>
      <c r="B136" s="10" t="n">
        <v>46108</v>
      </c>
      <c r="C136" t="inlineStr">
        <is>
          <t>Glenelg Varsity Gladiators</t>
        </is>
      </c>
      <c r="D136" t="inlineStr">
        <is>
          <t>GLNL</t>
        </is>
      </c>
      <c r="E136" t="inlineStr">
        <is>
          <t>A Nazelrod</t>
        </is>
      </c>
      <c r="F136" t="n">
        <v>2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>
        <is>
          <t>K_L T2 play #11 (Sec4 #11 'Strike 3 looking'); K_S T4 play #43 (Sec4 #43 'Strike 3 swinging')</t>
        </is>
      </c>
    </row>
    <row r="137">
      <c r="A137" t="inlineStr">
        <is>
          <t>2026-03-27_GLNL_at_RVRH</t>
        </is>
      </c>
      <c r="B137" s="10" t="n">
        <v>46108</v>
      </c>
      <c r="C137" t="inlineStr">
        <is>
          <t>Glenelg Varsity Gladiators</t>
        </is>
      </c>
      <c r="D137" t="inlineStr">
        <is>
          <t>GLNL</t>
        </is>
      </c>
      <c r="E137" t="inlineStr">
        <is>
          <t>S Tong</t>
        </is>
      </c>
      <c r="F137" t="n">
        <v>2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>
        <is>
          <t>K_S T2 play #12 (Sec4 #12 'Strike 3 swinging'); K_L T4 play #44 (Sec4 #44 'Strike 3 looking')</t>
        </is>
      </c>
    </row>
    <row r="138">
      <c r="A138" t="inlineStr">
        <is>
          <t>2026-03-27_GLNL_at_RVRH</t>
        </is>
      </c>
      <c r="B138" s="10" t="n">
        <v>46108</v>
      </c>
      <c r="C138" t="inlineStr">
        <is>
          <t>Glenelg Varsity Gladiators</t>
        </is>
      </c>
      <c r="D138" t="inlineStr">
        <is>
          <t>GLNL</t>
        </is>
      </c>
      <c r="E138" t="inlineStr">
        <is>
          <t>C Brown</t>
        </is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HBP T3 play #16 (advances to 3rd on A Baker tag-up play #19; does not score per Flag #8); HBP T5 play #54 (out advancing to 2nd on B Burkhardt FC play #56)</t>
        </is>
      </c>
    </row>
    <row r="139">
      <c r="A139" t="inlineStr">
        <is>
          <t>2026-03-27_GLNL_at_RVRH</t>
        </is>
      </c>
      <c r="B139" s="10" t="n">
        <v>46108</v>
      </c>
      <c r="C139" t="inlineStr">
        <is>
          <t>Glenelg Varsity Gladiators</t>
        </is>
      </c>
      <c r="D139" t="inlineStr">
        <is>
          <t>GLNL</t>
        </is>
      </c>
      <c r="E139" t="inlineStr">
        <is>
          <t>T Blayman</t>
        </is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>
        <is>
          <t>1B bunt T3 play #17 (advances to 1st; out at 2nd on C Lease FC play #20); sub M Shriner T5</t>
        </is>
      </c>
    </row>
    <row r="140">
      <c r="A140" t="inlineStr">
        <is>
          <t>2026-03-27_GLNL_at_RVRH</t>
        </is>
      </c>
      <c r="B140" s="10" t="n">
        <v>46108</v>
      </c>
      <c r="C140" t="inlineStr">
        <is>
          <t>Glenelg Varsity Gladiators</t>
        </is>
      </c>
      <c r="D140" t="inlineStr">
        <is>
          <t>GLNL</t>
        </is>
      </c>
      <c r="E140" t="inlineStr">
        <is>
          <t>M Shriner</t>
        </is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>
        <is>
          <t>PO T5 play #55 (Sec4 #55 pickoff attempt at 1st during AB); sub for T Blayman (play #55 note)</t>
        </is>
      </c>
    </row>
    <row r="141">
      <c r="A141" t="inlineStr">
        <is>
          <t>2026-03-27_GLNL_at_RVRH</t>
        </is>
      </c>
      <c r="B141" s="10" t="n">
        <v>46108</v>
      </c>
      <c r="C141" t="inlineStr">
        <is>
          <t>Glenelg Varsity Gladiators</t>
        </is>
      </c>
      <c r="D141" t="inlineStr">
        <is>
          <t>GLNL</t>
        </is>
      </c>
      <c r="E141" t="inlineStr">
        <is>
          <t>B Burkhardt</t>
        </is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inlineStr">
        <is>
          <t>FC T5 play #56 (C Brown out advancing to 2nd; B Burkhardt reaches 1B); sub for C Starcher (play #56 note)</t>
        </is>
      </c>
    </row>
    <row r="142">
      <c r="A142" t="inlineStr">
        <is>
          <t>2026-03-27_GLNL_at_RVRH</t>
        </is>
      </c>
      <c r="B142" s="10" t="n">
        <v>46108</v>
      </c>
      <c r="C142" t="inlineStr">
        <is>
          <t>Glenelg Varsity Gladiators</t>
        </is>
      </c>
      <c r="D142" t="inlineStr">
        <is>
          <t>GLNL</t>
        </is>
      </c>
      <c r="E142" t="inlineStr">
        <is>
          <t>P Moreau</t>
        </is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>
        <is>
          <t>K_S T5 play #57 (Sec4 #57 'Strike 3 swinging'); sub for A Baker (play #57 note)</t>
        </is>
      </c>
    </row>
    <row r="143">
      <c r="A143" t="inlineStr">
        <is>
          <t>2026-03-30_FLLS_at_RVRH</t>
        </is>
      </c>
      <c r="B143" s="10" t="n">
        <v>46111</v>
      </c>
      <c r="C143" t="inlineStr">
        <is>
          <t>Fallston Varsity Cougars</t>
        </is>
      </c>
      <c r="D143" t="inlineStr">
        <is>
          <t>RVRH</t>
        </is>
      </c>
      <c r="E143" t="inlineStr">
        <is>
          <t>R Walsh</t>
        </is>
      </c>
      <c r="F143" t="n">
        <v>4</v>
      </c>
      <c r="G143" t="n">
        <v>4</v>
      </c>
      <c r="H143" t="n">
        <v>2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>
        <is>
          <t>1B B1 play #5; K_S B2 play #20 (Sec4 #20 'Strike 3 swinging'); 2B B4 play #37 (RBI=1: E McCoy scores); K_L B6 play #56 (Sec4 #56 'Strike 3 looking'); R: B1 play #7 (J Norwood 2B); also pitches T7</t>
        </is>
      </c>
    </row>
    <row r="144">
      <c r="A144" t="inlineStr">
        <is>
          <t>2026-03-30_FLLS_at_RVRH</t>
        </is>
      </c>
      <c r="B144" s="10" t="n">
        <v>46111</v>
      </c>
      <c r="C144" t="inlineStr">
        <is>
          <t>Fallston Varsity Cougars</t>
        </is>
      </c>
      <c r="D144" t="inlineStr">
        <is>
          <t>RVRH</t>
        </is>
      </c>
      <c r="E144" t="inlineStr">
        <is>
          <t>C Reis</t>
        </is>
      </c>
      <c r="F144" t="n">
        <v>4</v>
      </c>
      <c r="G144" t="n">
        <v>3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inlineStr">
        <is>
          <t>GO B1 play #6; FO B2 play #21; SAC fly B4 play #38 (RBI=1: A Contreras scores from 3rd; outcome explicitly 'sacrifice fly'); 1B B6 play #57; R: B6 play #58 (J Norwood 2B, C Reis scores on the throw; Flag #4); also pitches T5–T6</t>
        </is>
      </c>
    </row>
    <row r="145">
      <c r="A145" t="inlineStr">
        <is>
          <t>2026-03-30_FLLS_at_RVRH</t>
        </is>
      </c>
      <c r="B145" s="10" t="n">
        <v>46111</v>
      </c>
      <c r="C145" t="inlineStr">
        <is>
          <t>Fallston Varsity Cougars</t>
        </is>
      </c>
      <c r="D145" t="inlineStr">
        <is>
          <t>RVRH</t>
        </is>
      </c>
      <c r="E145" t="inlineStr">
        <is>
          <t>J Norwood</t>
        </is>
      </c>
      <c r="F145" t="n">
        <v>4</v>
      </c>
      <c r="G145" t="n">
        <v>4</v>
      </c>
      <c r="H145" t="n">
        <v>2</v>
      </c>
      <c r="I145" t="n">
        <v>0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</v>
      </c>
      <c r="S145" t="n">
        <v>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2B B1 play #7 (RBI=1: R Walsh scores); FO B3 play #26; FO B4 play #39; 2B B6 play #58 (RBI=1: C Reis scores on the throw; Flag #4); R: B1 play #8 (H Zhang HR); B6 play #59 (H Zhang 1B, J Norwood scores from 3rd); J Norwood also advances to 3rd on WP during H Zhang 1B AB B6 (Sec4 #59; Flag #9)</t>
        </is>
      </c>
    </row>
    <row r="146">
      <c r="A146" t="inlineStr">
        <is>
          <t>2026-03-30_FLLS_at_RVRH</t>
        </is>
      </c>
      <c r="B146" s="10" t="n">
        <v>46111</v>
      </c>
      <c r="C146" t="inlineStr">
        <is>
          <t>Fallston Varsity Cougars</t>
        </is>
      </c>
      <c r="D146" t="inlineStr">
        <is>
          <t>RVRH</t>
        </is>
      </c>
      <c r="E146" t="inlineStr">
        <is>
          <t>H Zhang</t>
        </is>
      </c>
      <c r="F146" t="n">
        <v>4</v>
      </c>
      <c r="G146" t="n">
        <v>4</v>
      </c>
      <c r="H146" t="n">
        <v>3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HR B1 play #8 (2-run HR: J Norwood + H Zhang score; RBI=2); FO B3 play #27; 1B B5 play #46 (CR B Bixby — 'pinch runner' — in Sec4 #47; Flag #2; B Bixby stranded at 3rd); 1B B6 play #59 (RBI=1: J Norwood scores from 3rd); R: B1 HR (scores himself); Flag #6: H Zhang bats B6 despite B Bixby pinch runner sub B5 — inconsistency recorded as logged; Flag #5: 'Play Edit' B Bixby/H Zhang swap in C Naecker PO AB B6 reversed; H Zhang stranded at 1B</t>
        </is>
      </c>
    </row>
    <row r="147">
      <c r="A147" t="inlineStr">
        <is>
          <t>2026-03-30_FLLS_at_RVRH</t>
        </is>
      </c>
      <c r="B147" s="10" t="n">
        <v>46111</v>
      </c>
      <c r="C147" t="inlineStr">
        <is>
          <t>Fallston Varsity Cougars</t>
        </is>
      </c>
      <c r="D147" t="inlineStr">
        <is>
          <t>RVRH</t>
        </is>
      </c>
      <c r="E147" t="inlineStr">
        <is>
          <t>C Naecker</t>
        </is>
      </c>
      <c r="F147" t="n">
        <v>4</v>
      </c>
      <c r="G147" t="n">
        <v>4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>
        <is>
          <t>PO B1 play #9; 1B B3 play #28; 1B B5 play #47; PO B6 play #60; stranded in B5 (B Bixby/H Zhang CR at 3rd, C Naecker at 1st; E McCoy FO ends inning)</t>
        </is>
      </c>
    </row>
    <row r="148">
      <c r="A148" t="inlineStr">
        <is>
          <t>2026-03-30_FLLS_at_RVRH</t>
        </is>
      </c>
      <c r="B148" s="10" t="n">
        <v>46111</v>
      </c>
      <c r="C148" t="inlineStr">
        <is>
          <t>Fallston Varsity Cougars</t>
        </is>
      </c>
      <c r="D148" t="inlineStr">
        <is>
          <t>RVRH</t>
        </is>
      </c>
      <c r="E148" t="inlineStr">
        <is>
          <t>G Dang</t>
        </is>
      </c>
      <c r="F148" t="n">
        <v>3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>
        <is>
          <t>HBP B1 play #10; CR C McClellan in (Sec4 #11) — C McClellan stranded at 2nd (E McCoy K ends B1); Foul Tip Out B3 play #29 = K_S (Sec4 #29 final: 'Foul tip', caught by catcher); FO B5 play #48; B7 play #64 not counted (no outcome, Flag #1); also plays C; RVRH E=2 attributed to G Dang catcher error T5 play #43</t>
        </is>
      </c>
    </row>
    <row r="149">
      <c r="A149" t="inlineStr">
        <is>
          <t>2026-03-30_FLLS_at_RVRH</t>
        </is>
      </c>
      <c r="B149" s="10" t="n">
        <v>46111</v>
      </c>
      <c r="C149" t="inlineStr">
        <is>
          <t>Fallston Varsity Cougars</t>
        </is>
      </c>
      <c r="D149" t="inlineStr">
        <is>
          <t>RVRH</t>
        </is>
      </c>
      <c r="E149" t="inlineStr">
        <is>
          <t>A Fields</t>
        </is>
      </c>
      <c r="F149" t="n">
        <v>3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>
        <is>
          <t>BB B1 play #11; FO B4 play #34; FO B5 play #49 (B Bixby/H Zhang CR tags up to 3rd); also plays 2B; RVRH E=1 attributed to A Fields T2 play #14</t>
        </is>
      </c>
    </row>
    <row r="150">
      <c r="A150" t="inlineStr">
        <is>
          <t>2026-03-30_FLLS_at_RVRH</t>
        </is>
      </c>
      <c r="B150" s="10" t="n">
        <v>46111</v>
      </c>
      <c r="C150" t="inlineStr">
        <is>
          <t>Fallston Varsity Cougars</t>
        </is>
      </c>
      <c r="D150" t="inlineStr">
        <is>
          <t>RVRH</t>
        </is>
      </c>
      <c r="E150" t="inlineStr">
        <is>
          <t>E McCoy</t>
        </is>
      </c>
      <c r="F150" t="n">
        <v>3</v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>
        <is>
          <t>K_S B1 play #12 (Sec4 #12 'Strike 3 swinging'); BB B4 play #35; FO B5 play #50; R: B4 play #37 (R Walsh 2B, E McCoy scores from 2nd)</t>
        </is>
      </c>
    </row>
    <row r="151">
      <c r="A151" t="inlineStr">
        <is>
          <t>2026-03-30_FLLS_at_RVRH</t>
        </is>
      </c>
      <c r="B151" s="10" t="n">
        <v>46111</v>
      </c>
      <c r="C151" t="inlineStr">
        <is>
          <t>Fallston Varsity Cougars</t>
        </is>
      </c>
      <c r="D151" t="inlineStr">
        <is>
          <t>RVRH</t>
        </is>
      </c>
      <c r="E151" t="inlineStr">
        <is>
          <t>A Contreras</t>
        </is>
      </c>
      <c r="F151" t="n">
        <v>3</v>
      </c>
      <c r="G151" t="n">
        <v>3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>
        <is>
          <t>FO B2 play #19; 1B B4 play #36; GO B6 play #55; R: B4 play #38 (C Reis SAC fly, A Contreras scores from 3rd)</t>
        </is>
      </c>
    </row>
    <row r="152">
      <c r="A152" t="inlineStr">
        <is>
          <t>2026-03-30_FLLS_at_RVRH</t>
        </is>
      </c>
      <c r="B152" s="10" t="n">
        <v>46111</v>
      </c>
      <c r="C152" t="inlineStr">
        <is>
          <t>Fallston Varsity Cougars</t>
        </is>
      </c>
      <c r="D152" t="inlineStr">
        <is>
          <t>FLLS</t>
        </is>
      </c>
      <c r="E152" t="inlineStr">
        <is>
          <t>E Slicher</t>
        </is>
      </c>
      <c r="F152" t="n">
        <v>4</v>
      </c>
      <c r="G152" t="n">
        <v>4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GO T1 play #1; FO T2 play #18; 1B T5 play #40 (advances to 3rd via Z Loewe FC play #42); FO T6 play #54; R: T5 play #43 (scores on G Dang error during F Rebasti walk AB — no RBI; Flag #3)</t>
        </is>
      </c>
    </row>
    <row r="153">
      <c r="A153" t="inlineStr">
        <is>
          <t>2026-03-30_FLLS_at_RVRH</t>
        </is>
      </c>
      <c r="B153" s="10" t="n">
        <v>46111</v>
      </c>
      <c r="C153" t="inlineStr">
        <is>
          <t>Fallston Varsity Cougars</t>
        </is>
      </c>
      <c r="D153" t="inlineStr">
        <is>
          <t>FLLS</t>
        </is>
      </c>
      <c r="E153" t="inlineStr">
        <is>
          <t>W Kregel</t>
        </is>
      </c>
      <c r="F153" t="n">
        <v>4</v>
      </c>
      <c r="G153" t="n">
        <v>4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>
        <is>
          <t>K_S T1 play #2 (Sec4 #2 'Strike 3 swinging'); GO T3 play #22; 1B T5 play #41 (out at 2nd on Z Loewe FC play #42); K_L T7 play #61 (Sec4 #61 'Strike 3 looking')</t>
        </is>
      </c>
    </row>
    <row r="154">
      <c r="A154" t="inlineStr">
        <is>
          <t>2026-03-30_FLLS_at_RVRH</t>
        </is>
      </c>
      <c r="B154" s="10" t="n">
        <v>46111</v>
      </c>
      <c r="C154" t="inlineStr">
        <is>
          <t>Fallston Varsity Cougars</t>
        </is>
      </c>
      <c r="D154" t="inlineStr">
        <is>
          <t>FLLS</t>
        </is>
      </c>
      <c r="E154" t="inlineStr">
        <is>
          <t>Z Loewe</t>
        </is>
      </c>
      <c r="F154" t="n">
        <v>4</v>
      </c>
      <c r="G154" t="n">
        <v>4</v>
      </c>
      <c r="H154" t="n">
        <v>2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3</v>
      </c>
      <c r="U154" t="n">
        <v>0</v>
      </c>
      <c r="V154" t="n">
        <v>0</v>
      </c>
      <c r="W154" t="n">
        <v>0</v>
      </c>
      <c r="X154" t="n">
        <v>1</v>
      </c>
      <c r="Y154" t="inlineStr">
        <is>
          <t>1B T1 play #3 (advances to 2nd on WP during F Rebasti K AB Sec4 #4); 1B T3 play #23; SB×2 T3: steals 2nd then steals 3rd — both embedded in F Rebasti GO AB (Sec4 #24; Flag #7); scores on F Rebasti GO play #24; FC T5 play #42 (W Kregel out at 2nd); SB T5: steals 2nd embedded in F Rebasti walk AB (Sec4 #43; Flag #9); GO T7 play #62; SB total=3</t>
        </is>
      </c>
    </row>
    <row r="155">
      <c r="A155" t="inlineStr">
        <is>
          <t>2026-03-30_FLLS_at_RVRH</t>
        </is>
      </c>
      <c r="B155" s="10" t="n">
        <v>46111</v>
      </c>
      <c r="C155" t="inlineStr">
        <is>
          <t>Fallston Varsity Cougars</t>
        </is>
      </c>
      <c r="D155" t="inlineStr">
        <is>
          <t>FLLS</t>
        </is>
      </c>
      <c r="E155" t="inlineStr">
        <is>
          <t>F Rebasti</t>
        </is>
      </c>
      <c r="F155" t="n">
        <v>4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2</v>
      </c>
      <c r="P155" t="n">
        <v>0</v>
      </c>
      <c r="Q155" t="n">
        <v>2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>
        <is>
          <t>K_S T1 play #4 (Sec4 #4 'Strike 3 swinging'; WP during AB advances Z Loewe to 2nd); GO T3 play #24 (RBI=1: Z Loewe scores from 3rd after SB×2); BB T5 play #43 (Z Loewe steals 2nd + E Slicher scores on G Dang error during AB; Flag #3); K_S T7 play #63 (Sec4 #63 'Strike 3 swinging')</t>
        </is>
      </c>
    </row>
    <row r="156">
      <c r="A156" t="inlineStr">
        <is>
          <t>2026-03-30_FLLS_at_RVRH</t>
        </is>
      </c>
      <c r="B156" s="10" t="n">
        <v>46111</v>
      </c>
      <c r="C156" t="inlineStr">
        <is>
          <t>Fallston Varsity Cougars</t>
        </is>
      </c>
      <c r="D156" t="inlineStr">
        <is>
          <t>FLLS</t>
        </is>
      </c>
      <c r="E156" t="inlineStr">
        <is>
          <t>R Conley</t>
        </is>
      </c>
      <c r="F156" t="n">
        <v>3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1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>
        <is>
          <t>K_L T2 play #13 (Sec4 #13 'Strike 3 looking'); FO T3 play #25; K_S T5 play #44 (Sec4 #44 'Strike 3 swinging')</t>
        </is>
      </c>
    </row>
    <row r="157">
      <c r="A157" t="inlineStr">
        <is>
          <t>2026-03-30_FLLS_at_RVRH</t>
        </is>
      </c>
      <c r="B157" s="10" t="n">
        <v>46111</v>
      </c>
      <c r="C157" t="inlineStr">
        <is>
          <t>Fallston Varsity Cougars</t>
        </is>
      </c>
      <c r="D157" t="inlineStr">
        <is>
          <t>FLLS</t>
        </is>
      </c>
      <c r="E157" t="inlineStr">
        <is>
          <t>G Kersch</t>
        </is>
      </c>
      <c r="F157" t="n">
        <v>3</v>
      </c>
      <c r="G157" t="n">
        <v>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>
        <is>
          <t>Error-ROE T2 play #14 (not a hit; RVRH E=1 A Fields); GO T4 play #30; K_S T5 play #45 (Sec4 #45 'Strike 3 swinging')</t>
        </is>
      </c>
    </row>
    <row r="158">
      <c r="A158" t="inlineStr">
        <is>
          <t>2026-03-30_FLLS_at_RVRH</t>
        </is>
      </c>
      <c r="B158" s="10" t="n">
        <v>46111</v>
      </c>
      <c r="C158" t="inlineStr">
        <is>
          <t>Fallston Varsity Cougars</t>
        </is>
      </c>
      <c r="D158" t="inlineStr">
        <is>
          <t>FLLS</t>
        </is>
      </c>
      <c r="E158" t="inlineStr">
        <is>
          <t>J Potler</t>
        </is>
      </c>
      <c r="F158" t="n">
        <v>3</v>
      </c>
      <c r="G158" t="n">
        <v>2</v>
      </c>
      <c r="H158" t="n">
        <v>2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>
        <is>
          <t>BB T2 play #15 (CR R Cullison in Sec4 #16 — R Cullison stranded at 2nd); 1B T4 play #31 (CR C Blair in Sec4 #32 — C Blair out on J Schilpp FC play #32); HR T6 play #51 (solo; RBI=1, R=1); Flag #9: R Cullison/C Blair used as CRs — no runs credited via CRs in this game</t>
        </is>
      </c>
    </row>
    <row r="159">
      <c r="A159" t="inlineStr">
        <is>
          <t>2026-03-30_FLLS_at_RVRH</t>
        </is>
      </c>
      <c r="B159" s="10" t="n">
        <v>46111</v>
      </c>
      <c r="C159" t="inlineStr">
        <is>
          <t>Fallston Varsity Cougars</t>
        </is>
      </c>
      <c r="D159" t="inlineStr">
        <is>
          <t>FLLS</t>
        </is>
      </c>
      <c r="E159" t="inlineStr">
        <is>
          <t>J Schilpp</t>
        </is>
      </c>
      <c r="F159" t="n">
        <v>3</v>
      </c>
      <c r="G159" t="n">
        <v>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inlineStr">
        <is>
          <t>K_L T2 play #16 (Sec4 #16 'Strike 3 looking'; CR R Cullison replaces J Potler during AB); FC T4 play #32 (C Blair out at 2nd; J Schilpp reaches 1B); SB=1: steals 2nd embedded in I Bishoff K AB (Sec4 #33; Flag #8); also advances to 3rd on WP during same AB — J Schilpp stranded at 3rd when I Bishoff K ends T4; GO T6 play #52</t>
        </is>
      </c>
    </row>
    <row r="160">
      <c r="A160" t="inlineStr">
        <is>
          <t>2026-03-30_FLLS_at_RVRH</t>
        </is>
      </c>
      <c r="B160" s="10" t="n">
        <v>46111</v>
      </c>
      <c r="C160" t="inlineStr">
        <is>
          <t>Fallston Varsity Cougars</t>
        </is>
      </c>
      <c r="D160" t="inlineStr">
        <is>
          <t>FLLS</t>
        </is>
      </c>
      <c r="E160" t="inlineStr">
        <is>
          <t>I Bishoff</t>
        </is>
      </c>
      <c r="F160" t="n">
        <v>3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>
        <is>
          <t>K_S T2 play — wait, T2: R Conley K, G Kersch Error, J Potler BB (CR R Cullison), J Schilpp K_L, I Bishoff 1B play #17, E Slicher FO play #18; 1B T2 play #17; K_S T4 play #33 (Sec4 #33 'Strike 3 swinging'; J Schilpp SB + WP embedded in this AB); K_L T6 play #53 (Sec4 #53 'Strike 3 looking')</t>
        </is>
      </c>
    </row>
    <row r="161">
      <c r="A161" t="inlineStr">
        <is>
          <t>2026-03-07_ELNR_at_NRTH</t>
        </is>
      </c>
      <c r="B161" s="10" t="n">
        <v>46088</v>
      </c>
      <c r="C161" t="inlineStr">
        <is>
          <t>North Point Varsity Eagles</t>
        </is>
      </c>
      <c r="D161" t="inlineStr">
        <is>
          <t>ELNR</t>
        </is>
      </c>
      <c r="E161" t="inlineStr">
        <is>
          <t>B Durham</t>
        </is>
      </c>
      <c r="F161" t="n">
        <v>3</v>
      </c>
      <c r="G161" t="n">
        <v>2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inlineStr">
        <is>
          <t>SB T1 (Seq#3 embedded during C Knight walk); K_S T4 (Seq#43).</t>
        </is>
      </c>
    </row>
    <row r="162">
      <c r="A162" t="inlineStr">
        <is>
          <t>2026-03-07_ELNR_at_NRTH</t>
        </is>
      </c>
      <c r="B162" s="10" t="n">
        <v>46088</v>
      </c>
      <c r="C162" t="inlineStr">
        <is>
          <t>North Point Varsity Eagles</t>
        </is>
      </c>
      <c r="D162" t="inlineStr">
        <is>
          <t>ELNR</t>
        </is>
      </c>
      <c r="E162" t="inlineStr">
        <is>
          <t>S Hamilton</t>
        </is>
      </c>
      <c r="F162" t="n">
        <v>3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2026-03-07_ELNR_at_NRTH</t>
        </is>
      </c>
      <c r="B163" s="10" t="n">
        <v>46088</v>
      </c>
      <c r="C163" t="inlineStr">
        <is>
          <t>North Point Varsity Eagles</t>
        </is>
      </c>
      <c r="D163" t="inlineStr">
        <is>
          <t>ELNR</t>
        </is>
      </c>
      <c r="E163" t="inlineStr">
        <is>
          <t>C Knight</t>
        </is>
      </c>
      <c r="F163" t="n">
        <v>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3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R scored on balk by A Harding, T3 (play #33); see Flag #7. Pickoff at 1st (play #52) embedded in J Maitland AB — not a PA; see Flag #10.</t>
        </is>
      </c>
    </row>
    <row r="164">
      <c r="A164" t="inlineStr">
        <is>
          <t>2026-03-07_ELNR_at_NRTH</t>
        </is>
      </c>
      <c r="B164" s="10" t="n">
        <v>46088</v>
      </c>
      <c r="C164" t="inlineStr">
        <is>
          <t>North Point Varsity Eagles</t>
        </is>
      </c>
      <c r="D164" t="inlineStr">
        <is>
          <t>ELNR</t>
        </is>
      </c>
      <c r="E164" t="inlineStr">
        <is>
          <t>J Maitland</t>
        </is>
      </c>
      <c r="F164" t="n">
        <v>4</v>
      </c>
      <c r="G164" t="n">
        <v>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1</v>
      </c>
      <c r="Q164" t="n">
        <v>2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inlineStr">
        <is>
          <t>K_S T1 (Seq#4), K_S T3 (Seq#30), K_L T4 (Seq#41). SB T5 (Seq#53). Catcher errors ELNR E=2 (play #12), E=3 (play #15), E=6 (play #36) attributed to J Maitland in Fielding.</t>
        </is>
      </c>
    </row>
    <row r="165">
      <c r="A165" t="inlineStr">
        <is>
          <t>2026-03-07_ELNR_at_NRTH</t>
        </is>
      </c>
      <c r="B165" s="10" t="n">
        <v>46088</v>
      </c>
      <c r="C165" t="inlineStr">
        <is>
          <t>North Point Varsity Eagles</t>
        </is>
      </c>
      <c r="D165" t="inlineStr">
        <is>
          <t>ELNR</t>
        </is>
      </c>
      <c r="E165" t="inlineStr">
        <is>
          <t>R Coxen</t>
        </is>
      </c>
      <c r="F165" t="n">
        <v>3</v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2026-03-07_ELNR_at_NRTH</t>
        </is>
      </c>
      <c r="B166" s="10" t="n">
        <v>46088</v>
      </c>
      <c r="C166" t="inlineStr">
        <is>
          <t>North Point Varsity Eagles</t>
        </is>
      </c>
      <c r="D166" t="inlineStr">
        <is>
          <t>ELNR</t>
        </is>
      </c>
      <c r="E166" t="inlineStr">
        <is>
          <t>K Watkins-Fleisher</t>
        </is>
      </c>
      <c r="F166" t="n">
        <v>2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2026-03-07_ELNR_at_NRTH</t>
        </is>
      </c>
      <c r="B167" s="10" t="n">
        <v>46088</v>
      </c>
      <c r="C167" t="inlineStr">
        <is>
          <t>North Point Varsity Eagles</t>
        </is>
      </c>
      <c r="D167" t="inlineStr">
        <is>
          <t>ELNR</t>
        </is>
      </c>
      <c r="E167" t="inlineStr">
        <is>
          <t>A Kennell</t>
        </is>
      </c>
      <c r="F167" t="n">
        <v>2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>
        <is>
          <t>K_S T3 (Seq#33; balk embedded in AB — see Flag #7). Also pitches B5 (entry inferred).</t>
        </is>
      </c>
    </row>
    <row r="168">
      <c r="A168" t="inlineStr">
        <is>
          <t>2026-03-07_ELNR_at_NRTH</t>
        </is>
      </c>
      <c r="B168" s="10" t="n">
        <v>46088</v>
      </c>
      <c r="C168" t="inlineStr">
        <is>
          <t>North Point Varsity Eagles</t>
        </is>
      </c>
      <c r="D168" t="inlineStr">
        <is>
          <t>ELNR</t>
        </is>
      </c>
      <c r="E168" t="inlineStr">
        <is>
          <t>J Burke</t>
        </is>
      </c>
      <c r="F168" t="n">
        <v>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inlineStr">
        <is>
          <t>GDP T2 (play #20). K_L T4 (Seq#41). Also pitches B1.</t>
        </is>
      </c>
    </row>
    <row r="169">
      <c r="A169" t="inlineStr">
        <is>
          <t>2026-03-07_ELNR_at_NRTH</t>
        </is>
      </c>
      <c r="B169" s="10" t="n">
        <v>46088</v>
      </c>
      <c r="C169" t="inlineStr">
        <is>
          <t>North Point Varsity Eagles</t>
        </is>
      </c>
      <c r="D169" t="inlineStr">
        <is>
          <t>ELNR</t>
        </is>
      </c>
      <c r="E169" t="inlineStr">
        <is>
          <t>A Wimbish</t>
        </is>
      </c>
      <c r="F169" t="n">
        <v>2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HBP T2 (play #21).</t>
        </is>
      </c>
    </row>
    <row r="170">
      <c r="A170" t="inlineStr">
        <is>
          <t>2026-03-07_ELNR_at_NRTH</t>
        </is>
      </c>
      <c r="B170" s="10" t="n">
        <v>46088</v>
      </c>
      <c r="C170" t="inlineStr">
        <is>
          <t>North Point Varsity Eagles</t>
        </is>
      </c>
      <c r="D170" t="inlineStr">
        <is>
          <t>ELNR</t>
        </is>
      </c>
      <c r="E170" t="inlineStr">
        <is>
          <t>T White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T6 AB — no outcome recorded; scoring artifact per Flag #1. Identity conflict with NRTH fielder T White; see Flag #2.</t>
        </is>
      </c>
    </row>
    <row r="171">
      <c r="A171" t="inlineStr">
        <is>
          <t>2026-03-07_ELNR_at_NRTH</t>
        </is>
      </c>
      <c r="B171" s="10" t="n">
        <v>46088</v>
      </c>
      <c r="C171" t="inlineStr">
        <is>
          <t>North Point Varsity Eagles</t>
        </is>
      </c>
      <c r="D171" t="inlineStr">
        <is>
          <t>NRTH</t>
        </is>
      </c>
      <c r="E171" t="inlineStr">
        <is>
          <t>A Espejo</t>
        </is>
      </c>
      <c r="F171" t="n">
        <v>4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SB B3 (Seq#37, embedded during A Thomas AB). R: B1 via Z Bowman single (play #10); B3 via A Harding sac fly (play #38).</t>
        </is>
      </c>
    </row>
    <row r="172">
      <c r="A172" t="inlineStr">
        <is>
          <t>2026-03-07_ELNR_at_NRTH</t>
        </is>
      </c>
      <c r="B172" s="10" t="n">
        <v>46088</v>
      </c>
      <c r="C172" t="inlineStr">
        <is>
          <t>North Point Varsity Eagles</t>
        </is>
      </c>
      <c r="D172" t="inlineStr">
        <is>
          <t>NRTH</t>
        </is>
      </c>
      <c r="E172" t="inlineStr">
        <is>
          <t>A Thomas</t>
        </is>
      </c>
      <c r="F172" t="n">
        <v>4</v>
      </c>
      <c r="G172" t="n">
        <v>4</v>
      </c>
      <c r="H172" t="n">
        <v>2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inlineStr">
        <is>
          <t>RBI x3: C Pettko (play #17 B1), T Roy/A Williams credited (play #17 B1), C Pettko (play #37 B3).</t>
        </is>
      </c>
    </row>
    <row r="173">
      <c r="A173" t="inlineStr">
        <is>
          <t>2026-03-07_ELNR_at_NRTH</t>
        </is>
      </c>
      <c r="B173" s="10" t="n">
        <v>46088</v>
      </c>
      <c r="C173" t="inlineStr">
        <is>
          <t>North Point Varsity Eagles</t>
        </is>
      </c>
      <c r="D173" t="inlineStr">
        <is>
          <t>NRTH</t>
        </is>
      </c>
      <c r="E173" t="inlineStr">
        <is>
          <t>A Harding</t>
        </is>
      </c>
      <c r="F173" t="n">
        <v>3</v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inlineStr">
        <is>
          <t>R B1 (play #12 on W Kwisnek single; advances 3rd on throw, scores on catcher error — no RBI). RBI on sac fly B3 (play #38, A Espejo scores). Also pitches T3 (entry inferred).</t>
        </is>
      </c>
    </row>
    <row r="174">
      <c r="A174" t="inlineStr">
        <is>
          <t>2026-03-07_ELNR_at_NRTH</t>
        </is>
      </c>
      <c r="B174" s="10" t="n">
        <v>46088</v>
      </c>
      <c r="C174" t="inlineStr">
        <is>
          <t>North Point Varsity Eagles</t>
        </is>
      </c>
      <c r="D174" t="inlineStr">
        <is>
          <t>NRTH</t>
        </is>
      </c>
      <c r="E174" t="inlineStr">
        <is>
          <t>Z Bowman</t>
        </is>
      </c>
      <c r="F174" t="n">
        <v>3</v>
      </c>
      <c r="G174" t="n">
        <v>3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inlineStr">
        <is>
          <t>RBI on 1B B1 (play #10, A Espejo scores). R x3: B1 via W Kwisnek single; B2 via S Dixon error; B3 via E Zimmerman single. Also pitches T4 (inferred).</t>
        </is>
      </c>
    </row>
    <row r="175">
      <c r="A175" t="inlineStr">
        <is>
          <t>2026-03-07_ELNR_at_NRTH</t>
        </is>
      </c>
      <c r="B175" s="10" t="n">
        <v>46088</v>
      </c>
      <c r="C175" t="inlineStr">
        <is>
          <t>North Point Varsity Eagles</t>
        </is>
      </c>
      <c r="D175" t="inlineStr">
        <is>
          <t>NRTH</t>
        </is>
      </c>
      <c r="E175" t="inlineStr">
        <is>
          <t>E Zimmerman</t>
        </is>
      </c>
      <c r="F175" t="n">
        <v>4</v>
      </c>
      <c r="G175" t="n">
        <v>4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>
        <is>
          <t>K_S B1 (Seq#11). 1B B3 (play #40) with batter-runner out advancing to 2nd; see Flag #9.</t>
        </is>
      </c>
    </row>
    <row r="176">
      <c r="A176" t="inlineStr">
        <is>
          <t>2026-03-07_ELNR_at_NRTH</t>
        </is>
      </c>
      <c r="B176" s="10" t="n">
        <v>46088</v>
      </c>
      <c r="C176" t="inlineStr">
        <is>
          <t>North Point Varsity Eagles</t>
        </is>
      </c>
      <c r="D176" t="inlineStr">
        <is>
          <t>NRTH</t>
        </is>
      </c>
      <c r="E176" t="inlineStr">
        <is>
          <t>W Kwisnek</t>
        </is>
      </c>
      <c r="F176" t="n">
        <v>4</v>
      </c>
      <c r="G176" t="n">
        <v>4</v>
      </c>
      <c r="H176" t="n">
        <v>2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>
        <is>
          <t>1B B1 (play #12): Z Bowman scores (RBI); A Harding scores on subsequent catcher error — no RBI for that run. Solo HR B4 (play #44, RBI). R: B1 via S Dixon single; B4 own HR.</t>
        </is>
      </c>
    </row>
    <row r="177">
      <c r="A177" t="inlineStr">
        <is>
          <t>2026-03-07_ELNR_at_NRTH</t>
        </is>
      </c>
      <c r="B177" s="10" t="n">
        <v>46088</v>
      </c>
      <c r="C177" t="inlineStr">
        <is>
          <t>North Point Varsity Eagles</t>
        </is>
      </c>
      <c r="D177" t="inlineStr">
        <is>
          <t>NRTH</t>
        </is>
      </c>
      <c r="E177" t="inlineStr">
        <is>
          <t>S Dixon</t>
        </is>
      </c>
      <c r="F177" t="n">
        <v>5</v>
      </c>
      <c r="G177" t="n">
        <v>4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2</v>
      </c>
      <c r="U177" t="n">
        <v>1</v>
      </c>
      <c r="V177" t="n">
        <v>0</v>
      </c>
      <c r="W177" t="n">
        <v>0</v>
      </c>
      <c r="X177" t="n">
        <v>0</v>
      </c>
      <c r="Y177" t="inlineStr">
        <is>
          <t>SB x2: 2nd (Seq#14 B1), 3rd (Seq#15 B1). CS B2 (play #28, Seq#28). R scored B1 on error during C Pettko walk (play #15) — no RBI. Advances to 2nd on WP before CS attempt; see Flag #6.</t>
        </is>
      </c>
    </row>
    <row r="178">
      <c r="A178" t="inlineStr">
        <is>
          <t>2026-03-07_ELNR_at_NRTH</t>
        </is>
      </c>
      <c r="B178" s="10" t="n">
        <v>46088</v>
      </c>
      <c r="C178" t="inlineStr">
        <is>
          <t>North Point Varsity Eagles</t>
        </is>
      </c>
      <c r="D178" t="inlineStr">
        <is>
          <t>NRTH</t>
        </is>
      </c>
      <c r="E178" t="inlineStr">
        <is>
          <t>A Williams</t>
        </is>
      </c>
      <c r="F178" t="n">
        <v>4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2</v>
      </c>
      <c r="N178" t="n">
        <v>1</v>
      </c>
      <c r="O178" t="n">
        <v>0</v>
      </c>
      <c r="P178" t="n">
        <v>0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>
        <is>
          <t>R x2 credited from CR T Roy per Flag #12: T Roy scores B1 (play #17); T Roy scores B3 (play #36 error). 2B B4 (play #46). HBP B3 (play #34).</t>
        </is>
      </c>
    </row>
    <row r="179">
      <c r="A179" t="inlineStr">
        <is>
          <t>2026-03-07_ELNR_at_NRTH</t>
        </is>
      </c>
      <c r="B179" s="10" t="n">
        <v>46088</v>
      </c>
      <c r="C179" t="inlineStr">
        <is>
          <t>North Point Varsity Eagles</t>
        </is>
      </c>
      <c r="D179" t="inlineStr">
        <is>
          <t>NRTH</t>
        </is>
      </c>
      <c r="E179" t="inlineStr">
        <is>
          <t>C Pettko</t>
        </is>
      </c>
      <c r="F179" t="n">
        <v>4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>
        <is>
          <t>R: B1 (play #17 A Thomas single); B3 (play #37 A Thomas single). Also pitches T1-T2 (entry inferred — Flag #11).</t>
        </is>
      </c>
    </row>
    <row r="180">
      <c r="A180" t="inlineStr">
        <is>
          <t>2026-03-07_ELNR_at_NRTH</t>
        </is>
      </c>
      <c r="B180" s="10" t="n">
        <v>46088</v>
      </c>
      <c r="C180" t="inlineStr">
        <is>
          <t>North Point Varsity Eagles</t>
        </is>
      </c>
      <c r="D180" t="inlineStr">
        <is>
          <t>NRTH</t>
        </is>
      </c>
      <c r="E180" t="inlineStr">
        <is>
          <t>T Roy</t>
        </is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inlineStr">
        <is>
          <t>CR for A Williams in B1 (play #15) and B3 (play #35) — runs scored as CR credited to A Williams (Flag #12). SB as CR in B1 (Seq#15). Bats independently B5 (play #55, 2B); R scored B5 (play #56, after advancing 3rd on WP Seq#55).</t>
        </is>
      </c>
    </row>
    <row r="181">
      <c r="A181" t="inlineStr">
        <is>
          <t>2026-03-07_ELNR_at_NRTH</t>
        </is>
      </c>
      <c r="B181" s="10" t="n">
        <v>46088</v>
      </c>
      <c r="C181" t="inlineStr">
        <is>
          <t>North Point Varsity Eagles</t>
        </is>
      </c>
      <c r="D181" t="inlineStr">
        <is>
          <t>NRTH</t>
        </is>
      </c>
      <c r="E181" t="inlineStr">
        <is>
          <t>J Smith</t>
        </is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>
        <is>
          <t>Also pitches T5. RBI on ground out B5 (play #56, T Roy scores).</t>
        </is>
      </c>
    </row>
    <row r="182">
      <c r="A182" t="inlineStr">
        <is>
          <t>2026-03-14_NRTH_at_ARND</t>
        </is>
      </c>
      <c r="B182" s="10" t="n">
        <v>46095</v>
      </c>
      <c r="C182" t="inlineStr">
        <is>
          <t>ARND</t>
        </is>
      </c>
      <c r="D182" t="inlineStr">
        <is>
          <t>NRTH</t>
        </is>
      </c>
      <c r="E182" t="inlineStr">
        <is>
          <t>A Espejo</t>
        </is>
      </c>
      <c r="F182" t="n">
        <v>3</v>
      </c>
      <c r="G182" t="n">
        <v>3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>
        <is>
          <t>2B T1 play#1; K_S T3 Seq#29</t>
        </is>
      </c>
    </row>
    <row r="183">
      <c r="A183" t="inlineStr">
        <is>
          <t>2026-03-14_NRTH_at_ARND</t>
        </is>
      </c>
      <c r="B183" s="10" t="n">
        <v>46095</v>
      </c>
      <c r="C183" t="inlineStr">
        <is>
          <t>ARND</t>
        </is>
      </c>
      <c r="D183" t="inlineStr">
        <is>
          <t>NRTH</t>
        </is>
      </c>
      <c r="E183" t="inlineStr">
        <is>
          <t>A Thomas</t>
        </is>
      </c>
      <c r="F183" t="n">
        <v>2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>
        <is>
          <t>FO T1 play#2; LO T4 play#36; E play#62 (2B)</t>
        </is>
      </c>
    </row>
    <row r="184">
      <c r="A184" t="inlineStr">
        <is>
          <t>2026-03-14_NRTH_at_ARND</t>
        </is>
      </c>
      <c r="B184" s="10" t="n">
        <v>46095</v>
      </c>
      <c r="C184" t="inlineStr">
        <is>
          <t>ARND</t>
        </is>
      </c>
      <c r="D184" t="inlineStr">
        <is>
          <t>NRTH</t>
        </is>
      </c>
      <c r="E184" t="inlineStr">
        <is>
          <t>A Harding</t>
        </is>
      </c>
      <c r="F184" t="n">
        <v>3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>
        <is>
          <t>K_S T1 Seq#3; BB T4 play#37; E plays#8,#43,#54 (SS)</t>
        </is>
      </c>
    </row>
    <row r="185">
      <c r="A185" t="inlineStr">
        <is>
          <t>2026-03-14_NRTH_at_ARND</t>
        </is>
      </c>
      <c r="B185" s="10" t="n">
        <v>46095</v>
      </c>
      <c r="C185" t="inlineStr">
        <is>
          <t>ARND</t>
        </is>
      </c>
      <c r="D185" t="inlineStr">
        <is>
          <t>NRTH</t>
        </is>
      </c>
      <c r="E185" t="inlineStr">
        <is>
          <t>Z Bowman</t>
        </is>
      </c>
      <c r="F185" t="n">
        <v>2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inlineStr">
        <is>
          <t>GO T1 play#4; FC T4 play#38</t>
        </is>
      </c>
    </row>
    <row r="186">
      <c r="A186" t="inlineStr">
        <is>
          <t>2026-03-14_NRTH_at_ARND</t>
        </is>
      </c>
      <c r="B186" s="10" t="n">
        <v>46095</v>
      </c>
      <c r="C186" t="inlineStr">
        <is>
          <t>ARND</t>
        </is>
      </c>
      <c r="D186" t="inlineStr">
        <is>
          <t>NRTH</t>
        </is>
      </c>
      <c r="E186" t="inlineStr">
        <is>
          <t>E Zimmerman</t>
        </is>
      </c>
      <c r="F186" t="n">
        <v>2</v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>
        <is>
          <t>Dropped 3rd strike T2 play#12 (K_S Seq#12); GO T4 play#39</t>
        </is>
      </c>
    </row>
    <row r="187">
      <c r="A187" t="inlineStr">
        <is>
          <t>2026-03-14_NRTH_at_ARND</t>
        </is>
      </c>
      <c r="B187" s="10" t="n">
        <v>46095</v>
      </c>
      <c r="C187" t="inlineStr">
        <is>
          <t>ARND</t>
        </is>
      </c>
      <c r="D187" t="inlineStr">
        <is>
          <t>NRTH</t>
        </is>
      </c>
      <c r="E187" t="inlineStr">
        <is>
          <t>W Kwisnek</t>
        </is>
      </c>
      <c r="F187" t="n">
        <v>2</v>
      </c>
      <c r="G187" t="n">
        <v>2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>
        <is>
          <t>K_S T2 Seq#13; 2B T5 play#50; R scored T5 on WP play#52 (during A Williams AB); see Flag#8</t>
        </is>
      </c>
    </row>
    <row r="188">
      <c r="A188" t="inlineStr">
        <is>
          <t>2026-03-14_NRTH_at_ARND</t>
        </is>
      </c>
      <c r="B188" s="10" t="n">
        <v>46095</v>
      </c>
      <c r="C188" t="inlineStr">
        <is>
          <t>ARND</t>
        </is>
      </c>
      <c r="D188" t="inlineStr">
        <is>
          <t>NRTH</t>
        </is>
      </c>
      <c r="E188" t="inlineStr">
        <is>
          <t>S Dixon</t>
        </is>
      </c>
      <c r="F188" t="n">
        <v>2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inlineStr">
        <is>
          <t>BB T2 play#14; SB 2nd T2 Seq#15; K_L T5 Seq#51; see Flag#10</t>
        </is>
      </c>
    </row>
    <row r="189">
      <c r="A189" t="inlineStr">
        <is>
          <t>2026-03-14_NRTH_at_ARND</t>
        </is>
      </c>
      <c r="B189" s="10" t="n">
        <v>46095</v>
      </c>
      <c r="C189" t="inlineStr">
        <is>
          <t>ARND</t>
        </is>
      </c>
      <c r="D189" t="inlineStr">
        <is>
          <t>NRTH</t>
        </is>
      </c>
      <c r="E189" t="inlineStr">
        <is>
          <t>A Williams</t>
        </is>
      </c>
      <c r="F189" t="n">
        <v>2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K_S T2 Seq#15; K_S T5 Seq#52; E plays#41,#43 (C)</t>
        </is>
      </c>
    </row>
    <row r="190">
      <c r="A190" t="inlineStr">
        <is>
          <t>2026-03-14_NRTH_at_ARND</t>
        </is>
      </c>
      <c r="B190" s="10" t="n">
        <v>46095</v>
      </c>
      <c r="C190" t="inlineStr">
        <is>
          <t>ARND</t>
        </is>
      </c>
      <c r="D190" t="inlineStr">
        <is>
          <t>NRTH</t>
        </is>
      </c>
      <c r="E190" t="inlineStr">
        <is>
          <t>C Pettko</t>
        </is>
      </c>
      <c r="F190" t="n">
        <v>2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>
        <is>
          <t>K_L T3 Seq#27; FO T5 play#53</t>
        </is>
      </c>
    </row>
    <row r="191">
      <c r="A191" t="inlineStr">
        <is>
          <t>2026-03-14_NRTH_at_ARND</t>
        </is>
      </c>
      <c r="B191" s="10" t="n">
        <v>46095</v>
      </c>
      <c r="C191" t="inlineStr">
        <is>
          <t>ARND</t>
        </is>
      </c>
      <c r="D191" t="inlineStr">
        <is>
          <t>NRTH</t>
        </is>
      </c>
      <c r="E191" t="inlineStr">
        <is>
          <t>T Roy</t>
        </is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>
        <is>
          <t>K_S T3 Seq#28</t>
        </is>
      </c>
    </row>
    <row r="192">
      <c r="A192" t="inlineStr">
        <is>
          <t>2026-03-14_NRTH_at_ARND</t>
        </is>
      </c>
      <c r="B192" s="10" t="n">
        <v>46095</v>
      </c>
      <c r="C192" t="inlineStr">
        <is>
          <t>NRTH</t>
        </is>
      </c>
      <c r="D192" t="inlineStr">
        <is>
          <t>ARND</t>
        </is>
      </c>
      <c r="E192" t="inlineStr">
        <is>
          <t>L Gamble</t>
        </is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2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inlineStr">
        <is>
          <t>HBP B1 play#5, B2 play#19; BB B3 play#33; R: plays#6,#22(WP); SB x2 Seq#21(B2),Seq#34(B3); see Flags#8,#10</t>
        </is>
      </c>
    </row>
    <row r="193">
      <c r="A193" t="inlineStr">
        <is>
          <t>2026-03-14_NRTH_at_ARND</t>
        </is>
      </c>
      <c r="B193" s="10" t="n">
        <v>46095</v>
      </c>
      <c r="C193" t="inlineStr">
        <is>
          <t>NRTH</t>
        </is>
      </c>
      <c r="D193" t="inlineStr">
        <is>
          <t>ARND</t>
        </is>
      </c>
      <c r="E193" t="inlineStr">
        <is>
          <t>J Bailey</t>
        </is>
      </c>
      <c r="F193" t="n">
        <v>5</v>
      </c>
      <c r="G193" t="n">
        <v>4</v>
      </c>
      <c r="H193" t="n">
        <v>2</v>
      </c>
      <c r="I193" t="n">
        <v>2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5</v>
      </c>
      <c r="S193" t="n">
        <v>3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inlineStr">
        <is>
          <t>E B1 play#6; 1B B2 play#20 (RBI x2); BB B3 play#34; E B4 play#43; 1B B5 play#57 (RBI x1); R: plays#7,#23,#47,#58; play#25 anomalous (Flag#4); SB x2 Seq#21(B2),Seq#45(B4); see Flags#3,#4,#10; play#25 J Bailey scores also logged (Flag#4 anomaly — cannot score twice without re-reaching base; recorded as logged)</t>
        </is>
      </c>
    </row>
    <row r="194">
      <c r="A194" t="inlineStr">
        <is>
          <t>2026-03-14_NRTH_at_ARND</t>
        </is>
      </c>
      <c r="B194" s="10" t="n">
        <v>46095</v>
      </c>
      <c r="C194" t="inlineStr">
        <is>
          <t>NRTH</t>
        </is>
      </c>
      <c r="D194" t="inlineStr">
        <is>
          <t>ARND</t>
        </is>
      </c>
      <c r="E194" t="inlineStr">
        <is>
          <t>G O'Donnell</t>
        </is>
      </c>
      <c r="F194" t="n">
        <v>3</v>
      </c>
      <c r="G194" t="n">
        <v>2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2B B1 play#7 (RBI J Bailey); BB B2 play#21; FO B3 play#35; CR J Perry in B2 play#23; R via CR J Perry play#26 WP; see Flags#4,#8</t>
        </is>
      </c>
    </row>
    <row r="195">
      <c r="A195" t="inlineStr">
        <is>
          <t>2026-03-14_NRTH_at_ARND</t>
        </is>
      </c>
      <c r="B195" s="10" t="n">
        <v>46095</v>
      </c>
      <c r="C195" t="inlineStr">
        <is>
          <t>NRTH</t>
        </is>
      </c>
      <c r="D195" t="inlineStr">
        <is>
          <t>ARND</t>
        </is>
      </c>
      <c r="E195" t="inlineStr">
        <is>
          <t>B Gardner</t>
        </is>
      </c>
      <c r="F195" t="n">
        <v>4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inlineStr">
        <is>
          <t>E B1 play#8; BB B2 play#22; K_L B2 Seq#24; BB B4 play#40; R play#41 on E (A Williams); SB x2 B4 Seq#41; batting anomaly B2 plays#22+#24 (Flag#4); see Flags#4,#5,#10</t>
        </is>
      </c>
    </row>
    <row r="196">
      <c r="A196" t="inlineStr">
        <is>
          <t>2026-03-14_NRTH_at_ARND</t>
        </is>
      </c>
      <c r="B196" s="10" t="n">
        <v>46095</v>
      </c>
      <c r="C196" t="inlineStr">
        <is>
          <t>NRTH</t>
        </is>
      </c>
      <c r="D196" t="inlineStr">
        <is>
          <t>ARND</t>
        </is>
      </c>
      <c r="E196" t="inlineStr">
        <is>
          <t>J Niles</t>
        </is>
      </c>
      <c r="F196" t="n">
        <v>4</v>
      </c>
      <c r="G196" t="n">
        <v>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1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inlineStr">
        <is>
          <t>K_S B1 Seq#9; BB B2 play#23; E B5 play#58; SB B4 Seq#42; CS B4 Seq#43 (A Williams to Z Bowman); R play#61 (J Perry BB); see Flags#5,#6,#10</t>
        </is>
      </c>
    </row>
    <row r="197">
      <c r="A197" t="inlineStr">
        <is>
          <t>2026-03-14_NRTH_at_ARND</t>
        </is>
      </c>
      <c r="B197" s="10" t="n">
        <v>46095</v>
      </c>
      <c r="C197" t="inlineStr">
        <is>
          <t>NRTH</t>
        </is>
      </c>
      <c r="D197" t="inlineStr">
        <is>
          <t>ARND</t>
        </is>
      </c>
      <c r="E197" t="inlineStr">
        <is>
          <t>J Fuller</t>
        </is>
      </c>
      <c r="F197" t="n">
        <v>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>
        <is>
          <t>FO B1 play#10; BB B2 play#25; replaced by C Dennehy B4 play#42</t>
        </is>
      </c>
    </row>
    <row r="198">
      <c r="A198" t="inlineStr">
        <is>
          <t>2026-03-14_NRTH_at_ARND</t>
        </is>
      </c>
      <c r="B198" s="10" t="n">
        <v>46095</v>
      </c>
      <c r="C198" t="inlineStr">
        <is>
          <t>NRTH</t>
        </is>
      </c>
      <c r="D198" t="inlineStr">
        <is>
          <t>ARND</t>
        </is>
      </c>
      <c r="E198" t="inlineStr">
        <is>
          <t>F Doty</t>
        </is>
      </c>
      <c r="F198" t="n">
        <v>2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K_S B1 Seq#11 (dropped 3rd strike); GO B2 play#26; replaced by J Bailey B4 play#43</t>
        </is>
      </c>
    </row>
    <row r="199">
      <c r="A199" t="inlineStr">
        <is>
          <t>2026-03-14_NRTH_at_ARND</t>
        </is>
      </c>
      <c r="B199" s="10" t="n">
        <v>46095</v>
      </c>
      <c r="C199" t="inlineStr">
        <is>
          <t>NRTH</t>
        </is>
      </c>
      <c r="D199" t="inlineStr">
        <is>
          <t>ARND</t>
        </is>
      </c>
      <c r="E199" t="inlineStr">
        <is>
          <t>P Smith</t>
        </is>
      </c>
      <c r="F199" t="n">
        <v>2</v>
      </c>
      <c r="G199" t="n">
        <v>2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1B B2 play#16; LO B3 play#30; R play#20 (J Bailey 1B); replaced by G Pedrozo B4 play#45</t>
        </is>
      </c>
    </row>
    <row r="200">
      <c r="A200" t="inlineStr">
        <is>
          <t>2026-03-14_NRTH_at_ARND</t>
        </is>
      </c>
      <c r="B200" s="10" t="n">
        <v>46095</v>
      </c>
      <c r="C200" t="inlineStr">
        <is>
          <t>NRTH</t>
        </is>
      </c>
      <c r="D200" t="inlineStr">
        <is>
          <t>ARND</t>
        </is>
      </c>
      <c r="E200" t="inlineStr">
        <is>
          <t>L Atherton</t>
        </is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inlineStr">
        <is>
          <t>HBP B2 play#17; BB B3 play#31; R play#20 (J Bailey 1B); SB B3 Seq#31; see Flag#9; replaced by J Verdier B4 play#44</t>
        </is>
      </c>
    </row>
    <row r="201">
      <c r="A201" t="inlineStr">
        <is>
          <t>2026-03-14_NRTH_at_ARND</t>
        </is>
      </c>
      <c r="B201" s="10" t="n">
        <v>46095</v>
      </c>
      <c r="C201" t="inlineStr">
        <is>
          <t>NRTH</t>
        </is>
      </c>
      <c r="D201" t="inlineStr">
        <is>
          <t>ARND</t>
        </is>
      </c>
      <c r="E201" t="inlineStr">
        <is>
          <t>C Clarke</t>
        </is>
      </c>
      <c r="F201" t="n">
        <v>2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inlineStr">
        <is>
          <t>K_S B2 Seq#18; SAC B3 play#32; replaced by C Wojtyszyn B4 play#46</t>
        </is>
      </c>
    </row>
    <row r="202">
      <c r="A202" t="inlineStr">
        <is>
          <t>2026-03-14_NRTH_at_ARND</t>
        </is>
      </c>
      <c r="B202" s="10" t="n">
        <v>46095</v>
      </c>
      <c r="C202" t="inlineStr">
        <is>
          <t>NRTH</t>
        </is>
      </c>
      <c r="D202" t="inlineStr">
        <is>
          <t>ARND</t>
        </is>
      </c>
      <c r="E202" t="inlineStr">
        <is>
          <t>J Verdier</t>
        </is>
      </c>
      <c r="F202" t="n">
        <v>3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inlineStr">
        <is>
          <t>PO B4 play#44; E B5 play#54; E B5 play#62; R play#56 (C Dennehy 1B); SB B5 Seq#55</t>
        </is>
      </c>
    </row>
    <row r="203">
      <c r="A203" t="inlineStr">
        <is>
          <t>2026-03-14_NRTH_at_ARND</t>
        </is>
      </c>
      <c r="B203" s="10" t="n">
        <v>46095</v>
      </c>
      <c r="C203" t="inlineStr">
        <is>
          <t>NRTH</t>
        </is>
      </c>
      <c r="D203" t="inlineStr">
        <is>
          <t>ARND</t>
        </is>
      </c>
      <c r="E203" t="inlineStr">
        <is>
          <t>G Pedrozo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>
        <is>
          <t>BB B4 play#45; R play#47 (J Haslup 3B)</t>
        </is>
      </c>
    </row>
    <row r="204">
      <c r="A204" t="inlineStr">
        <is>
          <t>2026-03-14_NRTH_at_ARND</t>
        </is>
      </c>
      <c r="B204" s="10" t="n">
        <v>46095</v>
      </c>
      <c r="C204" t="inlineStr">
        <is>
          <t>NRTH</t>
        </is>
      </c>
      <c r="D204" t="inlineStr">
        <is>
          <t>ARND</t>
        </is>
      </c>
      <c r="E204" t="inlineStr">
        <is>
          <t>C Wojtyszyn</t>
        </is>
      </c>
      <c r="F204" t="n">
        <v>2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2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>
        <is>
          <t>1B B4 play#46 (RBI C Dennehy); BB B5 play#59; R plays#46,#62</t>
        </is>
      </c>
    </row>
    <row r="205">
      <c r="A205" t="inlineStr">
        <is>
          <t>2026-03-14_NRTH_at_ARND</t>
        </is>
      </c>
      <c r="B205" s="10" t="n">
        <v>46095</v>
      </c>
      <c r="C205" t="inlineStr">
        <is>
          <t>NRTH</t>
        </is>
      </c>
      <c r="D205" t="inlineStr">
        <is>
          <t>ARND</t>
        </is>
      </c>
      <c r="E205" t="inlineStr">
        <is>
          <t>J Haslup</t>
        </is>
      </c>
      <c r="F205" t="n">
        <v>2</v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3B B4 play#47 (RBI x3: J Bailey,G Pedrozo,C Wojtyszyn); BB B5 play#60; R plays#48,#63(WP); see Flag#8</t>
        </is>
      </c>
    </row>
    <row r="206">
      <c r="A206" t="inlineStr">
        <is>
          <t>2026-03-14_NRTH_at_ARND</t>
        </is>
      </c>
      <c r="B206" s="10" t="n">
        <v>46095</v>
      </c>
      <c r="C206" t="inlineStr">
        <is>
          <t>NRTH</t>
        </is>
      </c>
      <c r="D206" t="inlineStr">
        <is>
          <t>ARND</t>
        </is>
      </c>
      <c r="E206" t="inlineStr">
        <is>
          <t>J Perry</t>
        </is>
      </c>
      <c r="F206" t="n">
        <v>2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>
        <is>
          <t>CR for G O'Donnell B2 play#23; R as CR credited to G O'Donnell; 1B B4 play#48 (RBI J Haslup); BB B5 play#61; see Flags#4,#8</t>
        </is>
      </c>
    </row>
    <row r="207">
      <c r="A207" t="inlineStr">
        <is>
          <t>2026-03-14_NRTH_at_ARND</t>
        </is>
      </c>
      <c r="B207" s="10" t="n">
        <v>46095</v>
      </c>
      <c r="C207" t="inlineStr">
        <is>
          <t>NRTH</t>
        </is>
      </c>
      <c r="D207" t="inlineStr">
        <is>
          <t>ARND</t>
        </is>
      </c>
      <c r="E207" t="inlineStr">
        <is>
          <t>J Witcher</t>
        </is>
      </c>
      <c r="F207" t="n">
        <v>3</v>
      </c>
      <c r="G207" t="n">
        <v>2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>
        <is>
          <t>GO B4 play#49; 1B B5 play#55; BB B5 play#63; R play#57 (J Bailey 1B)</t>
        </is>
      </c>
    </row>
    <row r="208">
      <c r="A208" t="inlineStr">
        <is>
          <t>2026-03-14_NRTH_at_ARND</t>
        </is>
      </c>
      <c r="B208" s="10" t="n">
        <v>46095</v>
      </c>
      <c r="C208" t="inlineStr">
        <is>
          <t>NRTH</t>
        </is>
      </c>
      <c r="D208" t="inlineStr">
        <is>
          <t>ARND</t>
        </is>
      </c>
      <c r="E208" t="inlineStr">
        <is>
          <t>C Dennehy</t>
        </is>
      </c>
      <c r="F208" t="n">
        <v>2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>
        <is>
          <t>BB B4 play#42; 1B B5 play#56 (RBI J Verdier); play#64 incomplete AB not counted (Flag#1); R play#58 WP; see Flag#8</t>
        </is>
      </c>
    </row>
    <row r="209">
      <c r="A209" t="inlineStr">
        <is>
          <t>2026-03-14_NRTH_at_MRRT</t>
        </is>
      </c>
      <c r="B209" s="10" t="n">
        <v>46095</v>
      </c>
      <c r="C209" t="inlineStr">
        <is>
          <t>MRRT</t>
        </is>
      </c>
      <c r="D209" t="inlineStr">
        <is>
          <t>NRTH</t>
        </is>
      </c>
      <c r="E209" t="inlineStr">
        <is>
          <t>A Espejo</t>
        </is>
      </c>
      <c r="F209" t="n">
        <v>3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inlineStr">
        <is>
          <t>1B T1 play#1; BB T3 play#25; BB T5 play#46; SB 2nd T3 Seq#27 (embedded A Harding GO); also pitches B1-B2 (Flag#4)</t>
        </is>
      </c>
    </row>
    <row r="210">
      <c r="A210" t="inlineStr">
        <is>
          <t>2026-03-14_NRTH_at_MRRT</t>
        </is>
      </c>
      <c r="B210" s="10" t="n">
        <v>46095</v>
      </c>
      <c r="C210" t="inlineStr">
        <is>
          <t>MRRT</t>
        </is>
      </c>
      <c r="D210" t="inlineStr">
        <is>
          <t>NRTH</t>
        </is>
      </c>
      <c r="E210" t="inlineStr">
        <is>
          <t>A Thomas</t>
        </is>
      </c>
      <c r="F210" t="n">
        <v>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inlineStr">
        <is>
          <t>SAC bunt T1 play#2; K_L T3 Seq#26; K_L T5 Seq#47; E at 2B play#9 B1 (Z Magee adv on E, embedded A Devito AB)</t>
        </is>
      </c>
    </row>
    <row r="211">
      <c r="A211" t="inlineStr">
        <is>
          <t>2026-03-14_NRTH_at_MRRT</t>
        </is>
      </c>
      <c r="B211" s="10" t="n">
        <v>46095</v>
      </c>
      <c r="C211" t="inlineStr">
        <is>
          <t>MRRT</t>
        </is>
      </c>
      <c r="D211" t="inlineStr">
        <is>
          <t>NRTH</t>
        </is>
      </c>
      <c r="E211" t="inlineStr">
        <is>
          <t>A Harding</t>
        </is>
      </c>
      <c r="F211" t="n">
        <v>3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>
        <is>
          <t>K_S T1 Seq#3; GO T3 play#27 (T Roy scores, RBI:1); FO T5 play#48</t>
        </is>
      </c>
    </row>
    <row r="212">
      <c r="A212" t="inlineStr">
        <is>
          <t>2026-03-14_NRTH_at_MRRT</t>
        </is>
      </c>
      <c r="B212" s="10" t="n">
        <v>46095</v>
      </c>
      <c r="C212" t="inlineStr">
        <is>
          <t>MRRT</t>
        </is>
      </c>
      <c r="D212" t="inlineStr">
        <is>
          <t>NRTH</t>
        </is>
      </c>
      <c r="E212" t="inlineStr">
        <is>
          <t>Z Bowman</t>
        </is>
      </c>
      <c r="F212" t="n">
        <v>3</v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>
        <is>
          <t>GO T1 play#4; LO T3 play#28; BB T6 play#58; R T6 play#60 (W Kwisnek GO); E at 3B plays#30,#34 (B3); E as P play#56 (B5); also pitches B5 (Flag#3)</t>
        </is>
      </c>
    </row>
    <row r="213">
      <c r="A213" t="inlineStr">
        <is>
          <t>2026-03-14_NRTH_at_MRRT</t>
        </is>
      </c>
      <c r="B213" s="10" t="n">
        <v>46095</v>
      </c>
      <c r="C213" t="inlineStr">
        <is>
          <t>MRRT</t>
        </is>
      </c>
      <c r="D213" t="inlineStr">
        <is>
          <t>NRTH</t>
        </is>
      </c>
      <c r="E213" t="inlineStr">
        <is>
          <t>E Zimmerman</t>
        </is>
      </c>
      <c r="F213" t="n">
        <v>3</v>
      </c>
      <c r="G213" t="n">
        <v>3</v>
      </c>
      <c r="H213" t="n">
        <v>2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>
        <is>
          <t>1B T2 play#11 (see Flag#8 re fly ball to C); GO T4 play#37; 2B T6 play#59; stranded at 3rd end T6; also pitches B3-B4 (Flag#5)</t>
        </is>
      </c>
    </row>
    <row r="214">
      <c r="A214" t="inlineStr">
        <is>
          <t>2026-03-14_NRTH_at_MRRT</t>
        </is>
      </c>
      <c r="B214" s="10" t="n">
        <v>46095</v>
      </c>
      <c r="C214" t="inlineStr">
        <is>
          <t>MRRT</t>
        </is>
      </c>
      <c r="D214" t="inlineStr">
        <is>
          <t>NRTH</t>
        </is>
      </c>
      <c r="E214" t="inlineStr">
        <is>
          <t>W Kwisnek</t>
        </is>
      </c>
      <c r="F214" t="n">
        <v>3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>
        <is>
          <t>HBP T2 play#12; K_S T4 play#38 (dropped 3rd strike, reaches base); GO T6 play#60 (Z Bowman scores, RBI:1)</t>
        </is>
      </c>
    </row>
    <row r="215">
      <c r="A215" t="inlineStr">
        <is>
          <t>2026-03-14_NRTH_at_MRRT</t>
        </is>
      </c>
      <c r="B215" s="10" t="n">
        <v>46095</v>
      </c>
      <c r="C215" t="inlineStr">
        <is>
          <t>MRRT</t>
        </is>
      </c>
      <c r="D215" t="inlineStr">
        <is>
          <t>NRTH</t>
        </is>
      </c>
      <c r="E215" t="inlineStr">
        <is>
          <t>S Dixon</t>
        </is>
      </c>
      <c r="F215" t="n">
        <v>3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>
        <is>
          <t>K_S T2 Seq#13; DP T4 play#39 (lines into DP, not GDP); K_S T6 Seq#61; E at LF play#51 B5 (A Montgomery scores on E)</t>
        </is>
      </c>
    </row>
    <row r="216">
      <c r="A216" t="inlineStr">
        <is>
          <t>2026-03-14_NRTH_at_MRRT</t>
        </is>
      </c>
      <c r="B216" s="10" t="n">
        <v>46095</v>
      </c>
      <c r="C216" t="inlineStr">
        <is>
          <t>MRRT</t>
        </is>
      </c>
      <c r="D216" t="inlineStr">
        <is>
          <t>NRTH</t>
        </is>
      </c>
      <c r="E216" t="inlineStr">
        <is>
          <t>C Pettko</t>
        </is>
      </c>
      <c r="F216" t="n">
        <v>3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0</v>
      </c>
      <c r="V216" t="n">
        <v>1</v>
      </c>
      <c r="W216" t="n">
        <v>0</v>
      </c>
      <c r="X216" t="n">
        <v>0</v>
      </c>
      <c r="Y216" t="inlineStr">
        <is>
          <t>GDP T2 play#14 (grounds into DP); BB T5 play#44; SB x2 T5 Seq#46 (steals 2nd and 3rd during A Espejo BB AB); HBP T6 play#62</t>
        </is>
      </c>
    </row>
    <row r="217">
      <c r="A217" t="inlineStr">
        <is>
          <t>2026-03-14_NRTH_at_MRRT</t>
        </is>
      </c>
      <c r="B217" s="10" t="n">
        <v>46095</v>
      </c>
      <c r="C217" t="inlineStr">
        <is>
          <t>MRRT</t>
        </is>
      </c>
      <c r="D217" t="inlineStr">
        <is>
          <t>NRTH</t>
        </is>
      </c>
      <c r="E217" t="inlineStr">
        <is>
          <t>T Roy</t>
        </is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>
        <is>
          <t>1B T3 play#24; R play#27 (A Harding GO); replaced by J Smith (no lineup note, Flag#7)</t>
        </is>
      </c>
    </row>
    <row r="218">
      <c r="A218" t="inlineStr">
        <is>
          <t>2026-03-14_NRTH_at_MRRT</t>
        </is>
      </c>
      <c r="B218" s="10" t="n">
        <v>46095</v>
      </c>
      <c r="C218" t="inlineStr">
        <is>
          <t>MRRT</t>
        </is>
      </c>
      <c r="D218" t="inlineStr">
        <is>
          <t>NRTH</t>
        </is>
      </c>
      <c r="E218" t="inlineStr">
        <is>
          <t>J Smith</t>
        </is>
      </c>
      <c r="F218" t="n">
        <v>2</v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>
        <is>
          <t>Entry T5 play#45 (no lineup note, Flag#7); K_S T5 Seq#45; LO T6 play#63</t>
        </is>
      </c>
    </row>
    <row r="219">
      <c r="A219" t="inlineStr">
        <is>
          <t>2026-03-14_NRTH_at_MRRT</t>
        </is>
      </c>
      <c r="B219" s="10" t="n">
        <v>46095</v>
      </c>
      <c r="C219" t="inlineStr">
        <is>
          <t>NRTH</t>
        </is>
      </c>
      <c r="D219" t="inlineStr">
        <is>
          <t>MRRT</t>
        </is>
      </c>
      <c r="E219" t="inlineStr">
        <is>
          <t>O Snow</t>
        </is>
      </c>
      <c r="F219" t="n">
        <v>2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2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inlineStr">
        <is>
          <t>3B B1 play#5; HBP B2 play#19; R: B1 play#6 (M Parson SAC fly), B2 play#21 (E A Williams); SB 3rd B2 Seq#21; replaced by A Hlavaty B3 play#34</t>
        </is>
      </c>
    </row>
    <row r="220">
      <c r="A220" t="inlineStr">
        <is>
          <t>2026-03-14_NRTH_at_MRRT</t>
        </is>
      </c>
      <c r="B220" s="10" t="n">
        <v>46095</v>
      </c>
      <c r="C220" t="inlineStr">
        <is>
          <t>NRTH</t>
        </is>
      </c>
      <c r="D220" t="inlineStr">
        <is>
          <t>MRRT</t>
        </is>
      </c>
      <c r="E220" t="inlineStr">
        <is>
          <t>M Parson</t>
        </is>
      </c>
      <c r="F220" t="n">
        <v>2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2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inlineStr">
        <is>
          <t>SAC fly B1 play#6 (RBI O Snow); 1B B2 play#20 (RBI M Delmonte); R B2 play#21 (N Brown 1B); replaced by S Grams B3 play#35</t>
        </is>
      </c>
    </row>
    <row r="221">
      <c r="A221" t="inlineStr">
        <is>
          <t>2026-03-14_NRTH_at_MRRT</t>
        </is>
      </c>
      <c r="B221" s="10" t="n">
        <v>46095</v>
      </c>
      <c r="C221" t="inlineStr">
        <is>
          <t>NRTH</t>
        </is>
      </c>
      <c r="D221" t="inlineStr">
        <is>
          <t>MRRT</t>
        </is>
      </c>
      <c r="E221" t="inlineStr">
        <is>
          <t>N Brown</t>
        </is>
      </c>
      <c r="F221" t="n">
        <v>2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inlineStr">
        <is>
          <t>BB B1 play#7; CS B1 Seq#8 (A Williams to C Pettko); 1B B2 play#21 (RBI M Parson); SB 3rd B2 Seq#23; R B2 Seq#23 WP (embedded A Devito K); replaced by T Smith B3 play#36</t>
        </is>
      </c>
    </row>
    <row r="222">
      <c r="A222" t="inlineStr">
        <is>
          <t>2026-03-14_NRTH_at_MRRT</t>
        </is>
      </c>
      <c r="B222" s="10" t="n">
        <v>46095</v>
      </c>
      <c r="C222" t="inlineStr">
        <is>
          <t>NRTH</t>
        </is>
      </c>
      <c r="D222" t="inlineStr">
        <is>
          <t>MRRT</t>
        </is>
      </c>
      <c r="E222" t="inlineStr">
        <is>
          <t>Z Magee</t>
        </is>
      </c>
      <c r="F222" t="n">
        <v>3</v>
      </c>
      <c r="G222" t="n">
        <v>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  <c r="P222" t="n">
        <v>1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inlineStr">
        <is>
          <t>BB B1 play#8; BB B2 play#22; K_L B4 play#40 Seq#40; R B1 play#9 (A Devito 1B); SB 2nd B2 Seq#23 (embedded A Devito K)</t>
        </is>
      </c>
    </row>
    <row r="223">
      <c r="A223" t="inlineStr">
        <is>
          <t>2026-03-14_NRTH_at_MRRT</t>
        </is>
      </c>
      <c r="B223" s="10" t="n">
        <v>46095</v>
      </c>
      <c r="C223" t="inlineStr">
        <is>
          <t>NRTH</t>
        </is>
      </c>
      <c r="D223" t="inlineStr">
        <is>
          <t>MRRT</t>
        </is>
      </c>
      <c r="E223" t="inlineStr">
        <is>
          <t>A Devito</t>
        </is>
      </c>
      <c r="F223" t="n">
        <v>2</v>
      </c>
      <c r="G223" t="n">
        <v>2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inlineStr">
        <is>
          <t>1B B1 play#9 (RBI Z Magee; Z Magee adv on E A Thomas + WP embedded in AB); K_S B2 Seq#23; replaced by R Marsili B4 play#41</t>
        </is>
      </c>
    </row>
    <row r="224">
      <c r="A224" t="inlineStr">
        <is>
          <t>2026-03-14_NRTH_at_MRRT</t>
        </is>
      </c>
      <c r="B224" s="10" t="n">
        <v>46095</v>
      </c>
      <c r="C224" t="inlineStr">
        <is>
          <t>NRTH</t>
        </is>
      </c>
      <c r="D224" t="inlineStr">
        <is>
          <t>MRRT</t>
        </is>
      </c>
      <c r="E224" t="inlineStr">
        <is>
          <t>A Schwendeman</t>
        </is>
      </c>
      <c r="F224" t="n">
        <v>2</v>
      </c>
      <c r="G224" t="n">
        <v>2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>
        <is>
          <t>K_S B1 Seq#10 (dropped 3rd strike); HR B3 play#29 (solo, RBI:1); replaced by J Ketterer B4 play#42</t>
        </is>
      </c>
    </row>
    <row r="225">
      <c r="A225" t="inlineStr">
        <is>
          <t>2026-03-14_NRTH_at_MRRT</t>
        </is>
      </c>
      <c r="B225" s="10" t="n">
        <v>46095</v>
      </c>
      <c r="C225" t="inlineStr">
        <is>
          <t>NRTH</t>
        </is>
      </c>
      <c r="D225" t="inlineStr">
        <is>
          <t>MRRT</t>
        </is>
      </c>
      <c r="E225" t="inlineStr">
        <is>
          <t>J Devito</t>
        </is>
      </c>
      <c r="F225" t="n">
        <v>2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inlineStr">
        <is>
          <t>PO B2 play#15; E B3 play#30 (Z Bowman 3B); SB 2nd B3 Seq#31; R B3 play#34 (A Hlavaty E, J Devito scores); replaced by B Balighian B4 play#43</t>
        </is>
      </c>
    </row>
    <row r="226">
      <c r="A226" t="inlineStr">
        <is>
          <t>2026-03-14_NRTH_at_MRRT</t>
        </is>
      </c>
      <c r="B226" s="10" t="n">
        <v>46095</v>
      </c>
      <c r="C226" t="inlineStr">
        <is>
          <t>NRTH</t>
        </is>
      </c>
      <c r="D226" t="inlineStr">
        <is>
          <t>MRRT</t>
        </is>
      </c>
      <c r="E226" t="inlineStr">
        <is>
          <t>S Thomas</t>
        </is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>
        <is>
          <t>HBP B2 play#16; CR R Marsili in for S Thomas (B2 play#16); R: via CR R Marsili play#18 PB + own legs B3 play#36 WP; BB B3 play#31; replaced by J Yeich B5 play#49; also pitches T1-T2</t>
        </is>
      </c>
    </row>
    <row r="227">
      <c r="A227" t="inlineStr">
        <is>
          <t>2026-03-14_NRTH_at_MRRT</t>
        </is>
      </c>
      <c r="B227" s="10" t="n">
        <v>46095</v>
      </c>
      <c r="C227" t="inlineStr">
        <is>
          <t>NRTH</t>
        </is>
      </c>
      <c r="D227" t="inlineStr">
        <is>
          <t>MRRT</t>
        </is>
      </c>
      <c r="E227" t="inlineStr">
        <is>
          <t>T Rauscher</t>
        </is>
      </c>
      <c r="F227" t="n">
        <v>3</v>
      </c>
      <c r="G227" t="n">
        <v>3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>
        <is>
          <t>LO B2 play#17; K_S B3 Seq#32; 1B B5 play#50 (CR A Montgomery in B5 play#51); R B5 play#51 via CR A Montgomery (E S Dixon); B6 play#64 no outcome not counted (Flag#1)</t>
        </is>
      </c>
    </row>
    <row r="228">
      <c r="A228" t="inlineStr">
        <is>
          <t>2026-03-14_NRTH_at_MRRT</t>
        </is>
      </c>
      <c r="B228" s="10" t="n">
        <v>46095</v>
      </c>
      <c r="C228" t="inlineStr">
        <is>
          <t>NRTH</t>
        </is>
      </c>
      <c r="D228" t="inlineStr">
        <is>
          <t>MRRT</t>
        </is>
      </c>
      <c r="E228" t="inlineStr">
        <is>
          <t>M Delmonte</t>
        </is>
      </c>
      <c r="F228" t="n">
        <v>2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>
        <is>
          <t>BB B2 play#18; K_S B3 Seq#33; R B2 play#20 (M Parson 1B); replaced by #6 B5 play#51</t>
        </is>
      </c>
    </row>
    <row r="229">
      <c r="A229" t="inlineStr">
        <is>
          <t>2026-03-14_NRTH_at_MRRT</t>
        </is>
      </c>
      <c r="B229" s="10" t="n">
        <v>46095</v>
      </c>
      <c r="C229" t="inlineStr">
        <is>
          <t>NRTH</t>
        </is>
      </c>
      <c r="D229" t="inlineStr">
        <is>
          <t>MRRT</t>
        </is>
      </c>
      <c r="E229" t="inlineStr">
        <is>
          <t>A Hlavaty</t>
        </is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inlineStr">
        <is>
          <t>E B3 play#34 (reaches on Z Bowman 3B error; J Devito scores, S Thomas adv to 3rd, A Hlavaty adv to 2nd; stranded at 3rd end B3); pinch-hits for O Snow; replaced by #2 B5 play#52</t>
        </is>
      </c>
    </row>
    <row r="230">
      <c r="A230" t="inlineStr">
        <is>
          <t>2026-03-14_NRTH_at_MRRT</t>
        </is>
      </c>
      <c r="B230" s="10" t="n">
        <v>46095</v>
      </c>
      <c r="C230" t="inlineStr">
        <is>
          <t>NRTH</t>
        </is>
      </c>
      <c r="D230" t="inlineStr">
        <is>
          <t>MRRT</t>
        </is>
      </c>
      <c r="E230" t="inlineStr">
        <is>
          <t>S Grams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>
        <is>
          <t>BB B3 play#35; pinch-hits for M Parson; stranded end B3; replaced by K Yarema B5 play#54</t>
        </is>
      </c>
    </row>
    <row r="231">
      <c r="A231" t="inlineStr">
        <is>
          <t>2026-03-14_NRTH_at_MRRT</t>
        </is>
      </c>
      <c r="B231" s="10" t="n">
        <v>46095</v>
      </c>
      <c r="C231" t="inlineStr">
        <is>
          <t>NRTH</t>
        </is>
      </c>
      <c r="D231" t="inlineStr">
        <is>
          <t>MRRT</t>
        </is>
      </c>
      <c r="E231" t="inlineStr">
        <is>
          <t>T Smith</t>
        </is>
      </c>
      <c r="F231" t="n">
        <v>2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>
        <is>
          <t>K_L B3 Seq#36 (S Thomas scores on WP embedded); BB B5 play#53; R B5 play#54 (K Yarema 2B); pinch-hits for N Brown; also pitches T5</t>
        </is>
      </c>
    </row>
    <row r="232">
      <c r="A232" t="inlineStr">
        <is>
          <t>2026-03-14_NRTH_at_MRRT</t>
        </is>
      </c>
      <c r="B232" s="10" t="n">
        <v>46095</v>
      </c>
      <c r="C232" t="inlineStr">
        <is>
          <t>NRTH</t>
        </is>
      </c>
      <c r="D232" t="inlineStr">
        <is>
          <t>MRRT</t>
        </is>
      </c>
      <c r="E232" t="inlineStr">
        <is>
          <t>R Marsili</t>
        </is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inlineStr">
        <is>
          <t>CR for S Thomas B2 play#16 (R as CR credited to S Thomas); 1B B4 play#41 (replaces A Devito); SB 2nd B4 Seq#42; R as CR credited to S Thomas; also pitches T6</t>
        </is>
      </c>
    </row>
    <row r="233">
      <c r="A233" t="inlineStr">
        <is>
          <t>2026-03-14_NRTH_at_MRRT</t>
        </is>
      </c>
      <c r="B233" s="10" t="n">
        <v>46095</v>
      </c>
      <c r="C233" t="inlineStr">
        <is>
          <t>NRTH</t>
        </is>
      </c>
      <c r="D233" t="inlineStr">
        <is>
          <t>MRRT</t>
        </is>
      </c>
      <c r="E233" t="inlineStr">
        <is>
          <t>J Ketterer</t>
        </is>
      </c>
      <c r="F233" t="n">
        <v>2</v>
      </c>
      <c r="G233" t="n">
        <v>2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>
        <is>
          <t>K_L B4 Seq#42; 1B B5 play#55 (K Yarema adv to 3rd); adv 2nd on E Z Bowman Seq#56 (not SB)</t>
        </is>
      </c>
    </row>
    <row r="234">
      <c r="A234" t="inlineStr">
        <is>
          <t>2026-03-14_NRTH_at_MRRT</t>
        </is>
      </c>
      <c r="B234" s="10" t="n">
        <v>46095</v>
      </c>
      <c r="C234" t="inlineStr">
        <is>
          <t>NRTH</t>
        </is>
      </c>
      <c r="D234" t="inlineStr">
        <is>
          <t>MRRT</t>
        </is>
      </c>
      <c r="E234" t="inlineStr">
        <is>
          <t>B Balighian</t>
        </is>
      </c>
      <c r="F234" t="n">
        <v>2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>
        <is>
          <t>K_L B4 Seq#43; K_S B5 Seq#56</t>
        </is>
      </c>
    </row>
    <row r="235">
      <c r="A235" t="inlineStr">
        <is>
          <t>2026-03-14_NRTH_at_MRRT</t>
        </is>
      </c>
      <c r="B235" s="10" t="n">
        <v>46095</v>
      </c>
      <c r="C235" t="inlineStr">
        <is>
          <t>NRTH</t>
        </is>
      </c>
      <c r="D235" t="inlineStr">
        <is>
          <t>MRRT</t>
        </is>
      </c>
      <c r="E235" t="inlineStr">
        <is>
          <t>J Yeich</t>
        </is>
      </c>
      <c r="F235" t="n">
        <v>2</v>
      </c>
      <c r="G235" t="n">
        <v>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>
        <is>
          <t>GO B5 play#49 (replaces S Thomas); LO B5 play#57 (bats twice B5, Flag#6); also pitches T3-T4</t>
        </is>
      </c>
    </row>
    <row r="236">
      <c r="A236" t="inlineStr">
        <is>
          <t>2026-03-14_NRTH_at_MRRT</t>
        </is>
      </c>
      <c r="B236" s="10" t="n">
        <v>46095</v>
      </c>
      <c r="C236" t="inlineStr">
        <is>
          <t>NRTH</t>
        </is>
      </c>
      <c r="D236" t="inlineStr">
        <is>
          <t>MRRT</t>
        </is>
      </c>
      <c r="E236" t="inlineStr">
        <is>
          <t>#6</t>
        </is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inlineStr">
        <is>
          <t>1B B5 play#51 (replaces M Delmonte; A Montgomery CR for T Rauscher scores on E S Dixon); SB 3rd B5 Seq#52; R B5 Seq#54 embedded (E A Williams before K Yarema batted ball); see Flags#12,#13</t>
        </is>
      </c>
    </row>
    <row r="237">
      <c r="A237" t="inlineStr">
        <is>
          <t>2026-03-14_NRTH_at_MRRT</t>
        </is>
      </c>
      <c r="B237" s="10" t="n">
        <v>46095</v>
      </c>
      <c r="C237" t="inlineStr">
        <is>
          <t>NRTH</t>
        </is>
      </c>
      <c r="D237" t="inlineStr">
        <is>
          <t>MRRT</t>
        </is>
      </c>
      <c r="E237" t="inlineStr">
        <is>
          <t>#2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inlineStr">
        <is>
          <t>BB B5 play#52 (replaces A Hlavaty); SB 2nd B5 Seq#53; R B5 play#54 (K Yarema 2B); see Flag#13</t>
        </is>
      </c>
    </row>
    <row r="238">
      <c r="A238" t="inlineStr">
        <is>
          <t>2026-03-14_NRTH_at_MRRT</t>
        </is>
      </c>
      <c r="B238" s="10" t="n">
        <v>46095</v>
      </c>
      <c r="C238" t="inlineStr">
        <is>
          <t>NRTH</t>
        </is>
      </c>
      <c r="D238" t="inlineStr">
        <is>
          <t>MRRT</t>
        </is>
      </c>
      <c r="E238" t="inlineStr">
        <is>
          <t>K Yarema</t>
        </is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2B B5 play#54 (replaces S Grams; RBI: T Smith scores + #2 scores; #6 scores on E A Williams embedded before batted ball, Flag#12); R B5 Seq#56 embedded E Z Bowman (K Yarema scores on E during B Balighian K)</t>
        </is>
      </c>
    </row>
    <row r="239">
      <c r="A239" t="inlineStr">
        <is>
          <t>2026-03-20_PTXN_at_NRTH</t>
        </is>
      </c>
      <c r="B239" s="10" t="n">
        <v>46101</v>
      </c>
      <c r="C239" t="inlineStr">
        <is>
          <t>PTXN</t>
        </is>
      </c>
      <c r="D239" t="inlineStr">
        <is>
          <t>NRTH</t>
        </is>
      </c>
      <c r="E239" t="inlineStr">
        <is>
          <t>A Espejo</t>
        </is>
      </c>
      <c r="F239" t="n">
        <v>4</v>
      </c>
      <c r="G239" t="n">
        <v>4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</v>
      </c>
      <c r="P239" t="n">
        <v>2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inlineStr">
        <is>
          <t>K_L B1 Seq#6; 1B B2 play#22; K_L B5 Seq#43; GO B7 play#65; SB 2nd B2 Seq#24 (embedded A Harding K AB); also pitches T1-T5</t>
        </is>
      </c>
    </row>
    <row r="240">
      <c r="A240" t="inlineStr">
        <is>
          <t>2026-03-20_PTXN_at_NRTH</t>
        </is>
      </c>
      <c r="B240" s="10" t="n">
        <v>46101</v>
      </c>
      <c r="C240" t="inlineStr">
        <is>
          <t>PTXN</t>
        </is>
      </c>
      <c r="D240" t="inlineStr">
        <is>
          <t>NRTH</t>
        </is>
      </c>
      <c r="E240" t="inlineStr">
        <is>
          <t>A Thomas</t>
        </is>
      </c>
      <c r="F240" t="n">
        <v>4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</v>
      </c>
      <c r="P240" t="n">
        <v>2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inlineStr">
        <is>
          <t>K_S B1 Seq#7; SAC fly B2 play#23 (C Pettko scores, RBI:1); K_L B5 Seq#44; K_L B7 Seq#66</t>
        </is>
      </c>
    </row>
    <row r="241">
      <c r="A241" t="inlineStr">
        <is>
          <t>2026-03-20_PTXN_at_NRTH</t>
        </is>
      </c>
      <c r="B241" s="10" t="n">
        <v>46101</v>
      </c>
      <c r="C241" t="inlineStr">
        <is>
          <t>PTXN</t>
        </is>
      </c>
      <c r="D241" t="inlineStr">
        <is>
          <t>NRTH</t>
        </is>
      </c>
      <c r="E241" t="inlineStr">
        <is>
          <t>A Harding</t>
        </is>
      </c>
      <c r="F241" t="n">
        <v>4</v>
      </c>
      <c r="G241" t="n">
        <v>3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2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BB B1 play#8; K_L B2 Seq#24; 1B B5 play#45; K_S B7 Seq#67; R B1 play#9 (Z Bowman E); SB 2nd B1 Seq#9 (embedded Z Bowman AB); pickoff at 2nd B5 play#47 (ends inning; not scored as CS — pickoff by C L Powell to SS R Whitney); see Flag#6</t>
        </is>
      </c>
    </row>
    <row r="242">
      <c r="A242" t="inlineStr">
        <is>
          <t>2026-03-20_PTXN_at_NRTH</t>
        </is>
      </c>
      <c r="B242" s="10" t="n">
        <v>46101</v>
      </c>
      <c r="C242" t="inlineStr">
        <is>
          <t>PTXN</t>
        </is>
      </c>
      <c r="D242" t="inlineStr">
        <is>
          <t>NRTH</t>
        </is>
      </c>
      <c r="E242" t="inlineStr">
        <is>
          <t>Z Bowman</t>
        </is>
      </c>
      <c r="F242" t="n">
        <v>3</v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>
        <is>
          <t>E B1 play#9 (R Whitney SS; A Harding scores on same E — no RBI, scored on error); FO B3 play#29; E B5 play#46 (R Whitney SS; AB resolved as E, no further result per Flag#6); R B1 play#10 (E Zimmerman 1B, Z Bowman scores from 2nd)</t>
        </is>
      </c>
    </row>
    <row r="243">
      <c r="A243" t="inlineStr">
        <is>
          <t>2026-03-20_PTXN_at_NRTH</t>
        </is>
      </c>
      <c r="B243" s="10" t="n">
        <v>46101</v>
      </c>
      <c r="C243" t="inlineStr">
        <is>
          <t>PTXN</t>
        </is>
      </c>
      <c r="D243" t="inlineStr">
        <is>
          <t>NRTH</t>
        </is>
      </c>
      <c r="E243" t="inlineStr">
        <is>
          <t>E Zimmerman</t>
        </is>
      </c>
      <c r="F243" t="n">
        <v>3</v>
      </c>
      <c r="G243" t="n">
        <v>2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1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>
        <is>
          <t>1B B1 play#10 (RBI Z Bowman scores); K_L B3 Seq#30; HBP B6 play#55 (CR J Smith in); R B6 play#59 via CR J Smith (T Roy FC; J Smith scored — credited to E Zimmerman per CR rule)</t>
        </is>
      </c>
    </row>
    <row r="244">
      <c r="A244" t="inlineStr">
        <is>
          <t>2026-03-20_PTXN_at_NRTH</t>
        </is>
      </c>
      <c r="B244" s="10" t="n">
        <v>46101</v>
      </c>
      <c r="C244" t="inlineStr">
        <is>
          <t>PTXN</t>
        </is>
      </c>
      <c r="D244" t="inlineStr">
        <is>
          <t>NRTH</t>
        </is>
      </c>
      <c r="E244" t="inlineStr">
        <is>
          <t>W Kwisnek</t>
        </is>
      </c>
      <c r="F244" t="n">
        <v>3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1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>
        <is>
          <t>K_S B1 Seq#11; K_S B3 Seq#31; K_L B6 Seq#56</t>
        </is>
      </c>
    </row>
    <row r="245">
      <c r="A245" t="inlineStr">
        <is>
          <t>2026-03-20_PTXN_at_NRTH</t>
        </is>
      </c>
      <c r="B245" s="10" t="n">
        <v>46101</v>
      </c>
      <c r="C245" t="inlineStr">
        <is>
          <t>PTXN</t>
        </is>
      </c>
      <c r="D245" t="inlineStr">
        <is>
          <t>NRTH</t>
        </is>
      </c>
      <c r="E245" t="inlineStr">
        <is>
          <t>S Dixon</t>
        </is>
      </c>
      <c r="F245" t="n">
        <v>3</v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inlineStr">
        <is>
          <t>E B2 play#19 (D Bradley 3B); CS 2nd B2 Seq#20 (2B B Cowan, embedded C Pettko 1B AB); K_L B4 Seq#35; E B6 play#57 (N Kelly LF)</t>
        </is>
      </c>
    </row>
    <row r="246">
      <c r="A246" t="inlineStr">
        <is>
          <t>2026-03-20_PTXN_at_NRTH</t>
        </is>
      </c>
      <c r="B246" s="10" t="n">
        <v>46101</v>
      </c>
      <c r="C246" t="inlineStr">
        <is>
          <t>PTXN</t>
        </is>
      </c>
      <c r="D246" t="inlineStr">
        <is>
          <t>NRTH</t>
        </is>
      </c>
      <c r="E246" t="inlineStr">
        <is>
          <t>C Pettko</t>
        </is>
      </c>
      <c r="F246" t="n">
        <v>3</v>
      </c>
      <c r="G246" t="n">
        <v>2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>
        <is>
          <t>1B B2 play#20; PO B4 play#36; BB B6 play#58; R B2 play#23 (A Thomas SAC fly); out at 2nd on FC B6 play#59 (T Roy FC); also pitches T6-T7</t>
        </is>
      </c>
    </row>
    <row r="247">
      <c r="A247" t="inlineStr">
        <is>
          <t>2026-03-20_PTXN_at_NRTH</t>
        </is>
      </c>
      <c r="B247" s="10" t="n">
        <v>46101</v>
      </c>
      <c r="C247" t="inlineStr">
        <is>
          <t>PTXN</t>
        </is>
      </c>
      <c r="D247" t="inlineStr">
        <is>
          <t>NRTH</t>
        </is>
      </c>
      <c r="E247" t="inlineStr">
        <is>
          <t>T Roy</t>
        </is>
      </c>
      <c r="F247" t="n">
        <v>3</v>
      </c>
      <c r="G247" t="n">
        <v>3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inlineStr">
        <is>
          <t>1B bunt B2 play#21; K_L B4 Seq#37; FC B6 play#59 (J Smith scores, RBI:1; C Pettko out at 2nd); CS B6 play#60 (P R Whitney to SS B Cowan; ends inning, see Flag#9)</t>
        </is>
      </c>
    </row>
    <row r="248">
      <c r="A248" t="inlineStr">
        <is>
          <t>2026-03-20_PTXN_at_NRTH</t>
        </is>
      </c>
      <c r="B248" s="10" t="n">
        <v>46101</v>
      </c>
      <c r="C248" t="inlineStr">
        <is>
          <t>NRTH</t>
        </is>
      </c>
      <c r="D248" t="inlineStr">
        <is>
          <t>PTXN</t>
        </is>
      </c>
      <c r="E248" t="inlineStr">
        <is>
          <t>B Cowan</t>
        </is>
      </c>
      <c r="F248" t="n">
        <v>4</v>
      </c>
      <c r="G248" t="n">
        <v>3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GO T1 play#1; E T2 play#16 (A Harding SS; N Sands + C White score on E — no RBI); PO T4 play#34; BB T6 play#51; SB 2nd T2 Seq#17 (embedded T Lakey GO AB)</t>
        </is>
      </c>
    </row>
    <row r="249">
      <c r="A249" t="inlineStr">
        <is>
          <t>2026-03-20_PTXN_at_NRTH</t>
        </is>
      </c>
      <c r="B249" s="10" t="n">
        <v>46101</v>
      </c>
      <c r="C249" t="inlineStr">
        <is>
          <t>NRTH</t>
        </is>
      </c>
      <c r="D249" t="inlineStr">
        <is>
          <t>PTXN</t>
        </is>
      </c>
      <c r="E249" t="inlineStr">
        <is>
          <t>T Lakey</t>
        </is>
      </c>
      <c r="F249" t="n">
        <v>4</v>
      </c>
      <c r="G249" t="n">
        <v>4</v>
      </c>
      <c r="H249" t="n">
        <v>2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3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1B T1 play#2; GO T2 play#17 (D Bradley scores, RBI:1); FO T5 play#38; 1B T6 play#52; R T1 play#4 (R Whitney SF); SB x3: 2nd T1 Seq#3, 3rd T1 Seq#4, 2nd T6 Seq#53</t>
        </is>
      </c>
    </row>
    <row r="250">
      <c r="A250" t="inlineStr">
        <is>
          <t>2026-03-20_PTXN_at_NRTH</t>
        </is>
      </c>
      <c r="B250" s="10" t="n">
        <v>46101</v>
      </c>
      <c r="C250" t="inlineStr">
        <is>
          <t>NRTH</t>
        </is>
      </c>
      <c r="D250" t="inlineStr">
        <is>
          <t>PTXN</t>
        </is>
      </c>
      <c r="E250" t="inlineStr">
        <is>
          <t>L Powell</t>
        </is>
      </c>
      <c r="F250" t="n">
        <v>4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3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BB T1 play#3; GO T2 play#18; BB T5 play#39; IW T6 play#53 (counted as BB); CR R Hawkins in T6 play#54 (L Powell stranded via CR); R: T1 play#5 PB (embedded N Kelly K AB), T5 play#41 (N Kelly SF); SB 2nd T1 Seq#4 (embedded R Whitney SF AB); see Flag#8</t>
        </is>
      </c>
    </row>
    <row r="251">
      <c r="A251" t="inlineStr">
        <is>
          <t>2026-03-20_PTXN_at_NRTH</t>
        </is>
      </c>
      <c r="B251" s="10" t="n">
        <v>46101</v>
      </c>
      <c r="C251" t="inlineStr">
        <is>
          <t>NRTH</t>
        </is>
      </c>
      <c r="D251" t="inlineStr">
        <is>
          <t>PTXN</t>
        </is>
      </c>
      <c r="E251" t="inlineStr">
        <is>
          <t>R Whitney</t>
        </is>
      </c>
      <c r="F251" t="n">
        <v>4</v>
      </c>
      <c r="G251" t="n">
        <v>3</v>
      </c>
      <c r="H251" t="n">
        <v>2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inlineStr">
        <is>
          <t>SAC fly T1 play#4 (T Lakey scores, RBI:1); 2B T3 play#25; CS home T3 Seq#27 (C A Williams to P A Espejo, see Flag#3); 1B T5 play#40; FO T6 play#54; SB 2nd T5 Seq#41 (embedded N Kelly SF AB); also pitches B6-B7 (no lineup note, see Flag#10)</t>
        </is>
      </c>
    </row>
    <row r="252">
      <c r="A252" t="inlineStr">
        <is>
          <t>2026-03-20_PTXN_at_NRTH</t>
        </is>
      </c>
      <c r="B252" s="10" t="n">
        <v>46101</v>
      </c>
      <c r="C252" t="inlineStr">
        <is>
          <t>NRTH</t>
        </is>
      </c>
      <c r="D252" t="inlineStr">
        <is>
          <t>PTXN</t>
        </is>
      </c>
      <c r="E252" t="inlineStr">
        <is>
          <t>N Kelly</t>
        </is>
      </c>
      <c r="F252" t="n">
        <v>4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inlineStr">
        <is>
          <t>K_L T1 Seq#5; GO T3 play#26; SAC fly T5 play#41 (L Powell scores, RBI:1); BB T7 play#61; SB 2nd T7 Seq#63 (embedded C White FO AB); E at LF B6 play#57 (S Dixon reaches on E)</t>
        </is>
      </c>
    </row>
    <row r="253">
      <c r="A253" t="inlineStr">
        <is>
          <t>2026-03-20_PTXN_at_NRTH</t>
        </is>
      </c>
      <c r="B253" s="10" t="n">
        <v>46101</v>
      </c>
      <c r="C253" t="inlineStr">
        <is>
          <t>NRTH</t>
        </is>
      </c>
      <c r="D253" t="inlineStr">
        <is>
          <t>PTXN</t>
        </is>
      </c>
      <c r="E253" t="inlineStr">
        <is>
          <t>C Jones</t>
        </is>
      </c>
      <c r="F253" t="n">
        <v>4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2</v>
      </c>
      <c r="P253" t="n">
        <v>0</v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>
        <is>
          <t>FO T2 play#12; BB T3 play#27; K_S T5 Seq#42; K_S T7 Seq#62</t>
        </is>
      </c>
    </row>
    <row r="254">
      <c r="A254" t="inlineStr">
        <is>
          <t>2026-03-20_PTXN_at_NRTH</t>
        </is>
      </c>
      <c r="B254" s="10" t="n">
        <v>46101</v>
      </c>
      <c r="C254" t="inlineStr">
        <is>
          <t>NRTH</t>
        </is>
      </c>
      <c r="D254" t="inlineStr">
        <is>
          <t>PTXN</t>
        </is>
      </c>
      <c r="E254" t="inlineStr">
        <is>
          <t>C White</t>
        </is>
      </c>
      <c r="F254" t="n">
        <v>4</v>
      </c>
      <c r="G254" t="n">
        <v>4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inlineStr">
        <is>
          <t>1B T2 play#13; FC T3 play#28 (C Jones out at 2nd); K_L T6 Seq#48; FO T7 play#63; R T2 play#16 (B Cowan E, C White scores); SB 2nd T2 Seq#14 (embedded N Sands walk AB); also pitches B1-B5 (no lineup note, see Flag#2)</t>
        </is>
      </c>
    </row>
    <row r="255">
      <c r="A255" t="inlineStr">
        <is>
          <t>2026-03-20_PTXN_at_NRTH</t>
        </is>
      </c>
      <c r="B255" s="10" t="n">
        <v>46101</v>
      </c>
      <c r="C255" t="inlineStr">
        <is>
          <t>NRTH</t>
        </is>
      </c>
      <c r="D255" t="inlineStr">
        <is>
          <t>PTXN</t>
        </is>
      </c>
      <c r="E255" t="inlineStr">
        <is>
          <t>N Sands</t>
        </is>
      </c>
      <c r="F255" t="n">
        <v>4</v>
      </c>
      <c r="G255" t="n">
        <v>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2</v>
      </c>
      <c r="P255" t="n">
        <v>1</v>
      </c>
      <c r="Q255" t="n">
        <v>1</v>
      </c>
      <c r="R255" t="n">
        <v>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BB T2 play#14; K_S T4 Seq#32; HBP T6 play#49; adv 2nd+3rd on PB then scores on E A Williams T6 Seq#50 embedded (Flag#7); K_L T7 Seq#64; R x2: T2 play#16 (B Cowan E), T6 play#50 (E A Williams)</t>
        </is>
      </c>
    </row>
    <row r="256">
      <c r="A256" t="inlineStr">
        <is>
          <t>2026-03-20_PTXN_at_NRTH</t>
        </is>
      </c>
      <c r="B256" s="10" t="n">
        <v>46101</v>
      </c>
      <c r="C256" t="inlineStr">
        <is>
          <t>NRTH</t>
        </is>
      </c>
      <c r="D256" t="inlineStr">
        <is>
          <t>PTXN</t>
        </is>
      </c>
      <c r="E256" t="inlineStr">
        <is>
          <t>D Bradley</t>
        </is>
      </c>
      <c r="F256" t="n">
        <v>3</v>
      </c>
      <c r="G256" t="n">
        <v>3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inlineStr">
        <is>
          <t>1B T2 play#15; GO T4 play#33; GO T6 play#50 (N Sands scores on E A Williams embedded before batted ball, Flag#7); R T2 play#17 (T Lakey GO; D Bradley had stolen 3rd Seq#17); SB 3rd T2 Seq#17 (embedded T Lakey GO AB); T8 play#68 no outcome not counted (Flag#1); E at 3B B2 play#19 (S Dixon reaches on E)</t>
        </is>
      </c>
    </row>
    <row r="257">
      <c r="A257" t="inlineStr">
        <is>
          <t>2026-03-23_NRTH_at_ST.C</t>
        </is>
      </c>
      <c r="B257" s="10" t="n">
        <v>46104</v>
      </c>
      <c r="C257" t="inlineStr">
        <is>
          <t>ST.C</t>
        </is>
      </c>
      <c r="D257" t="inlineStr">
        <is>
          <t>NRTH</t>
        </is>
      </c>
      <c r="E257" t="inlineStr">
        <is>
          <t>A Espejo</t>
        </is>
      </c>
      <c r="F257" t="n">
        <v>4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2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inlineStr">
        <is>
          <t>K_S T1 Seq#1; K_S T3 Seq#17; HBP T5 play#32 + CS Seq#33 (K Queen SS, ends inning, Flag#3); HBP T7 play#49</t>
        </is>
      </c>
    </row>
    <row r="258">
      <c r="A258" t="inlineStr">
        <is>
          <t>2026-03-23_NRTH_at_ST.C</t>
        </is>
      </c>
      <c r="B258" s="10" t="n">
        <v>46104</v>
      </c>
      <c r="C258" t="inlineStr">
        <is>
          <t>ST.C</t>
        </is>
      </c>
      <c r="D258" t="inlineStr">
        <is>
          <t>NRTH</t>
        </is>
      </c>
      <c r="E258" t="inlineStr">
        <is>
          <t>A Thomas</t>
        </is>
      </c>
      <c r="F258" t="n">
        <v>4</v>
      </c>
      <c r="G258" t="n">
        <v>3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n">
        <v>1</v>
      </c>
      <c r="Q258" t="n">
        <v>0</v>
      </c>
      <c r="R258" t="n">
        <v>2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inlineStr">
        <is>
          <t>1B T1 play#2; K_L T3 Seq#18; BB T6 play#37; FO into DP T7 play#50 (A Espejo doubled off); R: T1 play#4 (Z Bowman E), T6 play#40 (E Zimmerman BB); SB 2nd T1 Seq#4 (embedded Z Bowman E AB)</t>
        </is>
      </c>
    </row>
    <row r="259">
      <c r="A259" t="inlineStr">
        <is>
          <t>2026-03-23_NRTH_at_ST.C</t>
        </is>
      </c>
      <c r="B259" s="10" t="n">
        <v>46104</v>
      </c>
      <c r="C259" t="inlineStr">
        <is>
          <t>ST.C</t>
        </is>
      </c>
      <c r="D259" t="inlineStr">
        <is>
          <t>NRTH</t>
        </is>
      </c>
      <c r="E259" t="inlineStr">
        <is>
          <t>A Harding</t>
        </is>
      </c>
      <c r="F259" t="n">
        <v>4</v>
      </c>
      <c r="G259" t="n">
        <v>3</v>
      </c>
      <c r="H259" t="n">
        <v>2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1</v>
      </c>
      <c r="P259" t="n">
        <v>0</v>
      </c>
      <c r="Q259" t="n">
        <v>1</v>
      </c>
      <c r="R259" t="n">
        <v>2</v>
      </c>
      <c r="S259" t="n">
        <v>2</v>
      </c>
      <c r="T259" t="n">
        <v>2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K_S T1 Seq#3; inside-the-park HR T3 play#19 (RBI x2: T Roy + self; see Flag#4); 1B T6 play#38; HBP T7 play#51; R: T3 play#19 (HR), T6 play#41 (WP M Minick); SB x2 T7 Seq#52 (steals 2nd+3rd during Z Bowman K AB, Flag#11)</t>
        </is>
      </c>
    </row>
    <row r="260">
      <c r="A260" t="inlineStr">
        <is>
          <t>2026-03-23_NRTH_at_ST.C</t>
        </is>
      </c>
      <c r="B260" s="10" t="n">
        <v>46104</v>
      </c>
      <c r="C260" t="inlineStr">
        <is>
          <t>ST.C</t>
        </is>
      </c>
      <c r="D260" t="inlineStr">
        <is>
          <t>NRTH</t>
        </is>
      </c>
      <c r="E260" t="inlineStr">
        <is>
          <t>Z Bowman</t>
        </is>
      </c>
      <c r="F260" t="n">
        <v>4</v>
      </c>
      <c r="G260" t="n">
        <v>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inlineStr">
        <is>
          <t>E T1 play#4 (R Generette 1B, reaches via E); CS T1 play#5 (K Queen SS, ends inning, Flag#3); FO T3 play#20; HBP T6 play#39; K_S T7 Seq#52; R T6 play#42 (WP M Minick)</t>
        </is>
      </c>
    </row>
    <row r="261">
      <c r="A261" t="inlineStr">
        <is>
          <t>2026-03-23_NRTH_at_ST.C</t>
        </is>
      </c>
      <c r="B261" s="10" t="n">
        <v>46104</v>
      </c>
      <c r="C261" t="inlineStr">
        <is>
          <t>ST.C</t>
        </is>
      </c>
      <c r="D261" t="inlineStr">
        <is>
          <t>NRTH</t>
        </is>
      </c>
      <c r="E261" t="inlineStr">
        <is>
          <t>E Zimmerman</t>
        </is>
      </c>
      <c r="F261" t="n">
        <v>3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>
        <is>
          <t>PO T2 play#9; K_S T4 Seq#24; BB T6 play#40 (A Thomas scores, RBI:1); CR C Harrigan in T6 play#41; R via CR C Harrigan play#43 (C Pettko 2B, credited to E Zimmerman per CR rule); T8 play#56 no outcome not counted (Flag#1); also pitches B1-B7</t>
        </is>
      </c>
    </row>
    <row r="262">
      <c r="A262" t="inlineStr">
        <is>
          <t>2026-03-23_NRTH_at_ST.C</t>
        </is>
      </c>
      <c r="B262" s="10" t="n">
        <v>46104</v>
      </c>
      <c r="C262" t="inlineStr">
        <is>
          <t>ST.C</t>
        </is>
      </c>
      <c r="D262" t="inlineStr">
        <is>
          <t>NRTH</t>
        </is>
      </c>
      <c r="E262" t="inlineStr">
        <is>
          <t>W Kwisnek</t>
        </is>
      </c>
      <c r="F262" t="n">
        <v>3</v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>
        <is>
          <t>K_L T2 Seq#10; GO T4 play#25; K_L T6 Seq#41</t>
        </is>
      </c>
    </row>
    <row r="263">
      <c r="A263" t="inlineStr">
        <is>
          <t>2026-03-23_NRTH_at_ST.C</t>
        </is>
      </c>
      <c r="B263" s="10" t="n">
        <v>46104</v>
      </c>
      <c r="C263" t="inlineStr">
        <is>
          <t>ST.C</t>
        </is>
      </c>
      <c r="D263" t="inlineStr">
        <is>
          <t>NRTH</t>
        </is>
      </c>
      <c r="E263" t="inlineStr">
        <is>
          <t>S Dixon</t>
        </is>
      </c>
      <c r="F263" t="n">
        <v>3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inlineStr">
        <is>
          <t>BB T2 play#11; GO T4 play#26; BB T6 play#42; out at home T6 play#43 (C Pettko 2B, 3rd out); SB 2nd T6 Seq#43 (anomalous — was at 3rd per Flag#10; recorded as logged)</t>
        </is>
      </c>
    </row>
    <row r="264">
      <c r="A264" t="inlineStr">
        <is>
          <t>2026-03-23_NRTH_at_ST.C</t>
        </is>
      </c>
      <c r="B264" s="10" t="n">
        <v>46104</v>
      </c>
      <c r="C264" t="inlineStr">
        <is>
          <t>ST.C</t>
        </is>
      </c>
      <c r="D264" t="inlineStr">
        <is>
          <t>NRTH</t>
        </is>
      </c>
      <c r="E264" t="inlineStr">
        <is>
          <t>C Pettko</t>
        </is>
      </c>
      <c r="F264" t="n">
        <v>3</v>
      </c>
      <c r="G264" t="n">
        <v>3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>
        <is>
          <t>K_S T2 Seq#12; GO T5 play#30; 2B T6 play#43 (RBI C Harrigan scores; S Dixon out at home = 3rd out; see Flags#5,#6,#7)</t>
        </is>
      </c>
    </row>
    <row r="265">
      <c r="A265" t="inlineStr">
        <is>
          <t>2026-03-23_NRTH_at_ST.C</t>
        </is>
      </c>
      <c r="B265" s="10" t="n">
        <v>46104</v>
      </c>
      <c r="C265" t="inlineStr">
        <is>
          <t>ST.C</t>
        </is>
      </c>
      <c r="D265" t="inlineStr">
        <is>
          <t>NRTH</t>
        </is>
      </c>
      <c r="E265" t="inlineStr">
        <is>
          <t>T Roy</t>
        </is>
      </c>
      <c r="F265" t="n">
        <v>3</v>
      </c>
      <c r="G265" t="n">
        <v>3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n">
        <v>0</v>
      </c>
      <c r="T265" t="n">
        <v>2</v>
      </c>
      <c r="U265" t="n">
        <v>0</v>
      </c>
      <c r="V265" t="n">
        <v>0</v>
      </c>
      <c r="W265" t="n">
        <v>0</v>
      </c>
      <c r="X265" t="n">
        <v>0</v>
      </c>
      <c r="Y265" t="inlineStr">
        <is>
          <t>1B bunt T3 play#16; K_S T5 Seq#31; LO T6 play#44; R T3 play#19 (A Harding HR); SB x2 T3: 2nd Seq#17 (A Espejo K AB) + 3rd Seq#18 (A Thomas K AB); see Flag#9</t>
        </is>
      </c>
    </row>
    <row r="266">
      <c r="A266" t="inlineStr">
        <is>
          <t>2026-03-23_NRTH_at_ST.C</t>
        </is>
      </c>
      <c r="B266" s="10" t="n">
        <v>46104</v>
      </c>
      <c r="C266" t="inlineStr">
        <is>
          <t>NRTH</t>
        </is>
      </c>
      <c r="D266" t="inlineStr">
        <is>
          <t>ST.C</t>
        </is>
      </c>
      <c r="E266" t="inlineStr">
        <is>
          <t>M Minick</t>
        </is>
      </c>
      <c r="F266" t="n">
        <v>3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0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inlineStr">
        <is>
          <t>Dropped 3rd strike B1 play#6 (K_S Seq#6); GO B4 play#27; K_S B6 Seq#48; also pitches T6-T7 (enters mid-T6); original pitcher replaced by T Hyde at start of T1</t>
        </is>
      </c>
    </row>
    <row r="267">
      <c r="A267" t="inlineStr">
        <is>
          <t>2026-03-23_NRTH_at_ST.C</t>
        </is>
      </c>
      <c r="B267" s="10" t="n">
        <v>46104</v>
      </c>
      <c r="C267" t="inlineStr">
        <is>
          <t>NRTH</t>
        </is>
      </c>
      <c r="D267" t="inlineStr">
        <is>
          <t>ST.C</t>
        </is>
      </c>
      <c r="E267" t="inlineStr">
        <is>
          <t>T Hyde</t>
        </is>
      </c>
      <c r="F267" t="n">
        <v>3</v>
      </c>
      <c r="G267" t="n">
        <v>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>
        <is>
          <t>K_S B1 Seq#7; GO B4 play#28; GO B7 play#53; also pitches T1-T5</t>
        </is>
      </c>
    </row>
    <row r="268">
      <c r="A268" t="inlineStr">
        <is>
          <t>2026-03-23_NRTH_at_ST.C</t>
        </is>
      </c>
      <c r="B268" s="10" t="n">
        <v>46104</v>
      </c>
      <c r="C268" t="inlineStr">
        <is>
          <t>NRTH</t>
        </is>
      </c>
      <c r="D268" t="inlineStr">
        <is>
          <t>ST.C</t>
        </is>
      </c>
      <c r="E268" t="inlineStr">
        <is>
          <t>K Queen</t>
        </is>
      </c>
      <c r="F268" t="n">
        <v>3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>
        <is>
          <t>GO B1 play#8; FO B4 play#29; PO B7 play#54; CS putout: Z Bowman T1 play#5 (SS), A Espejo T5 play#33 (SS)</t>
        </is>
      </c>
    </row>
    <row r="269">
      <c r="A269" t="inlineStr">
        <is>
          <t>2026-03-23_NRTH_at_ST.C</t>
        </is>
      </c>
      <c r="B269" s="10" t="n">
        <v>46104</v>
      </c>
      <c r="C269" t="inlineStr">
        <is>
          <t>NRTH</t>
        </is>
      </c>
      <c r="D269" t="inlineStr">
        <is>
          <t>ST.C</t>
        </is>
      </c>
      <c r="E269" t="inlineStr">
        <is>
          <t>E Paredes</t>
        </is>
      </c>
      <c r="F269" t="n">
        <v>3</v>
      </c>
      <c r="G269" t="n">
        <v>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FO B2 play#13; K_L B5 Seq#34; GO B7 play#55</t>
        </is>
      </c>
    </row>
    <row r="270">
      <c r="A270" t="inlineStr">
        <is>
          <t>2026-03-23_NRTH_at_ST.C</t>
        </is>
      </c>
      <c r="B270" s="10" t="n">
        <v>46104</v>
      </c>
      <c r="C270" t="inlineStr">
        <is>
          <t>NRTH</t>
        </is>
      </c>
      <c r="D270" t="inlineStr">
        <is>
          <t>ST.C</t>
        </is>
      </c>
      <c r="E270" t="inlineStr">
        <is>
          <t>Parker</t>
        </is>
      </c>
      <c r="F270" t="n">
        <v>2</v>
      </c>
      <c r="G270" t="n">
        <v>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>
        <is>
          <t>GO B2 play#14; FO B5 play#35</t>
        </is>
      </c>
    </row>
    <row r="271">
      <c r="A271" t="inlineStr">
        <is>
          <t>2026-03-23_NRTH_at_ST.C</t>
        </is>
      </c>
      <c r="B271" s="10" t="n">
        <v>46104</v>
      </c>
      <c r="C271" t="inlineStr">
        <is>
          <t>NRTH</t>
        </is>
      </c>
      <c r="D271" t="inlineStr">
        <is>
          <t>ST.C</t>
        </is>
      </c>
      <c r="E271" t="inlineStr">
        <is>
          <t>R Generette</t>
        </is>
      </c>
      <c r="F271" t="n">
        <v>2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>
        <is>
          <t>GO B2 play#15; K_S B5 Seq#36; E at 1B play#4 T1 (Z Bowman reaches; A Thomas scores on same error)</t>
        </is>
      </c>
    </row>
    <row r="272">
      <c r="A272" t="inlineStr">
        <is>
          <t>2026-03-23_NRTH_at_ST.C</t>
        </is>
      </c>
      <c r="B272" s="10" t="n">
        <v>46104</v>
      </c>
      <c r="C272" t="inlineStr">
        <is>
          <t>NRTH</t>
        </is>
      </c>
      <c r="D272" t="inlineStr">
        <is>
          <t>ST.C</t>
        </is>
      </c>
      <c r="E272" t="inlineStr">
        <is>
          <t>D Tyler</t>
        </is>
      </c>
      <c r="F272" t="n">
        <v>2</v>
      </c>
      <c r="G272" t="n">
        <v>2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>
        <is>
          <t>K_L B3 Seq#21; 1B B6 play#45; advances to 3rd on D Vauss tag-up PO; stranded at 3rd end B6; balk by E Zimmerman Seq#46 advanced D Tyler from 1st to 2nd (see Flag#8)</t>
        </is>
      </c>
    </row>
    <row r="273">
      <c r="A273" t="inlineStr">
        <is>
          <t>2026-03-23_NRTH_at_ST.C</t>
        </is>
      </c>
      <c r="B273" s="10" t="n">
        <v>46104</v>
      </c>
      <c r="C273" t="inlineStr">
        <is>
          <t>NRTH</t>
        </is>
      </c>
      <c r="D273" t="inlineStr">
        <is>
          <t>ST.C</t>
        </is>
      </c>
      <c r="E273" t="inlineStr">
        <is>
          <t>D Vauss</t>
        </is>
      </c>
      <c r="F273" t="n">
        <v>2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Dropped 3rd strike B3 play#22 (K_S Seq#22); PO B6 play#46</t>
        </is>
      </c>
    </row>
    <row r="274">
      <c r="A274" t="inlineStr">
        <is>
          <t>2026-03-23_NRTH_at_ST.C</t>
        </is>
      </c>
      <c r="B274" s="10" t="n">
        <v>46104</v>
      </c>
      <c r="C274" t="inlineStr">
        <is>
          <t>NRTH</t>
        </is>
      </c>
      <c r="D274" t="inlineStr">
        <is>
          <t>ST.C</t>
        </is>
      </c>
      <c r="E274" t="inlineStr">
        <is>
          <t>K Giwa-Agbomeirele</t>
        </is>
      </c>
      <c r="F274" t="n">
        <v>2</v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>
        <is>
          <t>LO B3 play#23; K_L B6 Seq#47</t>
        </is>
      </c>
    </row>
    <row r="275">
      <c r="A275" t="inlineStr">
        <is>
          <t>2026-03-25_NRTH_at_CHPT</t>
        </is>
      </c>
      <c r="B275" s="10" t="n">
        <v>46106</v>
      </c>
      <c r="C275" t="inlineStr">
        <is>
          <t>CHPT</t>
        </is>
      </c>
      <c r="D275" t="inlineStr">
        <is>
          <t>NRTH</t>
        </is>
      </c>
      <c r="E275" t="inlineStr">
        <is>
          <t>A Espejo</t>
        </is>
      </c>
      <c r="F275" t="n">
        <v>4</v>
      </c>
      <c r="G275" t="n">
        <v>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>
        <is>
          <t>GO T1 play#1; K_L T3 Seq#23; FO T5 play#41; FO T7 play#58; E at 3B plays#11,#13 B1</t>
        </is>
      </c>
    </row>
    <row r="276">
      <c r="A276" t="inlineStr">
        <is>
          <t>2026-03-25_NRTH_at_CHPT</t>
        </is>
      </c>
      <c r="B276" s="10" t="n">
        <v>46106</v>
      </c>
      <c r="C276" t="inlineStr">
        <is>
          <t>CHPT</t>
        </is>
      </c>
      <c r="D276" t="inlineStr">
        <is>
          <t>NRTH</t>
        </is>
      </c>
      <c r="E276" t="inlineStr">
        <is>
          <t>A Thomas</t>
        </is>
      </c>
      <c r="F276" t="n">
        <v>4</v>
      </c>
      <c r="G276" t="n">
        <v>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  <c r="P276" t="n">
        <v>0</v>
      </c>
      <c r="Q276" t="n">
        <v>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inlineStr">
        <is>
          <t>K_S T1 Seq#2; GO T3 play#24; K_S T5 Seq#42; FC T7 play#59 (C Pettko out at 2nd); E at 2B play#9 B1 (T Haggard reaches, T Bailey scores)</t>
        </is>
      </c>
    </row>
    <row r="277">
      <c r="A277" t="inlineStr">
        <is>
          <t>2026-03-25_NRTH_at_CHPT</t>
        </is>
      </c>
      <c r="B277" s="10" t="n">
        <v>46106</v>
      </c>
      <c r="C277" t="inlineStr">
        <is>
          <t>CHPT</t>
        </is>
      </c>
      <c r="D277" t="inlineStr">
        <is>
          <t>NRTH</t>
        </is>
      </c>
      <c r="E277" t="inlineStr">
        <is>
          <t>A Harding</t>
        </is>
      </c>
      <c r="F277" t="n">
        <v>3</v>
      </c>
      <c r="G277" t="n">
        <v>3</v>
      </c>
      <c r="H277" t="n">
        <v>2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>
        <is>
          <t>1B T1 play#3 (adv 2nd on E C Rabon LF); K_S T6 play#48 (dropped 3rd strike, out at 1st); 1B T4 play#28; R T1 play#4 (Z Bowman 1B); E at SS plays#36(B4),#44(B5)</t>
        </is>
      </c>
    </row>
    <row r="278">
      <c r="A278" t="inlineStr">
        <is>
          <t>2026-03-25_NRTH_at_CHPT</t>
        </is>
      </c>
      <c r="B278" s="10" t="n">
        <v>46106</v>
      </c>
      <c r="C278" t="inlineStr">
        <is>
          <t>CHPT</t>
        </is>
      </c>
      <c r="D278" t="inlineStr">
        <is>
          <t>NRTH</t>
        </is>
      </c>
      <c r="E278" t="inlineStr">
        <is>
          <t>Z Bowman</t>
        </is>
      </c>
      <c r="F278" t="n">
        <v>3</v>
      </c>
      <c r="G278" t="n">
        <v>3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inlineStr">
        <is>
          <t>1B T1 play#4 (RBI A Harding scores); FC T4 play#29 (fly into FC, see Flag#7; A Harding out); LO T6 play#49; SB 2nd T4 Seq#30 (embedded J Smith BB AB); WP advance 2nd T1 Seq#5 (embedded E Zimmerman GO AB)</t>
        </is>
      </c>
    </row>
    <row r="279">
      <c r="A279" t="inlineStr">
        <is>
          <t>2026-03-25_NRTH_at_CHPT</t>
        </is>
      </c>
      <c r="B279" s="10" t="n">
        <v>46106</v>
      </c>
      <c r="C279" t="inlineStr">
        <is>
          <t>CHPT</t>
        </is>
      </c>
      <c r="D279" t="inlineStr">
        <is>
          <t>NRTH</t>
        </is>
      </c>
      <c r="E279" t="inlineStr">
        <is>
          <t>E Zimmerman</t>
        </is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GO T1 play#5; replaced in lineup by J Smith (no lineup note) starting T4</t>
        </is>
      </c>
    </row>
    <row r="280">
      <c r="A280" t="inlineStr">
        <is>
          <t>2026-03-25_NRTH_at_CHPT</t>
        </is>
      </c>
      <c r="B280" s="10" t="n">
        <v>46106</v>
      </c>
      <c r="C280" t="inlineStr">
        <is>
          <t>CHPT</t>
        </is>
      </c>
      <c r="D280" t="inlineStr">
        <is>
          <t>NRTH</t>
        </is>
      </c>
      <c r="E280" t="inlineStr">
        <is>
          <t>W Kwisnek</t>
        </is>
      </c>
      <c r="F280" t="n">
        <v>3</v>
      </c>
      <c r="G280" t="n">
        <v>3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inlineStr">
        <is>
          <t>K_S T2 Seq#16; K_L T4 Seq#31; 1B T7 play#54 (adv 2nd on throw, see Flag#11); R T7 play#55 (S Dixon 1B); SB 3rd T7 Seq#55 (embedded S Dixon 1B AB)</t>
        </is>
      </c>
    </row>
    <row r="281">
      <c r="A281" t="inlineStr">
        <is>
          <t>2026-03-25_NRTH_at_CHPT</t>
        </is>
      </c>
      <c r="B281" s="10" t="n">
        <v>46106</v>
      </c>
      <c r="C281" t="inlineStr">
        <is>
          <t>CHPT</t>
        </is>
      </c>
      <c r="D281" t="inlineStr">
        <is>
          <t>NRTH</t>
        </is>
      </c>
      <c r="E281" t="inlineStr">
        <is>
          <t>S Dixon</t>
        </is>
      </c>
      <c r="F281" t="n">
        <v>3</v>
      </c>
      <c r="G281" t="n">
        <v>3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>
        <is>
          <t>FO T2 play#17; FO T4 play#32 (to SS E Reynolds, see Flag#10); 1B T7 play#55 (RBI W Kwisnek scores); E at CF play#20 B2 (R Welch reaches)</t>
        </is>
      </c>
    </row>
    <row r="282">
      <c r="A282" t="inlineStr">
        <is>
          <t>2026-03-25_NRTH_at_CHPT</t>
        </is>
      </c>
      <c r="B282" s="10" t="n">
        <v>46106</v>
      </c>
      <c r="C282" t="inlineStr">
        <is>
          <t>CHPT</t>
        </is>
      </c>
      <c r="D282" t="inlineStr">
        <is>
          <t>NRTH</t>
        </is>
      </c>
      <c r="E282" t="inlineStr">
        <is>
          <t>C Pettko</t>
        </is>
      </c>
      <c r="F282" t="n">
        <v>3</v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>
        <is>
          <t>K_L T2 Seq#18; FO T5 play#39; E T7 play#56 (E Reynolds SS); out at 2B on A Thomas FC T7 play#59; also pitches B1-B5</t>
        </is>
      </c>
    </row>
    <row r="283">
      <c r="A283" t="inlineStr">
        <is>
          <t>2026-03-25_NRTH_at_CHPT</t>
        </is>
      </c>
      <c r="B283" s="10" t="n">
        <v>46106</v>
      </c>
      <c r="C283" t="inlineStr">
        <is>
          <t>CHPT</t>
        </is>
      </c>
      <c r="D283" t="inlineStr">
        <is>
          <t>NRTH</t>
        </is>
      </c>
      <c r="E283" t="inlineStr">
        <is>
          <t>T Roy</t>
        </is>
      </c>
      <c r="F283" t="n">
        <v>3</v>
      </c>
      <c r="G283" t="n">
        <v>3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inlineStr">
        <is>
          <t>GO T3 play#22; 2B T5 play#40 (stranded); K_S T7 Seq#57</t>
        </is>
      </c>
    </row>
    <row r="284">
      <c r="A284" t="inlineStr">
        <is>
          <t>2026-03-25_NRTH_at_CHPT</t>
        </is>
      </c>
      <c r="B284" s="10" t="n">
        <v>46106</v>
      </c>
      <c r="C284" t="inlineStr">
        <is>
          <t>CHPT</t>
        </is>
      </c>
      <c r="D284" t="inlineStr">
        <is>
          <t>NRTH</t>
        </is>
      </c>
      <c r="E284" t="inlineStr">
        <is>
          <t>J Smith</t>
        </is>
      </c>
      <c r="F284" t="n">
        <v>2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>
        <is>
          <t>BB T4 play#30; GO T6 play#50; replaces E Zimmerman in lineup from T4 (no lineup note)</t>
        </is>
      </c>
    </row>
    <row r="285">
      <c r="A285" t="inlineStr">
        <is>
          <t>2026-03-25_NRTH_at_CHPT</t>
        </is>
      </c>
      <c r="B285" s="10" t="n">
        <v>46106</v>
      </c>
      <c r="C285" t="inlineStr">
        <is>
          <t>NRTH</t>
        </is>
      </c>
      <c r="D285" t="inlineStr">
        <is>
          <t>CHPT</t>
        </is>
      </c>
      <c r="E285" t="inlineStr">
        <is>
          <t>T Bailey</t>
        </is>
      </c>
      <c r="F285" t="n">
        <v>4</v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inlineStr">
        <is>
          <t>BB B1 play#6; FC B1 play#15 (bats twice B1, Flag#6; A Garner out); GO B4 play#35; K_S B6 Seq#52; R B1 play#9 (T Haggard E, A Thomas); SB 2nd B1 Seq#7 (embedded M McDermott GO AB); balk C Pettko Seq#9 adv T Bailey 3rd (Flag#3)</t>
        </is>
      </c>
    </row>
    <row r="286">
      <c r="A286" t="inlineStr">
        <is>
          <t>2026-03-25_NRTH_at_CHPT</t>
        </is>
      </c>
      <c r="B286" s="10" t="n">
        <v>46106</v>
      </c>
      <c r="C286" t="inlineStr">
        <is>
          <t>NRTH</t>
        </is>
      </c>
      <c r="D286" t="inlineStr">
        <is>
          <t>CHPT</t>
        </is>
      </c>
      <c r="E286" t="inlineStr">
        <is>
          <t>M McDermott</t>
        </is>
      </c>
      <c r="F286" t="n">
        <v>3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GO B1 play#7; FO B2 play#19; E B4 play#36 (A Harding SS); adv 3rd on WP Seq#38; replaced by E Reynolds B6</t>
        </is>
      </c>
    </row>
    <row r="287">
      <c r="A287" t="inlineStr">
        <is>
          <t>2026-03-25_NRTH_at_CHPT</t>
        </is>
      </c>
      <c r="B287" s="10" t="n">
        <v>46106</v>
      </c>
      <c r="C287" t="inlineStr">
        <is>
          <t>NRTH</t>
        </is>
      </c>
      <c r="D287" t="inlineStr">
        <is>
          <t>CHPT</t>
        </is>
      </c>
      <c r="E287" t="inlineStr">
        <is>
          <t>R Welch</t>
        </is>
      </c>
      <c r="F287" t="n">
        <v>3</v>
      </c>
      <c r="G287" t="n">
        <v>2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>
        <is>
          <t>BB B1 play#8; E B2 play#20 (S Dixon CF, adv 2nd on same E); 1B B4 play#37; pickoff at 1B play#38 (catcher to Z Bowman, ends inning; see Flag#8); R B1 play#11 (A Norris E by A Espejo)</t>
        </is>
      </c>
    </row>
    <row r="288">
      <c r="A288" t="inlineStr">
        <is>
          <t>2026-03-25_NRTH_at_CHPT</t>
        </is>
      </c>
      <c r="B288" s="10" t="n">
        <v>46106</v>
      </c>
      <c r="C288" t="inlineStr">
        <is>
          <t>NRTH</t>
        </is>
      </c>
      <c r="D288" t="inlineStr">
        <is>
          <t>CHPT</t>
        </is>
      </c>
      <c r="E288" t="inlineStr">
        <is>
          <t>T Haggard</t>
        </is>
      </c>
      <c r="F288" t="n">
        <v>3</v>
      </c>
      <c r="G288" t="n">
        <v>3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>
        <is>
          <t>E B1 play#9 (A Thomas 2B; balk by C Pettko embedded before play, Flag#3); DP B2 play#21 (lines into DP, R Welch out; line-drive DP, not GDP); 2B B5 play#43; CR H Headley x2 (B1 play#10 + B5 play#44); R x2 via CR H Headley: B1 play#11 (A Norris E), B5 play#45 (A Norris SF); see Flags#4,#5</t>
        </is>
      </c>
    </row>
    <row r="289">
      <c r="A289" t="inlineStr">
        <is>
          <t>2026-03-25_NRTH_at_CHPT</t>
        </is>
      </c>
      <c r="B289" s="10" t="n">
        <v>46106</v>
      </c>
      <c r="C289" t="inlineStr">
        <is>
          <t>NRTH</t>
        </is>
      </c>
      <c r="D289" t="inlineStr">
        <is>
          <t>CHPT</t>
        </is>
      </c>
      <c r="E289" t="inlineStr">
        <is>
          <t>C Rabon</t>
        </is>
      </c>
      <c r="F289" t="n">
        <v>3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>
        <is>
          <t>BB B1 play#10; FO B3 play#25; E B5 play#44 (A Harding SS, NRTH E=6); R B1 play#11 (adv 1st to 3rd then scores on A Norris E; see Flag#4); also E at LF play#3 T1 (A Harding 1B + adv 2nd on E, CHPT E=1)</t>
        </is>
      </c>
    </row>
    <row r="290">
      <c r="A290" t="inlineStr">
        <is>
          <t>2026-03-25_NRTH_at_CHPT</t>
        </is>
      </c>
      <c r="B290" s="10" t="n">
        <v>46106</v>
      </c>
      <c r="C290" t="inlineStr">
        <is>
          <t>NRTH</t>
        </is>
      </c>
      <c r="D290" t="inlineStr">
        <is>
          <t>CHPT</t>
        </is>
      </c>
      <c r="E290" t="inlineStr">
        <is>
          <t>A Norris</t>
        </is>
      </c>
      <c r="F290" t="n">
        <v>3</v>
      </c>
      <c r="G290" t="n">
        <v>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inlineStr">
        <is>
          <t>E B1 play#11 (A Espejo 3B, NRTH E=2; 3 runs score H Headley+C Rabon+R Welch, see Flag#4); GO B3 play#26; SAC fly B5 play#45 (RBI H Headley/T Haggard scores); R B1 play#12 (C Brickman SF)</t>
        </is>
      </c>
    </row>
    <row r="291">
      <c r="A291" t="inlineStr">
        <is>
          <t>2026-03-25_NRTH_at_CHPT</t>
        </is>
      </c>
      <c r="B291" s="10" t="n">
        <v>46106</v>
      </c>
      <c r="C291" t="inlineStr">
        <is>
          <t>NRTH</t>
        </is>
      </c>
      <c r="D291" t="inlineStr">
        <is>
          <t>CHPT</t>
        </is>
      </c>
      <c r="E291" t="inlineStr">
        <is>
          <t>C Brickman</t>
        </is>
      </c>
      <c r="F291" t="n">
        <v>3</v>
      </c>
      <c r="G291" t="n">
        <v>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inlineStr">
        <is>
          <t>SAC fly B1 play#12 (RBI A Norris scores); LO B3 play#27; FC B5 play#46 (C Rabon out advancing)</t>
        </is>
      </c>
    </row>
    <row r="292">
      <c r="A292" t="inlineStr">
        <is>
          <t>2026-03-25_NRTH_at_CHPT</t>
        </is>
      </c>
      <c r="B292" s="10" t="n">
        <v>46106</v>
      </c>
      <c r="C292" t="inlineStr">
        <is>
          <t>NRTH</t>
        </is>
      </c>
      <c r="D292" t="inlineStr">
        <is>
          <t>CHPT</t>
        </is>
      </c>
      <c r="E292" t="inlineStr">
        <is>
          <t>S Beach</t>
        </is>
      </c>
      <c r="F292" t="n">
        <v>3</v>
      </c>
      <c r="G292" t="n">
        <v>3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inlineStr">
        <is>
          <t>E B1 play#13 (A Espejo 3B, NRTH E=3; adv 2nd on same E); CR A Lewis then A Wood in for S Beach (chained CRs, Flag#5); 2B B4 play#33 (adv 3rd on PB Seq#34); R B4 play#34 (A Garner SAC fly); LO B5 play#47; also pitches T1-T6 partial (see pitching row)</t>
        </is>
      </c>
    </row>
    <row r="293">
      <c r="A293" t="inlineStr">
        <is>
          <t>2026-03-25_NRTH_at_CHPT</t>
        </is>
      </c>
      <c r="B293" s="10" t="n">
        <v>46106</v>
      </c>
      <c r="C293" t="inlineStr">
        <is>
          <t>NRTH</t>
        </is>
      </c>
      <c r="D293" t="inlineStr">
        <is>
          <t>CHPT</t>
        </is>
      </c>
      <c r="E293" t="inlineStr">
        <is>
          <t>A Garner</t>
        </is>
      </c>
      <c r="F293" t="n">
        <v>3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inlineStr">
        <is>
          <t>HBP B1 play#14 (A Wood CR on base); SAC fly B4 play#34 (RBI S Beach scores from 3rd); GO B6 play#51</t>
        </is>
      </c>
    </row>
    <row r="294">
      <c r="A294" t="inlineStr">
        <is>
          <t>2026-03-25_NRTH_at_CHPT</t>
        </is>
      </c>
      <c r="B294" s="10" t="n">
        <v>46106</v>
      </c>
      <c r="C294" t="inlineStr">
        <is>
          <t>NRTH</t>
        </is>
      </c>
      <c r="D294" t="inlineStr">
        <is>
          <t>CHPT</t>
        </is>
      </c>
      <c r="E294" t="inlineStr">
        <is>
          <t>E Reynolds</t>
        </is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>
        <is>
          <t>LO B6 play#53 (replaces M McDermott); E at SS play#56 T7 (C Pettko reaches)</t>
        </is>
      </c>
    </row>
    <row r="295">
      <c r="A295" t="inlineStr">
        <is>
          <t>2026-03-26_THMS_at_NRTH</t>
        </is>
      </c>
      <c r="B295" s="10" t="n">
        <v>46107</v>
      </c>
      <c r="C295" t="inlineStr">
        <is>
          <t>THMS</t>
        </is>
      </c>
      <c r="D295" t="inlineStr">
        <is>
          <t>NRTH</t>
        </is>
      </c>
      <c r="E295" t="inlineStr">
        <is>
          <t>A Espejo</t>
        </is>
      </c>
      <c r="F295" t="n">
        <v>4</v>
      </c>
      <c r="G295" t="n">
        <v>2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2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inlineStr">
        <is>
          <t>BB B1 play#9; HBP B1 play#18 (2nd time up; J Smith scores on PB during AB); PO B1 play#27 (3rd time up); 1B B4 play#53; R: play#11 (A Harding 3B) + play#20 (WP during A Harding BB AB); SB 2nd B1 Seq#10; pickoff at 1B B4 Seq#54 (embedded C Harrigan FO AB; see Flag#13)</t>
        </is>
      </c>
    </row>
    <row r="296">
      <c r="A296" t="inlineStr">
        <is>
          <t>2026-03-26_THMS_at_NRTH</t>
        </is>
      </c>
      <c r="B296" s="10" t="n">
        <v>46107</v>
      </c>
      <c r="C296" t="inlineStr">
        <is>
          <t>THMS</t>
        </is>
      </c>
      <c r="D296" t="inlineStr">
        <is>
          <t>NRTH</t>
        </is>
      </c>
      <c r="E296" t="inlineStr">
        <is>
          <t>A Thomas</t>
        </is>
      </c>
      <c r="F296" t="n">
        <v>3</v>
      </c>
      <c r="G296" t="n">
        <v>2</v>
      </c>
      <c r="H296" t="n">
        <v>2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3</v>
      </c>
      <c r="S296" t="n">
        <v>2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inlineStr">
        <is>
          <t>1B B1 play#10; 2B B1 play#19 (RBI: T Roy + J Borawski score); BB B2 play#36; R: play#11 (A Harding 3B) + play#21 (PB during Z Bowman 2B AB) + play#37 (A Harding 2B B2); SB 2nd B1 Seq#11 (embedded A Harding 3B AB)</t>
        </is>
      </c>
    </row>
    <row r="297">
      <c r="A297" t="inlineStr">
        <is>
          <t>2026-03-26_THMS_at_NRTH</t>
        </is>
      </c>
      <c r="B297" s="10" t="n">
        <v>46107</v>
      </c>
      <c r="C297" t="inlineStr">
        <is>
          <t>THMS</t>
        </is>
      </c>
      <c r="D297" t="inlineStr">
        <is>
          <t>NRTH</t>
        </is>
      </c>
      <c r="E297" t="inlineStr">
        <is>
          <t>A Harding</t>
        </is>
      </c>
      <c r="F297" t="n">
        <v>4</v>
      </c>
      <c r="G297" t="n">
        <v>3</v>
      </c>
      <c r="H297" t="n">
        <v>2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3</v>
      </c>
      <c r="S297" t="n">
        <v>3</v>
      </c>
      <c r="T297" t="n">
        <v>3</v>
      </c>
      <c r="U297" t="n">
        <v>0</v>
      </c>
      <c r="V297" t="n">
        <v>0</v>
      </c>
      <c r="W297" t="n">
        <v>0</v>
      </c>
      <c r="X297" t="n">
        <v>0</v>
      </c>
      <c r="Y297" t="inlineStr">
        <is>
          <t>3B B1 play#11 (RBI: A Espejo + A Thomas score); BB B1 play#20 (A Espejo scores on WP); 2B B2 play#37 (RBI A Thomas); LO B4 play#55; R: WP play#12 (from 3B) + Z Bowman 2B play#21 + steal of home B2 Seq#38 (Flag#8); SB: 2nd B1 Seq#21 + 3rd B2 Seq#38 + home B2 Seq#38 (3 SB total); also pitches T3-T4</t>
        </is>
      </c>
    </row>
    <row r="298">
      <c r="A298" t="inlineStr">
        <is>
          <t>2026-03-26_THMS_at_NRTH</t>
        </is>
      </c>
      <c r="B298" s="10" t="n">
        <v>46107</v>
      </c>
      <c r="C298" t="inlineStr">
        <is>
          <t>THMS</t>
        </is>
      </c>
      <c r="D298" t="inlineStr">
        <is>
          <t>NRTH</t>
        </is>
      </c>
      <c r="E298" t="inlineStr">
        <is>
          <t>Z Bowman</t>
        </is>
      </c>
      <c r="F298" t="n">
        <v>3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2</v>
      </c>
      <c r="N298" t="n">
        <v>0</v>
      </c>
      <c r="O298" t="n">
        <v>0</v>
      </c>
      <c r="P298" t="n">
        <v>0</v>
      </c>
      <c r="Q298" t="n">
        <v>0</v>
      </c>
      <c r="R298" t="n">
        <v>2</v>
      </c>
      <c r="S298" t="n">
        <v>1</v>
      </c>
      <c r="T298" t="n">
        <v>1</v>
      </c>
      <c r="U298" t="n">
        <v>1</v>
      </c>
      <c r="V298" t="n">
        <v>0</v>
      </c>
      <c r="W298" t="n">
        <v>0</v>
      </c>
      <c r="X298" t="n">
        <v>0</v>
      </c>
      <c r="Y298" t="inlineStr">
        <is>
          <t>BB B1 play#12 (A Harding scores on WP during AB); 2B B1 play#21 (RBI A Harding; A Thomas scores on PB before batted ball, see Flag#4); BB B2 play#38 (A Harding steals 3rd + scores on steal of home embedded); R: E Zimmerman 3B play#13 + C Pettko 1B play#23; SB 2nd B1 Seq#13; CS 3rd B2 Seq#39 (C #4 to 3B #16; embedded E Zimmerman BB AB); also pitches T1-T2</t>
        </is>
      </c>
    </row>
    <row r="299">
      <c r="A299" t="inlineStr">
        <is>
          <t>2026-03-26_THMS_at_NRTH</t>
        </is>
      </c>
      <c r="B299" s="10" t="n">
        <v>46107</v>
      </c>
      <c r="C299" t="inlineStr">
        <is>
          <t>THMS</t>
        </is>
      </c>
      <c r="D299" t="inlineStr">
        <is>
          <t>NRTH</t>
        </is>
      </c>
      <c r="E299" t="inlineStr">
        <is>
          <t>E Zimmerman</t>
        </is>
      </c>
      <c r="F299" t="n">
        <v>3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2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>
        <is>
          <t>3B B1 play#13 (RBI Z Bowman); BB B1 play#22; BB B2 play#39; R: forced by T Roy BB play#16 + J Smith GO play#24; pickoff at 2nd B2 Seq#40 (balk by #1 advanced E Zimmerman to 2nd; immediately picked off by #1 to SS #11 = out; see Flag#10); E at 1B play#33 T2 (#21 reaches)</t>
        </is>
      </c>
    </row>
    <row r="300">
      <c r="A300" t="inlineStr">
        <is>
          <t>2026-03-26_THMS_at_NRTH</t>
        </is>
      </c>
      <c r="B300" s="10" t="n">
        <v>46107</v>
      </c>
      <c r="C300" t="inlineStr">
        <is>
          <t>THMS</t>
        </is>
      </c>
      <c r="D300" t="inlineStr">
        <is>
          <t>NRTH</t>
        </is>
      </c>
      <c r="E300" t="inlineStr">
        <is>
          <t>C Pettko</t>
        </is>
      </c>
      <c r="F300" t="n">
        <v>3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2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BB B1 play#14; 1B B1 play#23 (RBI Z Bowman); HBP B2 play#40 (balk by #1 + E Zimmerman pickoff embedded before HBP; then balk by #1 advances C Pettko to 2nd, C Pettko picked off at 2nd = out, play#41; see Flag#10); R: forced by J Borawski BB play#17 + T Roy 3B play#25; SB 2nd B1 Seq#15; E at 3B play#1 T1 (#4 reaches)</t>
        </is>
      </c>
    </row>
    <row r="301">
      <c r="A301" t="inlineStr">
        <is>
          <t>2026-03-26_THMS_at_NRTH</t>
        </is>
      </c>
      <c r="B301" s="10" t="n">
        <v>46107</v>
      </c>
      <c r="C301" t="inlineStr">
        <is>
          <t>THMS</t>
        </is>
      </c>
      <c r="D301" t="inlineStr">
        <is>
          <t>NRTH</t>
        </is>
      </c>
      <c r="E301" t="inlineStr">
        <is>
          <t>J Smith</t>
        </is>
      </c>
      <c r="F301" t="n">
        <v>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>
        <is>
          <t>BB B1 play#15; GO B1 play#24 (RBI E Zimmerman scores); BB B3 play#46; R: PB play#18 (during A Espejo HBP AB); pickoff at 2nd B3 Seq#48 (SS #11; embedded J Borawski 2B AB = out; see Flag#12)</t>
        </is>
      </c>
    </row>
    <row r="302">
      <c r="A302" t="inlineStr">
        <is>
          <t>2026-03-26_THMS_at_NRTH</t>
        </is>
      </c>
      <c r="B302" s="10" t="n">
        <v>46107</v>
      </c>
      <c r="C302" t="inlineStr">
        <is>
          <t>THMS</t>
        </is>
      </c>
      <c r="D302" t="inlineStr">
        <is>
          <t>NRTH</t>
        </is>
      </c>
      <c r="E302" t="inlineStr">
        <is>
          <t>T Roy</t>
        </is>
      </c>
      <c r="F302" t="n">
        <v>3</v>
      </c>
      <c r="G302" t="n">
        <v>1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>
        <is>
          <t>BB B1 play#16 (RBI E Zimmerman forced); 3B B1 play#25 (RBI C Pettko); BB B3 play#47; R: A Thomas 2B play#19; pickoff at 1B B3 Seq#48 (1B #22; embedded J Borawski 2B AB = out; see Flag#12); also pitches T5</t>
        </is>
      </c>
    </row>
    <row r="303">
      <c r="A303" t="inlineStr">
        <is>
          <t>2026-03-26_THMS_at_NRTH</t>
        </is>
      </c>
      <c r="B303" s="10" t="n">
        <v>46107</v>
      </c>
      <c r="C303" t="inlineStr">
        <is>
          <t>THMS</t>
        </is>
      </c>
      <c r="D303" t="inlineStr">
        <is>
          <t>NRTH</t>
        </is>
      </c>
      <c r="E303" t="inlineStr">
        <is>
          <t>J Borawski</t>
        </is>
      </c>
      <c r="F303" t="n">
        <v>3</v>
      </c>
      <c r="G303" t="n">
        <v>2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inlineStr">
        <is>
          <t>BB B1 play#17 (RBI C Pettko forced); LO B1 play#26; 2B B3 play#48 (H credited per Flag#12; out advancing to 3rd; J Smith+T Roy both picked off during AB = all 3 outs in inning within this PA; see Flag#12); R: A Thomas 2B play#19; SB 2nd B1 Seq#18 (embedded A Espejo HBP AB); first NRTH appearance (Flag#14)</t>
        </is>
      </c>
    </row>
    <row r="304">
      <c r="A304" t="inlineStr">
        <is>
          <t>2026-03-26_THMS_at_NRTH</t>
        </is>
      </c>
      <c r="B304" s="10" t="n">
        <v>46107</v>
      </c>
      <c r="C304" t="inlineStr">
        <is>
          <t>THMS</t>
        </is>
      </c>
      <c r="D304" t="inlineStr">
        <is>
          <t>NRTH</t>
        </is>
      </c>
      <c r="E304" t="inlineStr">
        <is>
          <t>C Harrigan</t>
        </is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>
        <is>
          <t>FO B4 play#54; A Espejo pickoff at 1B embedded in AB (Seq#54); see Flag#13</t>
        </is>
      </c>
    </row>
    <row r="305">
      <c r="A305" t="inlineStr">
        <is>
          <t>2026-03-26_THMS_at_NRTH</t>
        </is>
      </c>
      <c r="B305" s="10" t="n">
        <v>46107</v>
      </c>
      <c r="C305" t="inlineStr">
        <is>
          <t>NRTH</t>
        </is>
      </c>
      <c r="D305" t="inlineStr">
        <is>
          <t>THMS</t>
        </is>
      </c>
      <c r="E305" t="inlineStr">
        <is>
          <t>#4</t>
        </is>
      </c>
      <c r="F305" t="n">
        <v>3</v>
      </c>
      <c r="G305" t="n">
        <v>3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>
        <is>
          <t>E T1 play#1 (C Pettko 3B); out on #2 FC play#2 (advancing to 2nd); K_L T2 Seq#29; 1B T3 play#44 (unusual 'singles on pop fly to pitcher A Harding', see Flag#11)</t>
        </is>
      </c>
    </row>
    <row r="306">
      <c r="A306" t="inlineStr">
        <is>
          <t>2026-03-26_THMS_at_NRTH</t>
        </is>
      </c>
      <c r="B306" s="10" t="n">
        <v>46107</v>
      </c>
      <c r="C306" t="inlineStr">
        <is>
          <t>NRTH</t>
        </is>
      </c>
      <c r="D306" t="inlineStr">
        <is>
          <t>THMS</t>
        </is>
      </c>
      <c r="E306" t="inlineStr">
        <is>
          <t>#2</t>
        </is>
      </c>
      <c r="F306" t="n">
        <v>3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2</v>
      </c>
      <c r="Y306" t="inlineStr">
        <is>
          <t>FC T1 play#2 (#4 out advancing); FC T2 play#30 (#8 out advancing to 3rd, see Flag#5); GO T3 play#45; R: T1 play#5 (A Harding SS E) + T2 steal of home Seq#32 (simultaneous with #17 stealing 2nd, see Flag#7); SB home T2 Seq#32</t>
        </is>
      </c>
    </row>
    <row r="307">
      <c r="A307" t="inlineStr">
        <is>
          <t>2026-03-26_THMS_at_NRTH</t>
        </is>
      </c>
      <c r="B307" s="10" t="n">
        <v>46107</v>
      </c>
      <c r="C307" t="inlineStr">
        <is>
          <t>NRTH</t>
        </is>
      </c>
      <c r="D307" t="inlineStr">
        <is>
          <t>THMS</t>
        </is>
      </c>
      <c r="E307" t="inlineStr">
        <is>
          <t>#17</t>
        </is>
      </c>
      <c r="F307" t="n">
        <v>2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inlineStr">
        <is>
          <t>BB T1 play#3; 1B T2 play#31; R: T1 play#7 (#1 BB forced) + T2 play#33 (E by E Zimmerman 1B); SB 2nd T2 Seq#32 (simultaneous with #2 stealing home); also pitches B1 (plays#9-18, 0 outs; see Flag#2)</t>
        </is>
      </c>
    </row>
    <row r="308">
      <c r="A308" t="inlineStr">
        <is>
          <t>2026-03-26_THMS_at_NRTH</t>
        </is>
      </c>
      <c r="B308" s="10" t="n">
        <v>46107</v>
      </c>
      <c r="C308" t="inlineStr">
        <is>
          <t>NRTH</t>
        </is>
      </c>
      <c r="D308" t="inlineStr">
        <is>
          <t>THMS</t>
        </is>
      </c>
      <c r="E308" t="inlineStr">
        <is>
          <t>#11</t>
        </is>
      </c>
      <c r="F308" t="n">
        <v>3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>
        <is>
          <t>BB T1 play#4; HBP T2 play#32; K_L T4 Seq#50; R: T1 play#8 (PB during #16 K_L AB, see Flag#3)</t>
        </is>
      </c>
    </row>
    <row r="309">
      <c r="A309" t="inlineStr">
        <is>
          <t>2026-03-26_THMS_at_NRTH</t>
        </is>
      </c>
      <c r="B309" s="10" t="n">
        <v>46107</v>
      </c>
      <c r="C309" t="inlineStr">
        <is>
          <t>NRTH</t>
        </is>
      </c>
      <c r="D309" t="inlineStr">
        <is>
          <t>THMS</t>
        </is>
      </c>
      <c r="E309" t="inlineStr">
        <is>
          <t>#21</t>
        </is>
      </c>
      <c r="F309" t="n">
        <v>3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>
        <is>
          <t>E T1 play#5 (A Harding SS; #2 scores, #17 adv to 3rd, #11 adv to 2nd); E T2 play#33 (E Zimmerman 1B; #17 scores, #11 adv to 3rd; #21 adv to 2nd on same E); K_S T4 Seq#51</t>
        </is>
      </c>
    </row>
    <row r="310">
      <c r="A310" t="inlineStr">
        <is>
          <t>2026-03-26_THMS_at_NRTH</t>
        </is>
      </c>
      <c r="B310" s="10" t="n">
        <v>46107</v>
      </c>
      <c r="C310" t="inlineStr">
        <is>
          <t>NRTH</t>
        </is>
      </c>
      <c r="D310" t="inlineStr">
        <is>
          <t>THMS</t>
        </is>
      </c>
      <c r="E310" t="inlineStr">
        <is>
          <t>#10</t>
        </is>
      </c>
      <c r="F310" t="n">
        <v>2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>
        <is>
          <t>K_S T1 Seq#6; HBP T2 play#34 (stranded at end of T2)</t>
        </is>
      </c>
    </row>
    <row r="311">
      <c r="A311" t="inlineStr">
        <is>
          <t>2026-03-26_THMS_at_NRTH</t>
        </is>
      </c>
      <c r="B311" s="10" t="n">
        <v>46107</v>
      </c>
      <c r="C311" t="inlineStr">
        <is>
          <t>NRTH</t>
        </is>
      </c>
      <c r="D311" t="inlineStr">
        <is>
          <t>THMS</t>
        </is>
      </c>
      <c r="E311" t="inlineStr">
        <is>
          <t>#1</t>
        </is>
      </c>
      <c r="F311" t="n">
        <v>3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2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>
        <is>
          <t>BB T1 play#7 (#17 scores forced); K_L T2 Seq#35; GO T5 play#56; also pitches B1(from play#19)-B4</t>
        </is>
      </c>
    </row>
    <row r="312">
      <c r="A312" t="inlineStr">
        <is>
          <t>2026-03-26_THMS_at_NRTH</t>
        </is>
      </c>
      <c r="B312" s="10" t="n">
        <v>46107</v>
      </c>
      <c r="C312" t="inlineStr">
        <is>
          <t>NRTH</t>
        </is>
      </c>
      <c r="D312" t="inlineStr">
        <is>
          <t>THMS</t>
        </is>
      </c>
      <c r="E312" t="inlineStr">
        <is>
          <t>#16</t>
        </is>
      </c>
      <c r="F312" t="n">
        <v>3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3</v>
      </c>
      <c r="P312" t="n">
        <v>1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inlineStr">
        <is>
          <t>K_L T1 Seq#8 (#11 scores on PB during AB, see Flag#3); K_S T3 Seq#42; K_S T5 Seq#57</t>
        </is>
      </c>
    </row>
    <row r="313">
      <c r="A313" t="inlineStr">
        <is>
          <t>2026-03-26_THMS_at_NRTH</t>
        </is>
      </c>
      <c r="B313" s="10" t="n">
        <v>46107</v>
      </c>
      <c r="C313" t="inlineStr">
        <is>
          <t>NRTH</t>
        </is>
      </c>
      <c r="D313" t="inlineStr">
        <is>
          <t>THMS</t>
        </is>
      </c>
      <c r="E313" t="inlineStr">
        <is>
          <t>#8</t>
        </is>
      </c>
      <c r="F313" t="n">
        <v>3</v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2</v>
      </c>
      <c r="P313" t="n">
        <v>0</v>
      </c>
      <c r="Q313" t="n">
        <v>2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inlineStr">
        <is>
          <t>BB T2 play#28; SB 2nd T2 Seq#30 (embedded #2 FC AB); out advancing to 3rd on same FC play#30 (not CS — retired on FC throw; see Flag#5); K_S T3 Seq#43; K_S T5 Seq#58</t>
        </is>
      </c>
    </row>
    <row r="314">
      <c r="A314" t="inlineStr">
        <is>
          <t>2026-03-26_THMS_at_NRTH</t>
        </is>
      </c>
      <c r="B314" s="10" t="n">
        <v>46107</v>
      </c>
      <c r="C314" t="inlineStr">
        <is>
          <t>NRTH</t>
        </is>
      </c>
      <c r="D314" t="inlineStr">
        <is>
          <t>THMS</t>
        </is>
      </c>
      <c r="E314" t="inlineStr">
        <is>
          <t>#22</t>
        </is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>
        <is>
          <t>K_L T4 Seq#52; enters T4 with no lineup note (Flag#15); credited with pickoff of T Roy at 1B in B3 Seq#48</t>
        </is>
      </c>
    </row>
    <row r="315">
      <c r="A315" t="inlineStr">
        <is>
          <t>2026-03-07_DMSC_at_GLNL</t>
        </is>
      </c>
      <c r="B315" s="10" t="n">
        <v>46088</v>
      </c>
      <c r="C315" t="inlineStr">
        <is>
          <t>GLNL</t>
        </is>
      </c>
      <c r="D315" t="inlineStr">
        <is>
          <t>DMSC</t>
        </is>
      </c>
      <c r="E315" t="inlineStr">
        <is>
          <t>J Reyes</t>
        </is>
      </c>
      <c r="F315" t="n">
        <v>4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inlineStr">
        <is>
          <t>2026-03-07_DMSC_at_GLNL</t>
        </is>
      </c>
      <c r="B316" s="10" t="n">
        <v>46088</v>
      </c>
      <c r="C316" t="inlineStr">
        <is>
          <t>GLNL</t>
        </is>
      </c>
      <c r="D316" t="inlineStr">
        <is>
          <t>DMSC</t>
        </is>
      </c>
      <c r="E316" t="inlineStr">
        <is>
          <t>K Childers</t>
        </is>
      </c>
      <c r="F316" t="n">
        <v>4</v>
      </c>
      <c r="G316" t="n">
        <v>3</v>
      </c>
      <c r="H316" t="n">
        <v>2</v>
      </c>
      <c r="I316" t="n">
        <v>2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2026-03-07_DMSC_at_GLNL</t>
        </is>
      </c>
      <c r="B317" s="10" t="n">
        <v>46088</v>
      </c>
      <c r="C317" t="inlineStr">
        <is>
          <t>GLNL</t>
        </is>
      </c>
      <c r="D317" t="inlineStr">
        <is>
          <t>DMSC</t>
        </is>
      </c>
      <c r="E317" t="inlineStr">
        <is>
          <t>A Iorio</t>
        </is>
      </c>
      <c r="F317" t="n">
        <v>4</v>
      </c>
      <c r="G317" t="n">
        <v>3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2026-03-07_DMSC_at_GLNL</t>
        </is>
      </c>
      <c r="B318" s="10" t="n">
        <v>46088</v>
      </c>
      <c r="C318" t="inlineStr">
        <is>
          <t>GLNL</t>
        </is>
      </c>
      <c r="D318" t="inlineStr">
        <is>
          <t>DMSC</t>
        </is>
      </c>
      <c r="E318" t="inlineStr">
        <is>
          <t>G Iorio</t>
        </is>
      </c>
      <c r="F318" t="n">
        <v>4</v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3</v>
      </c>
      <c r="P318" t="n">
        <v>1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inlineStr">
        <is>
          <t>2026-03-07_DMSC_at_GLNL</t>
        </is>
      </c>
      <c r="B319" s="10" t="n">
        <v>46088</v>
      </c>
      <c r="C319" t="inlineStr">
        <is>
          <t>GLNL</t>
        </is>
      </c>
      <c r="D319" t="inlineStr">
        <is>
          <t>DMSC</t>
        </is>
      </c>
      <c r="E319" t="inlineStr">
        <is>
          <t>L Curtin</t>
        </is>
      </c>
      <c r="F319" t="n">
        <v>4</v>
      </c>
      <c r="G319" t="n">
        <v>4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t="n">
        <v>2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>
        <is>
          <t>Scored T2 on C Holland SAC fly; RBI T5 on single (K Childers scores)</t>
        </is>
      </c>
    </row>
    <row r="320">
      <c r="A320" t="inlineStr">
        <is>
          <t>2026-03-07_DMSC_at_GLNL</t>
        </is>
      </c>
      <c r="B320" s="10" t="n">
        <v>46088</v>
      </c>
      <c r="C320" t="inlineStr">
        <is>
          <t>GLNL</t>
        </is>
      </c>
      <c r="D320" t="inlineStr">
        <is>
          <t>DMSC</t>
        </is>
      </c>
      <c r="E320" t="inlineStr">
        <is>
          <t>C Gardner</t>
        </is>
      </c>
      <c r="F320" t="n">
        <v>4</v>
      </c>
      <c r="G320" t="n">
        <v>4</v>
      </c>
      <c r="H320" t="n">
        <v>2</v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inlineStr">
        <is>
          <t>SB play#34 (embedded in R Chidakel AB, T4); GDP play#50 (DP with L Curtin); FC play#14</t>
        </is>
      </c>
    </row>
    <row r="321">
      <c r="A321" t="inlineStr">
        <is>
          <t>2026-03-07_DMSC_at_GLNL</t>
        </is>
      </c>
      <c r="B321" s="10" t="n">
        <v>46088</v>
      </c>
      <c r="C321" t="inlineStr">
        <is>
          <t>GLNL</t>
        </is>
      </c>
      <c r="D321" t="inlineStr">
        <is>
          <t>DMSC</t>
        </is>
      </c>
      <c r="E321" t="inlineStr">
        <is>
          <t>R Chidakel</t>
        </is>
      </c>
      <c r="F321" t="n">
        <v>3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2026-03-07_DMSC_at_GLNL</t>
        </is>
      </c>
      <c r="B322" s="10" t="n">
        <v>46088</v>
      </c>
      <c r="C322" t="inlineStr">
        <is>
          <t>GLNL</t>
        </is>
      </c>
      <c r="D322" t="inlineStr">
        <is>
          <t>DMSC</t>
        </is>
      </c>
      <c r="E322" t="inlineStr">
        <is>
          <t>C Holland</t>
        </is>
      </c>
      <c r="F322" t="n">
        <v>3</v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2</v>
      </c>
      <c r="P322" t="n">
        <v>0</v>
      </c>
      <c r="Q322" t="n">
        <v>2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inlineStr">
        <is>
          <t>SAC fly T2 (L Curtin scores, RBI); SAC credited per explicit outcome label</t>
        </is>
      </c>
    </row>
    <row r="323">
      <c r="A323" t="inlineStr">
        <is>
          <t>2026-03-07_DMSC_at_GLNL</t>
        </is>
      </c>
      <c r="B323" s="10" t="n">
        <v>46088</v>
      </c>
      <c r="C323" t="inlineStr">
        <is>
          <t>GLNL</t>
        </is>
      </c>
      <c r="D323" t="inlineStr">
        <is>
          <t>DMSC</t>
        </is>
      </c>
      <c r="E323" t="inlineStr">
        <is>
          <t>N Cooley</t>
        </is>
      </c>
      <c r="F323" t="n">
        <v>3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inlineStr">
        <is>
          <t>FC play#14</t>
        </is>
      </c>
    </row>
    <row r="324">
      <c r="A324" t="inlineStr">
        <is>
          <t>2026-03-07_DMSC_at_GLNL</t>
        </is>
      </c>
      <c r="B324" s="10" t="n">
        <v>46088</v>
      </c>
      <c r="C324" t="inlineStr">
        <is>
          <t>GLNL</t>
        </is>
      </c>
      <c r="D324" t="inlineStr">
        <is>
          <t>DMSC</t>
        </is>
      </c>
      <c r="E324" t="inlineStr">
        <is>
          <t>J Witmer</t>
        </is>
      </c>
      <c r="F324" t="n">
        <v>3</v>
      </c>
      <c r="G324" t="n">
        <v>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inlineStr">
        <is>
          <t>2026-03-07_DMSC_at_GLNL</t>
        </is>
      </c>
      <c r="B325" s="10" t="n">
        <v>46088</v>
      </c>
      <c r="C325" t="inlineStr">
        <is>
          <t>DMSC</t>
        </is>
      </c>
      <c r="D325" t="inlineStr">
        <is>
          <t>GLNL</t>
        </is>
      </c>
      <c r="E325" t="inlineStr">
        <is>
          <t>G Knauss</t>
        </is>
      </c>
      <c r="F325" t="n">
        <v>2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>
        <is>
          <t>Entered for batter M Melhuish (play#4, B1); replaced by J Jones (play#39, B4)</t>
        </is>
      </c>
    </row>
    <row r="326">
      <c r="A326" t="inlineStr">
        <is>
          <t>2026-03-07_DMSC_at_GLNL</t>
        </is>
      </c>
      <c r="B326" s="10" t="n">
        <v>46088</v>
      </c>
      <c r="C326" t="inlineStr">
        <is>
          <t>DMSC</t>
        </is>
      </c>
      <c r="D326" t="inlineStr">
        <is>
          <t>GLNL</t>
        </is>
      </c>
      <c r="E326" t="inlineStr">
        <is>
          <t>A Baker</t>
        </is>
      </c>
      <c r="F326" t="n">
        <v>3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inlineStr">
        <is>
          <t>Scored on WP (play#28 embedded, B3); SB play#26 embedded (M Melhuish AB); also entered for batter E Laprise (play#63, B6)</t>
        </is>
      </c>
    </row>
    <row r="327">
      <c r="A327" t="inlineStr">
        <is>
          <t>2026-03-07_DMSC_at_GLNL</t>
        </is>
      </c>
      <c r="B327" s="10" t="n">
        <v>46088</v>
      </c>
      <c r="C327" t="inlineStr">
        <is>
          <t>DMSC</t>
        </is>
      </c>
      <c r="D327" t="inlineStr">
        <is>
          <t>GLNL</t>
        </is>
      </c>
      <c r="E327" t="inlineStr">
        <is>
          <t>M Melhuish</t>
        </is>
      </c>
      <c r="F327" t="n">
        <v>3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>
        <is>
          <t>Also pitcher T2; CR J Jones in for M Melhuish B1 play#8 (no run scored); scored on PB (play#28 embedded, B3); replaced by J Miles (play#41, B4); returned for batter J Miles (play#65, B6)</t>
        </is>
      </c>
    </row>
    <row r="328">
      <c r="A328" t="inlineStr">
        <is>
          <t>2026-03-07_DMSC_at_GLNL</t>
        </is>
      </c>
      <c r="B328" s="10" t="n">
        <v>46088</v>
      </c>
      <c r="C328" t="inlineStr">
        <is>
          <t>DMSC</t>
        </is>
      </c>
      <c r="D328" t="inlineStr">
        <is>
          <t>GLNL</t>
        </is>
      </c>
      <c r="E328" t="inlineStr">
        <is>
          <t>B Conlon</t>
        </is>
      </c>
      <c r="F328" t="n">
        <v>2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>
        <is>
          <t>Replaced by B Burckhardt (play#42, B4)</t>
        </is>
      </c>
    </row>
    <row r="329">
      <c r="A329" t="inlineStr">
        <is>
          <t>2026-03-07_DMSC_at_GLNL</t>
        </is>
      </c>
      <c r="B329" s="10" t="n">
        <v>46088</v>
      </c>
      <c r="C329" t="inlineStr">
        <is>
          <t>DMSC</t>
        </is>
      </c>
      <c r="D329" t="inlineStr">
        <is>
          <t>GLNL</t>
        </is>
      </c>
      <c r="E329" t="inlineStr">
        <is>
          <t>C Brown</t>
        </is>
      </c>
      <c r="F329" t="n">
        <v>2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inlineStr">
        <is>
          <t>SB play#29 embedded (A Nazelrod AB, B3); replaced by C Lease (no lineup note, B4)</t>
        </is>
      </c>
    </row>
    <row r="330">
      <c r="A330" t="inlineStr">
        <is>
          <t>2026-03-07_DMSC_at_GLNL</t>
        </is>
      </c>
      <c r="B330" s="10" t="n">
        <v>46088</v>
      </c>
      <c r="C330" t="inlineStr">
        <is>
          <t>DMSC</t>
        </is>
      </c>
      <c r="D330" t="inlineStr">
        <is>
          <t>GLNL</t>
        </is>
      </c>
      <c r="E330" t="inlineStr">
        <is>
          <t>A Nazelrod</t>
        </is>
      </c>
      <c r="F330" t="n">
        <v>2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>
        <is>
          <t>Replaced by M Beares (play#44, B4); returns at 2B per Flag #2 (fielding only, not batting)</t>
        </is>
      </c>
    </row>
    <row r="331">
      <c r="A331" t="inlineStr">
        <is>
          <t>2026-03-07_DMSC_at_GLNL</t>
        </is>
      </c>
      <c r="B331" s="10" t="n">
        <v>46088</v>
      </c>
      <c r="C331" t="inlineStr">
        <is>
          <t>DMSC</t>
        </is>
      </c>
      <c r="D331" t="inlineStr">
        <is>
          <t>GLNL</t>
        </is>
      </c>
      <c r="E331" t="inlineStr">
        <is>
          <t>P Moreau</t>
        </is>
      </c>
      <c r="F331" t="n">
        <v>2</v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>
        <is>
          <t>CR for C Lease after play#43 (Bottom 4th) — if P Moreau scored it would credit C Lease; replaced by B Harms (play#51, B5)</t>
        </is>
      </c>
    </row>
    <row r="332">
      <c r="A332" t="inlineStr">
        <is>
          <t>2026-03-07_DMSC_at_GLNL</t>
        </is>
      </c>
      <c r="B332" s="10" t="n">
        <v>46088</v>
      </c>
      <c r="C332" t="inlineStr">
        <is>
          <t>DMSC</t>
        </is>
      </c>
      <c r="D332" t="inlineStr">
        <is>
          <t>GLNL</t>
        </is>
      </c>
      <c r="E332" t="inlineStr">
        <is>
          <t>E Laprise</t>
        </is>
      </c>
      <c r="F332" t="n">
        <v>2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inlineStr">
        <is>
          <t>Replaced by A Baker (play#63, B6)</t>
        </is>
      </c>
    </row>
    <row r="333">
      <c r="A333" t="inlineStr">
        <is>
          <t>2026-03-07_DMSC_at_GLNL</t>
        </is>
      </c>
      <c r="B333" s="10" t="n">
        <v>46088</v>
      </c>
      <c r="C333" t="inlineStr">
        <is>
          <t>DMSC</t>
        </is>
      </c>
      <c r="D333" t="inlineStr">
        <is>
          <t>GLNL</t>
        </is>
      </c>
      <c r="E333" t="inlineStr">
        <is>
          <t>G Melhuish</t>
        </is>
      </c>
      <c r="F333" t="n">
        <v>2</v>
      </c>
      <c r="G333" t="n">
        <v>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>
        <is>
          <t>Also catcher (committed 2 errors, see Fielding); K_L play#38, K_S play#18</t>
        </is>
      </c>
    </row>
    <row r="334">
      <c r="A334" t="inlineStr">
        <is>
          <t>2026-03-07_DMSC_at_GLNL</t>
        </is>
      </c>
      <c r="B334" s="10" t="n">
        <v>46088</v>
      </c>
      <c r="C334" t="inlineStr">
        <is>
          <t>DMSC</t>
        </is>
      </c>
      <c r="D334" t="inlineStr">
        <is>
          <t>GLNL</t>
        </is>
      </c>
      <c r="E334" t="inlineStr">
        <is>
          <t>J Jones</t>
        </is>
      </c>
      <c r="F334" t="n">
        <v>2</v>
      </c>
      <c r="G334" t="n">
        <v>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inlineStr">
        <is>
          <t>CR for M Melhuish B1 (play#8 pitch seq) — no batting stats in that capacity; entered as batter for G Knauss (play#39, B4); play#52 dropped 3rd strike (K, out at 1B); Flag #8</t>
        </is>
      </c>
    </row>
    <row r="335">
      <c r="A335" t="inlineStr">
        <is>
          <t>2026-03-07_DMSC_at_GLNL</t>
        </is>
      </c>
      <c r="B335" s="10" t="n">
        <v>46088</v>
      </c>
      <c r="C335" t="inlineStr">
        <is>
          <t>DMSC</t>
        </is>
      </c>
      <c r="D335" t="inlineStr">
        <is>
          <t>GLNL</t>
        </is>
      </c>
      <c r="E335" t="inlineStr">
        <is>
          <t>S Tong</t>
        </is>
      </c>
      <c r="F335" t="n">
        <v>3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>
        <is>
          <t>Entry without lineup change note (play#40, B4); undocumented sub for A Baker; scored on C Lease single (play#43)</t>
        </is>
      </c>
    </row>
    <row r="336">
      <c r="A336" t="inlineStr">
        <is>
          <t>2026-03-07_DMSC_at_GLNL</t>
        </is>
      </c>
      <c r="B336" s="10" t="n">
        <v>46088</v>
      </c>
      <c r="C336" t="inlineStr">
        <is>
          <t>DMSC</t>
        </is>
      </c>
      <c r="D336" t="inlineStr">
        <is>
          <t>GLNL</t>
        </is>
      </c>
      <c r="E336" t="inlineStr">
        <is>
          <t>J Miles</t>
        </is>
      </c>
      <c r="F336" t="n">
        <v>2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>
        <is>
          <t>Also pitcher T3; entered for batter M Melhuish (play#41, B4); scored on C Lease single (play#43); replaced by M Melhuish (play#65, B6)</t>
        </is>
      </c>
    </row>
    <row r="337">
      <c r="A337" t="inlineStr">
        <is>
          <t>2026-03-07_DMSC_at_GLNL</t>
        </is>
      </c>
      <c r="B337" s="10" t="n">
        <v>46088</v>
      </c>
      <c r="C337" t="inlineStr">
        <is>
          <t>DMSC</t>
        </is>
      </c>
      <c r="D337" t="inlineStr">
        <is>
          <t>GLNL</t>
        </is>
      </c>
      <c r="E337" t="inlineStr">
        <is>
          <t>B Burckhardt</t>
        </is>
      </c>
      <c r="F337" t="n">
        <v>2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>
        <is>
          <t>Entered for batter B Conlon (play#42, B4); scored on B Harms SAC fly (play#62, B6)</t>
        </is>
      </c>
    </row>
    <row r="338">
      <c r="A338" t="inlineStr">
        <is>
          <t>2026-03-07_DMSC_at_GLNL</t>
        </is>
      </c>
      <c r="B338" s="10" t="n">
        <v>46088</v>
      </c>
      <c r="C338" t="inlineStr">
        <is>
          <t>DMSC</t>
        </is>
      </c>
      <c r="D338" t="inlineStr">
        <is>
          <t>GLNL</t>
        </is>
      </c>
      <c r="E338" t="inlineStr">
        <is>
          <t>C Lease</t>
        </is>
      </c>
      <c r="F338" t="n">
        <v>2</v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Entry without lineup change note (play#43, B4); CR P Moreau in for C Lease after play#43; 2 RBI play#43 (S Tong + J Miles score); reappears as batter B6 per Flag #4</t>
        </is>
      </c>
    </row>
    <row r="339">
      <c r="A339" t="inlineStr">
        <is>
          <t>2026-03-07_DMSC_at_GLNL</t>
        </is>
      </c>
      <c r="B339" s="10" t="n">
        <v>46088</v>
      </c>
      <c r="C339" t="inlineStr">
        <is>
          <t>DMSC</t>
        </is>
      </c>
      <c r="D339" t="inlineStr">
        <is>
          <t>GLNL</t>
        </is>
      </c>
      <c r="E339" t="inlineStr">
        <is>
          <t>M Beares</t>
        </is>
      </c>
      <c r="F339" t="n">
        <v>2</v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>
        <is>
          <t>Entered for batter A Nazelrod (play#44, B4)</t>
        </is>
      </c>
    </row>
    <row r="340">
      <c r="A340" t="inlineStr">
        <is>
          <t>2026-03-07_DMSC_at_GLNL</t>
        </is>
      </c>
      <c r="B340" s="10" t="n">
        <v>46088</v>
      </c>
      <c r="C340" t="inlineStr">
        <is>
          <t>DMSC</t>
        </is>
      </c>
      <c r="D340" t="inlineStr">
        <is>
          <t>GLNL</t>
        </is>
      </c>
      <c r="E340" t="inlineStr">
        <is>
          <t>B Harms</t>
        </is>
      </c>
      <c r="F340" t="n">
        <v>2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inlineStr">
        <is>
          <t>Entered for batter P Moreau (play#51, B5); SAC fly B6 play#62 (B Burckhardt scores); RBI credited on SAC fly</t>
        </is>
      </c>
    </row>
    <row r="341">
      <c r="A341" t="inlineStr">
        <is>
          <t>2026-03-14_GLNL_at_OKDL</t>
        </is>
      </c>
      <c r="B341" s="10" t="n">
        <v>46095</v>
      </c>
      <c r="C341" t="inlineStr">
        <is>
          <t>OKDL</t>
        </is>
      </c>
      <c r="D341" t="inlineStr">
        <is>
          <t>GLNL</t>
        </is>
      </c>
      <c r="E341" t="inlineStr">
        <is>
          <t>E Laprise</t>
        </is>
      </c>
      <c r="F341" t="n">
        <v>2</v>
      </c>
      <c r="G341" t="n">
        <v>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>
        <is>
          <t>K_S play#1 (Seq#1 Strike 3 swinging); replaced by J Jones (play#41, T5)</t>
        </is>
      </c>
    </row>
    <row r="342">
      <c r="A342" t="inlineStr">
        <is>
          <t>2026-03-14_GLNL_at_OKDL</t>
        </is>
      </c>
      <c r="B342" s="10" t="n">
        <v>46095</v>
      </c>
      <c r="C342" t="inlineStr">
        <is>
          <t>OKDL</t>
        </is>
      </c>
      <c r="D342" t="inlineStr">
        <is>
          <t>GLNL</t>
        </is>
      </c>
      <c r="E342" t="inlineStr">
        <is>
          <t>A Baker</t>
        </is>
      </c>
      <c r="F342" t="n">
        <v>3</v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inlineStr">
        <is>
          <t>CR P Moreau in for A Baker after play#45 (Top 6th); P Moreau CS home play#47 embedded (Flag#5) — CS credited to A Baker per CR convention; also pitcher B5 (entry inferred, Flag#1)</t>
        </is>
      </c>
    </row>
    <row r="343">
      <c r="A343" t="inlineStr">
        <is>
          <t>2026-03-14_GLNL_at_OKDL</t>
        </is>
      </c>
      <c r="B343" s="10" t="n">
        <v>46095</v>
      </c>
      <c r="C343" t="inlineStr">
        <is>
          <t>OKDL</t>
        </is>
      </c>
      <c r="D343" t="inlineStr">
        <is>
          <t>GLNL</t>
        </is>
      </c>
      <c r="E343" t="inlineStr">
        <is>
          <t>M Melhuish</t>
        </is>
      </c>
      <c r="F343" t="n">
        <v>3</v>
      </c>
      <c r="G343" t="n">
        <v>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inlineStr">
        <is>
          <t>GDP play#3 (DP T1); scored on S Tong single (play#47, T6); advanced 3B on E by K Huynh (play#47 embedded, Flag#8)</t>
        </is>
      </c>
    </row>
    <row r="344">
      <c r="A344" t="inlineStr">
        <is>
          <t>2026-03-14_GLNL_at_OKDL</t>
        </is>
      </c>
      <c r="B344" s="10" t="n">
        <v>46095</v>
      </c>
      <c r="C344" t="inlineStr">
        <is>
          <t>OKDL</t>
        </is>
      </c>
      <c r="D344" t="inlineStr">
        <is>
          <t>GLNL</t>
        </is>
      </c>
      <c r="E344" t="inlineStr">
        <is>
          <t>B Conlon</t>
        </is>
      </c>
      <c r="F344" t="n">
        <v>2</v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inlineStr">
        <is>
          <t>SB play#13 embedded (A Nazelrod AB, T2); scored on A Nazelrod single (play#13); also pitcher B3-B4 (entry inferred, Flag#1); replaced by S Tong (play#47, T6)</t>
        </is>
      </c>
    </row>
    <row r="345">
      <c r="A345" t="inlineStr">
        <is>
          <t>2026-03-14_GLNL_at_OKDL</t>
        </is>
      </c>
      <c r="B345" s="10" t="n">
        <v>46095</v>
      </c>
      <c r="C345" t="inlineStr">
        <is>
          <t>OKDL</t>
        </is>
      </c>
      <c r="D345" t="inlineStr">
        <is>
          <t>GLNL</t>
        </is>
      </c>
      <c r="E345" t="inlineStr">
        <is>
          <t>J Miles</t>
        </is>
      </c>
      <c r="F345" t="n">
        <v>2</v>
      </c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>
        <is>
          <t>K_S play#11 (Seq#11 Strike 3 swinging); also pitcher B1-B2 (entry inferred, Flag#1); replaced by B Burckhardt (play#48, T6)</t>
        </is>
      </c>
    </row>
    <row r="346">
      <c r="A346" t="inlineStr">
        <is>
          <t>2026-03-14_GLNL_at_OKDL</t>
        </is>
      </c>
      <c r="B346" s="10" t="n">
        <v>46095</v>
      </c>
      <c r="C346" t="inlineStr">
        <is>
          <t>OKDL</t>
        </is>
      </c>
      <c r="D346" t="inlineStr">
        <is>
          <t>GLNL</t>
        </is>
      </c>
      <c r="E346" t="inlineStr">
        <is>
          <t>C Brown</t>
        </is>
      </c>
      <c r="F346" t="n">
        <v>2</v>
      </c>
      <c r="G346" t="n">
        <v>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>
        <is>
          <t>K_L play#12 (Seq#12 Strike 3 looking); replaced by B Harms (play#49, T6)</t>
        </is>
      </c>
    </row>
    <row r="347">
      <c r="A347" t="inlineStr">
        <is>
          <t>2026-03-14_GLNL_at_OKDL</t>
        </is>
      </c>
      <c r="B347" s="10" t="n">
        <v>46095</v>
      </c>
      <c r="C347" t="inlineStr">
        <is>
          <t>OKDL</t>
        </is>
      </c>
      <c r="D347" t="inlineStr">
        <is>
          <t>GLNL</t>
        </is>
      </c>
      <c r="E347" t="inlineStr">
        <is>
          <t>A Nazelrod</t>
        </is>
      </c>
      <c r="F347" t="n">
        <v>3</v>
      </c>
      <c r="G347" t="n">
        <v>3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>
        <is>
          <t>RBI play#13 (B Conlon scores on single); adv to 2nd on throw (play#13); adv to 2nd on WP (play#55 embedded, T7 — stranded)</t>
        </is>
      </c>
    </row>
    <row r="348">
      <c r="A348" t="inlineStr">
        <is>
          <t>2026-03-14_GLNL_at_OKDL</t>
        </is>
      </c>
      <c r="B348" s="10" t="n">
        <v>46095</v>
      </c>
      <c r="C348" t="inlineStr">
        <is>
          <t>OKDL</t>
        </is>
      </c>
      <c r="D348" t="inlineStr">
        <is>
          <t>GLNL</t>
        </is>
      </c>
      <c r="E348" t="inlineStr">
        <is>
          <t>G Melhuish</t>
        </is>
      </c>
      <c r="F348" t="n">
        <v>2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K_L play#14 (Seq#14 Strike 3 looking); replaced by C Lease (play#54, T7); also catcher — replaced defensively by C Lease prior to B6 per Flag#4</t>
        </is>
      </c>
    </row>
    <row r="349">
      <c r="A349" t="inlineStr">
        <is>
          <t>2026-03-14_GLNL_at_OKDL</t>
        </is>
      </c>
      <c r="B349" s="10" t="n">
        <v>46095</v>
      </c>
      <c r="C349" t="inlineStr">
        <is>
          <t>OKDL</t>
        </is>
      </c>
      <c r="D349" t="inlineStr">
        <is>
          <t>GLNL</t>
        </is>
      </c>
      <c r="E349" t="inlineStr">
        <is>
          <t>M Beares</t>
        </is>
      </c>
      <c r="F349" t="n">
        <v>3</v>
      </c>
      <c r="G349" t="n">
        <v>3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3</v>
      </c>
      <c r="P349" t="n">
        <v>2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>
        <is>
          <t>K_L play#21 (Seq#21 final pitch Strike 3 looking — contradicts play desc 'swinging'; pitch seq governs per rules); K_S play#40 (Seq#40 Strike 3 swinging); K_L play#55 (Seq#55 Strike 3 looking)</t>
        </is>
      </c>
    </row>
    <row r="350">
      <c r="A350" t="inlineStr">
        <is>
          <t>2026-03-14_GLNL_at_OKDL</t>
        </is>
      </c>
      <c r="B350" s="10" t="n">
        <v>46095</v>
      </c>
      <c r="C350" t="inlineStr">
        <is>
          <t>OKDL</t>
        </is>
      </c>
      <c r="D350" t="inlineStr">
        <is>
          <t>GLNL</t>
        </is>
      </c>
      <c r="E350" t="inlineStr">
        <is>
          <t>J Jones</t>
        </is>
      </c>
      <c r="F350" t="n">
        <v>2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>
        <is>
          <t>Entered for batter E Laprise (play#41, T5); K_S play#56 (Seq#56 Strike 3 swinging)</t>
        </is>
      </c>
    </row>
    <row r="351">
      <c r="A351" t="inlineStr">
        <is>
          <t>2026-03-14_GLNL_at_OKDL</t>
        </is>
      </c>
      <c r="B351" s="10" t="n">
        <v>46095</v>
      </c>
      <c r="C351" t="inlineStr">
        <is>
          <t>OKDL</t>
        </is>
      </c>
      <c r="D351" t="inlineStr">
        <is>
          <t>GLNL</t>
        </is>
      </c>
      <c r="E351" t="inlineStr">
        <is>
          <t>S Tong</t>
        </is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>
        <is>
          <t>Entered for batter B Conlon (play#47, T6); RBI play#47 (M Melhuish scores); Flag#6 (substitution within/at-start-of plate appearance)</t>
        </is>
      </c>
    </row>
    <row r="352">
      <c r="A352" t="inlineStr">
        <is>
          <t>2026-03-14_GLNL_at_OKDL</t>
        </is>
      </c>
      <c r="B352" s="10" t="n">
        <v>46095</v>
      </c>
      <c r="C352" t="inlineStr">
        <is>
          <t>OKDL</t>
        </is>
      </c>
      <c r="D352" t="inlineStr">
        <is>
          <t>GLNL</t>
        </is>
      </c>
      <c r="E352" t="inlineStr">
        <is>
          <t>B Burckhardt</t>
        </is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>
        <is>
          <t>Entered for batter J Miles (play#48, T6); K_L (Seq#48 Strike 3 looking)</t>
        </is>
      </c>
    </row>
    <row r="353">
      <c r="A353" t="inlineStr">
        <is>
          <t>2026-03-14_GLNL_at_OKDL</t>
        </is>
      </c>
      <c r="B353" s="10" t="n">
        <v>46095</v>
      </c>
      <c r="C353" t="inlineStr">
        <is>
          <t>OKDL</t>
        </is>
      </c>
      <c r="D353" t="inlineStr">
        <is>
          <t>GLNL</t>
        </is>
      </c>
      <c r="E353" t="inlineStr">
        <is>
          <t>B Harms</t>
        </is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>
        <is>
          <t>Entered for batter C Brown (play#49, T6); also 3B defensively (credited on D O'Conner CS play#52 embedded)</t>
        </is>
      </c>
    </row>
    <row r="354">
      <c r="A354" t="inlineStr">
        <is>
          <t>2026-03-14_GLNL_at_OKDL</t>
        </is>
      </c>
      <c r="B354" s="10" t="n">
        <v>46095</v>
      </c>
      <c r="C354" t="inlineStr">
        <is>
          <t>OKDL</t>
        </is>
      </c>
      <c r="D354" t="inlineStr">
        <is>
          <t>GLNL</t>
        </is>
      </c>
      <c r="E354" t="inlineStr">
        <is>
          <t>C Lease</t>
        </is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>
        <is>
          <t>Entered for batter G Melhuish (play#54, T7); also catcher per Flag#4 (active defensively at play#52 before this documented substitution)</t>
        </is>
      </c>
    </row>
    <row r="355">
      <c r="A355" t="inlineStr">
        <is>
          <t>2026-03-14_GLNL_at_OKDL</t>
        </is>
      </c>
      <c r="B355" s="10" t="n">
        <v>46095</v>
      </c>
      <c r="C355" t="inlineStr">
        <is>
          <t>GLNL</t>
        </is>
      </c>
      <c r="D355" t="inlineStr">
        <is>
          <t>OKDL</t>
        </is>
      </c>
      <c r="E355" t="inlineStr">
        <is>
          <t>C DeWaal</t>
        </is>
      </c>
      <c r="F355" t="n">
        <v>3</v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>
        <is>
          <t>K_L play#4 (Seq#4 Strike 3 looking); BB play#19 (B2, scorekeeper ends inning after this AB, Flag#2)</t>
        </is>
      </c>
    </row>
    <row r="356">
      <c r="A356" t="inlineStr">
        <is>
          <t>2026-03-14_GLNL_at_OKDL</t>
        </is>
      </c>
      <c r="B356" s="10" t="n">
        <v>46095</v>
      </c>
      <c r="C356" t="inlineStr">
        <is>
          <t>GLNL</t>
        </is>
      </c>
      <c r="D356" t="inlineStr">
        <is>
          <t>OKDL</t>
        </is>
      </c>
      <c r="E356" t="inlineStr">
        <is>
          <t>N Noweski</t>
        </is>
      </c>
      <c r="F356" t="n">
        <v>3</v>
      </c>
      <c r="G356" t="n">
        <v>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2</v>
      </c>
      <c r="P356" t="n">
        <v>2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>
        <is>
          <t>K_L play#5 (Seq#5 Strike 3 looking); K_L play#42 (Seq#42 Strike 3 looking); scored on P Dix single (play#28, B3); adv to 3B on defensive indifference (embedded play#28 — no SB credit)</t>
        </is>
      </c>
    </row>
    <row r="357">
      <c r="A357" t="inlineStr">
        <is>
          <t>2026-03-14_GLNL_at_OKDL</t>
        </is>
      </c>
      <c r="B357" s="10" t="n">
        <v>46095</v>
      </c>
      <c r="C357" t="inlineStr">
        <is>
          <t>GLNL</t>
        </is>
      </c>
      <c r="D357" t="inlineStr">
        <is>
          <t>OKDL</t>
        </is>
      </c>
      <c r="E357" t="inlineStr">
        <is>
          <t>C Thompson</t>
        </is>
      </c>
      <c r="F357" t="n">
        <v>3</v>
      </c>
      <c r="G357" t="n">
        <v>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inlineStr">
        <is>
          <t>SB play#7 embedded (C Scarzello AB, B1); scored on P Dix single (play#8, B1); also pitcher T6-T7 (documented play#45 seq)</t>
        </is>
      </c>
    </row>
    <row r="358">
      <c r="A358" t="inlineStr">
        <is>
          <t>2026-03-14_GLNL_at_OKDL</t>
        </is>
      </c>
      <c r="B358" s="10" t="n">
        <v>46095</v>
      </c>
      <c r="C358" t="inlineStr">
        <is>
          <t>GLNL</t>
        </is>
      </c>
      <c r="D358" t="inlineStr">
        <is>
          <t>OKDL</t>
        </is>
      </c>
      <c r="E358" t="inlineStr">
        <is>
          <t>C Scarzello</t>
        </is>
      </c>
      <c r="F358" t="n">
        <v>3</v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>
        <is>
          <t>K_S play#27 (Seq#27 Strike 3 swinging); CR D Williams in for C Scarzello after play#7 walk (Bottom 1st) — D Williams did not score; R=0 for C Scarzello</t>
        </is>
      </c>
    </row>
    <row r="359">
      <c r="A359" t="inlineStr">
        <is>
          <t>2026-03-14_GLNL_at_OKDL</t>
        </is>
      </c>
      <c r="B359" s="10" t="n">
        <v>46095</v>
      </c>
      <c r="C359" t="inlineStr">
        <is>
          <t>GLNL</t>
        </is>
      </c>
      <c r="D359" t="inlineStr">
        <is>
          <t>OKDL</t>
        </is>
      </c>
      <c r="E359" t="inlineStr">
        <is>
          <t>P Dix</t>
        </is>
      </c>
      <c r="F359" t="n">
        <v>3</v>
      </c>
      <c r="G359" t="n">
        <v>3</v>
      </c>
      <c r="H359" t="n">
        <v>2</v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>
        <is>
          <t>CR B Yowell in for P Dix after play#8 (B1) — B Yowell did not score; K_L play#50 (Seq#50 Strike 3 looking); RBI play#8 (C Thompson scores) + RBI play#28 (N Noweski scores); also pitcher T1-T3 (documented play#1 seq)</t>
        </is>
      </c>
    </row>
    <row r="360">
      <c r="A360" t="inlineStr">
        <is>
          <t>2026-03-14_GLNL_at_OKDL</t>
        </is>
      </c>
      <c r="B360" s="10" t="n">
        <v>46095</v>
      </c>
      <c r="C360" t="inlineStr">
        <is>
          <t>GLNL</t>
        </is>
      </c>
      <c r="D360" t="inlineStr">
        <is>
          <t>OKDL</t>
        </is>
      </c>
      <c r="E360" t="inlineStr">
        <is>
          <t>D O'Conner</t>
        </is>
      </c>
      <c r="F360" t="n">
        <v>3</v>
      </c>
      <c r="G360" t="n">
        <v>2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inlineStr">
        <is>
          <t>K_L play#9 (Seq#9 Strike 3 looking); CS play#52 embedded (CS 3rd during G Beaver AB, B6 — catcher C Lease to 3B B Harms); Flag#7</t>
        </is>
      </c>
    </row>
    <row r="361">
      <c r="A361" t="inlineStr">
        <is>
          <t>2026-03-14_GLNL_at_OKDL</t>
        </is>
      </c>
      <c r="B361" s="10" t="n">
        <v>46095</v>
      </c>
      <c r="C361" t="inlineStr">
        <is>
          <t>GLNL</t>
        </is>
      </c>
      <c r="D361" t="inlineStr">
        <is>
          <t>OKDL</t>
        </is>
      </c>
      <c r="E361" t="inlineStr">
        <is>
          <t>G Beaver</t>
        </is>
      </c>
      <c r="F361" t="n">
        <v>3</v>
      </c>
      <c r="G361" t="n">
        <v>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inlineStr">
        <is>
          <t>K_S play#52 (Seq#52 Strike 3 swinging); scored on L Rosenberg single (play#16, B2); SB play#16 embedded (steal of 3rd during L Rosenberg AB); adv 2B on PB (play#16 embedded) — PB not SB</t>
        </is>
      </c>
    </row>
    <row r="362">
      <c r="A362" t="inlineStr">
        <is>
          <t>2026-03-14_GLNL_at_OKDL</t>
        </is>
      </c>
      <c r="B362" s="10" t="n">
        <v>46095</v>
      </c>
      <c r="C362" t="inlineStr">
        <is>
          <t>GLNL</t>
        </is>
      </c>
      <c r="D362" t="inlineStr">
        <is>
          <t>OKDL</t>
        </is>
      </c>
      <c r="E362" t="inlineStr">
        <is>
          <t>L Rosenberg</t>
        </is>
      </c>
      <c r="F362" t="n">
        <v>2</v>
      </c>
      <c r="G362" t="n">
        <v>2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>
        <is>
          <t>RBI play#16 (G Beaver scores on single); scored on WP (play#19 embedded, C DeWaal AB, B2); play#57 (Bottom 7th) no outcome — not counted as PA (Flag#3)</t>
        </is>
      </c>
    </row>
    <row r="363">
      <c r="A363" t="inlineStr">
        <is>
          <t>2026-03-14_GLNL_at_OKDL</t>
        </is>
      </c>
      <c r="B363" s="10" t="n">
        <v>46095</v>
      </c>
      <c r="C363" t="inlineStr">
        <is>
          <t>GLNL</t>
        </is>
      </c>
      <c r="D363" t="inlineStr">
        <is>
          <t>OKDL</t>
        </is>
      </c>
      <c r="E363" t="inlineStr">
        <is>
          <t>L Patterson</t>
        </is>
      </c>
      <c r="F363" t="n">
        <v>2</v>
      </c>
      <c r="G363" t="n">
        <v>2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>
        <is>
          <t>Bunt single play#17; adv to 3B on WP (play#19 embedded) — stranded when scorekeeper ends inning (Flag#2)</t>
        </is>
      </c>
    </row>
    <row r="364">
      <c r="A364" t="inlineStr">
        <is>
          <t>2026-03-14_GLNL_at_OKDL</t>
        </is>
      </c>
      <c r="B364" s="10" t="n">
        <v>46095</v>
      </c>
      <c r="C364" t="inlineStr">
        <is>
          <t>GLNL</t>
        </is>
      </c>
      <c r="D364" t="inlineStr">
        <is>
          <t>OKDL</t>
        </is>
      </c>
      <c r="E364" t="inlineStr">
        <is>
          <t>K Huynh</t>
        </is>
      </c>
      <c r="F364" t="n">
        <v>2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>
        <is>
          <t>K_S play#18 (Seq#18 Strike 3 swinging); CR D Williams in for K Huynh after play#37 walk (Bottom 4th) — D Williams did not score; also catcher — error play#47 embedded (M Melhuish adv 3B); Flag#8</t>
        </is>
      </c>
    </row>
    <row r="365">
      <c r="A365" t="inlineStr">
        <is>
          <t>2026-03-14_LBRT_at_GLNL</t>
        </is>
      </c>
      <c r="B365" s="10" t="n">
        <v>46095</v>
      </c>
      <c r="C365" t="inlineStr">
        <is>
          <t>GLNL</t>
        </is>
      </c>
      <c r="D365" t="inlineStr">
        <is>
          <t>LBRT</t>
        </is>
      </c>
      <c r="E365" t="inlineStr">
        <is>
          <t>D McGarity</t>
        </is>
      </c>
      <c r="F365" t="n">
        <v>3</v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2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>
        <is>
          <t>K_L play#1 (Seq#1 Strike3 looking); K_S play#23 (Seq#23 Strike3 swinging); BB play#41 (entered for batter C Hitzel, Flag#4); adv 2B on E by N Cohen (play#43 embedded, Flag#5); stranded</t>
        </is>
      </c>
    </row>
    <row r="366">
      <c r="A366" t="inlineStr">
        <is>
          <t>2026-03-14_LBRT_at_GLNL</t>
        </is>
      </c>
      <c r="B366" s="10" t="n">
        <v>46095</v>
      </c>
      <c r="C366" t="inlineStr">
        <is>
          <t>GLNL</t>
        </is>
      </c>
      <c r="D366" t="inlineStr">
        <is>
          <t>LBRT</t>
        </is>
      </c>
      <c r="E366" t="inlineStr">
        <is>
          <t>C Hitzel</t>
        </is>
      </c>
      <c r="F366" t="n">
        <v>2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>
        <is>
          <t>Scored on C Shanks triple (play#25, T3); replaced by D McGarity (play#41, Flag#4)</t>
        </is>
      </c>
    </row>
    <row r="367">
      <c r="A367" t="inlineStr">
        <is>
          <t>2026-03-14_LBRT_at_GLNL</t>
        </is>
      </c>
      <c r="B367" s="10" t="n">
        <v>46095</v>
      </c>
      <c r="C367" t="inlineStr">
        <is>
          <t>GLNL</t>
        </is>
      </c>
      <c r="D367" t="inlineStr">
        <is>
          <t>LBRT</t>
        </is>
      </c>
      <c r="E367" t="inlineStr">
        <is>
          <t>C Shanks</t>
        </is>
      </c>
      <c r="F367" t="n">
        <v>2</v>
      </c>
      <c r="G367" t="n">
        <v>2</v>
      </c>
      <c r="H367" t="n">
        <v>2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inlineStr">
        <is>
          <t>1B play#3 (out advancing on D Nelson DP, play#4); 3B play#25 (RBI x2: B Freiert + C Hitzel score); scored on D Nelson 1B (play#26); replaced by J Hebert (play#43, Flag#5)</t>
        </is>
      </c>
    </row>
    <row r="368">
      <c r="A368" t="inlineStr">
        <is>
          <t>2026-03-14_LBRT_at_GLNL</t>
        </is>
      </c>
      <c r="B368" s="10" t="n">
        <v>46095</v>
      </c>
      <c r="C368" t="inlineStr">
        <is>
          <t>GLNL</t>
        </is>
      </c>
      <c r="D368" t="inlineStr">
        <is>
          <t>LBRT</t>
        </is>
      </c>
      <c r="E368" t="inlineStr">
        <is>
          <t>D Nelson</t>
        </is>
      </c>
      <c r="F368" t="n">
        <v>2</v>
      </c>
      <c r="G368" t="n">
        <v>2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inlineStr">
        <is>
          <t>GDP play#4 (DP T1: C Shanks out advancing + D Nelson out at 1B); 1B play#26 (RBI: C Shanks scores); adv 2B on throw (play#26); also pitcher B4 plays#36-38 (entry inferred, Flag#2)</t>
        </is>
      </c>
    </row>
    <row r="369">
      <c r="A369" t="inlineStr">
        <is>
          <t>2026-03-14_LBRT_at_GLNL</t>
        </is>
      </c>
      <c r="B369" s="10" t="n">
        <v>46095</v>
      </c>
      <c r="C369" t="inlineStr">
        <is>
          <t>GLNL</t>
        </is>
      </c>
      <c r="D369" t="inlineStr">
        <is>
          <t>LBRT</t>
        </is>
      </c>
      <c r="E369" t="inlineStr">
        <is>
          <t>T Kane</t>
        </is>
      </c>
      <c r="F369" t="n">
        <v>2</v>
      </c>
      <c r="G369" t="n">
        <v>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>
        <is>
          <t>Also catcher (J Jones CS play#6 embedded); also pitcher B4 mid-AB (play#39 documented)</t>
        </is>
      </c>
    </row>
    <row r="370">
      <c r="A370" t="inlineStr">
        <is>
          <t>2026-03-14_LBRT_at_GLNL</t>
        </is>
      </c>
      <c r="B370" s="10" t="n">
        <v>46095</v>
      </c>
      <c r="C370" t="inlineStr">
        <is>
          <t>GLNL</t>
        </is>
      </c>
      <c r="D370" t="inlineStr">
        <is>
          <t>LBRT</t>
        </is>
      </c>
      <c r="E370" t="inlineStr">
        <is>
          <t>S Crochunis</t>
        </is>
      </c>
      <c r="F370" t="n">
        <v>2</v>
      </c>
      <c r="G370" t="n">
        <v>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inlineStr">
        <is>
          <t>K_S play#11 (Seq#11 Strike3 swinging); K_S play#32 (Seq#32 Strike3 swinging); also LBRT starting pitcher B1-B2 (undocumented entry, Flag#1)</t>
        </is>
      </c>
    </row>
    <row r="371">
      <c r="A371" t="inlineStr">
        <is>
          <t>2026-03-14_LBRT_at_GLNL</t>
        </is>
      </c>
      <c r="B371" s="10" t="n">
        <v>46095</v>
      </c>
      <c r="C371" t="inlineStr">
        <is>
          <t>GLNL</t>
        </is>
      </c>
      <c r="D371" t="inlineStr">
        <is>
          <t>LBRT</t>
        </is>
      </c>
      <c r="E371" t="inlineStr">
        <is>
          <t>J Sfanos</t>
        </is>
      </c>
      <c r="F371" t="n">
        <v>2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inlineStr">
        <is>
          <t>K_L play#12 (Seq#12 Strike3 looking)</t>
        </is>
      </c>
    </row>
    <row r="372">
      <c r="A372" t="inlineStr">
        <is>
          <t>2026-03-14_LBRT_at_GLNL</t>
        </is>
      </c>
      <c r="B372" s="10" t="n">
        <v>46095</v>
      </c>
      <c r="C372" t="inlineStr">
        <is>
          <t>GLNL</t>
        </is>
      </c>
      <c r="D372" t="inlineStr">
        <is>
          <t>LBRT</t>
        </is>
      </c>
      <c r="E372" t="inlineStr">
        <is>
          <t>C DiCerbo</t>
        </is>
      </c>
      <c r="F372" t="n">
        <v>2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2</v>
      </c>
      <c r="U372" t="n">
        <v>0</v>
      </c>
      <c r="V372" t="n">
        <v>0</v>
      </c>
      <c r="W372" t="n">
        <v>0</v>
      </c>
      <c r="X372" t="n">
        <v>0</v>
      </c>
      <c r="Y372" t="inlineStr">
        <is>
          <t>BB play#20 (T3); SB 2nd play#22 embedded (B Freiert AB) + SB 3rd play#24 embedded (C Hitzel AB) = SB 2; scored on E by catcher C Lease (play#24 embedded, Flag#8); 2B play#34 (T4); also pitcher B2-B3 (documented play#16 embedded)</t>
        </is>
      </c>
    </row>
    <row r="373">
      <c r="A373" t="inlineStr">
        <is>
          <t>2026-03-14_LBRT_at_GLNL</t>
        </is>
      </c>
      <c r="B373" s="10" t="n">
        <v>46095</v>
      </c>
      <c r="C373" t="inlineStr">
        <is>
          <t>GLNL</t>
        </is>
      </c>
      <c r="D373" t="inlineStr">
        <is>
          <t>LBRT</t>
        </is>
      </c>
      <c r="E373" t="inlineStr">
        <is>
          <t>B DiCerbo</t>
        </is>
      </c>
      <c r="F373" t="n">
        <v>2</v>
      </c>
      <c r="G373" t="n">
        <v>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>
        <is>
          <t>K_S play#21 (Seq#21 Strike3 swinging)</t>
        </is>
      </c>
    </row>
    <row r="374">
      <c r="A374" t="inlineStr">
        <is>
          <t>2026-03-14_LBRT_at_GLNL</t>
        </is>
      </c>
      <c r="B374" s="10" t="n">
        <v>46095</v>
      </c>
      <c r="C374" t="inlineStr">
        <is>
          <t>GLNL</t>
        </is>
      </c>
      <c r="D374" t="inlineStr">
        <is>
          <t>LBRT</t>
        </is>
      </c>
      <c r="E374" t="inlineStr">
        <is>
          <t>B Freiert</t>
        </is>
      </c>
      <c r="F374" t="n">
        <v>2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>
        <is>
          <t>BB play#22 (T3); adv 2B on defensive indifference (play#24 embedded); adv 3B on C Hitzel single (play#24); scored on C Shanks triple (play#25); K_S play#40 (Seq#40 Strike3 swinging)</t>
        </is>
      </c>
    </row>
    <row r="375">
      <c r="A375" t="inlineStr">
        <is>
          <t>2026-03-14_LBRT_at_GLNL</t>
        </is>
      </c>
      <c r="B375" s="10" t="n">
        <v>46095</v>
      </c>
      <c r="C375" t="inlineStr">
        <is>
          <t>GLNL</t>
        </is>
      </c>
      <c r="D375" t="inlineStr">
        <is>
          <t>LBRT</t>
        </is>
      </c>
      <c r="E375" t="inlineStr">
        <is>
          <t>B Knight</t>
        </is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>
        <is>
          <t>Entered for batter D McGarity (play#42, T5, Flag#5); K_S (Seq#42 Strike3 swinging); D McGarity still credited as baserunner per Flag#5</t>
        </is>
      </c>
    </row>
    <row r="376">
      <c r="A376" t="inlineStr">
        <is>
          <t>2026-03-14_LBRT_at_GLNL</t>
        </is>
      </c>
      <c r="B376" s="10" t="n">
        <v>46095</v>
      </c>
      <c r="C376" t="inlineStr">
        <is>
          <t>GLNL</t>
        </is>
      </c>
      <c r="D376" t="inlineStr">
        <is>
          <t>LBRT</t>
        </is>
      </c>
      <c r="E376" t="inlineStr">
        <is>
          <t>J Hebert</t>
        </is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>
        <is>
          <t>Entered for batter C Shanks (play#43, T5, Flag#5); K_L (Seq#43 Strike3 looking)</t>
        </is>
      </c>
    </row>
    <row r="377">
      <c r="A377" t="inlineStr">
        <is>
          <t>2026-03-14_LBRT_at_GLNL</t>
        </is>
      </c>
      <c r="B377" s="10" t="n">
        <v>46095</v>
      </c>
      <c r="C377" t="inlineStr">
        <is>
          <t>LBRT</t>
        </is>
      </c>
      <c r="D377" t="inlineStr">
        <is>
          <t>GLNL</t>
        </is>
      </c>
      <c r="E377" t="inlineStr">
        <is>
          <t>J Jones</t>
        </is>
      </c>
      <c r="F377" t="n">
        <v>3</v>
      </c>
      <c r="G377" t="n">
        <v>3</v>
      </c>
      <c r="H377" t="n">
        <v>2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inlineStr">
        <is>
          <t>CS play#6 embedded (during M Melhuish AB, B1 — catcher T Kane to SS B Freiert); SB play#39 embedded (during M Melhuish AB, B4); K_S play#17 (Seq#17 Strike3 swinging)</t>
        </is>
      </c>
    </row>
    <row r="378">
      <c r="A378" t="inlineStr">
        <is>
          <t>2026-03-14_LBRT_at_GLNL</t>
        </is>
      </c>
      <c r="B378" s="10" t="n">
        <v>46095</v>
      </c>
      <c r="C378" t="inlineStr">
        <is>
          <t>LBRT</t>
        </is>
      </c>
      <c r="D378" t="inlineStr">
        <is>
          <t>GLNL</t>
        </is>
      </c>
      <c r="E378" t="inlineStr">
        <is>
          <t>M Melhuish</t>
        </is>
      </c>
      <c r="F378" t="n">
        <v>3</v>
      </c>
      <c r="G378" t="n">
        <v>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K_L play#39 (Seq#39 Strike3 looking — T Kane pitcher for AB completion); E reach play#18 (G Knauss scores on error — not RBI for M Melhuish); also GLNL starting pitcher T1-T2 (documented play#1 seq)</t>
        </is>
      </c>
    </row>
    <row r="379">
      <c r="A379" t="inlineStr">
        <is>
          <t>2026-03-14_LBRT_at_GLNL</t>
        </is>
      </c>
      <c r="B379" s="10" t="n">
        <v>46095</v>
      </c>
      <c r="C379" t="inlineStr">
        <is>
          <t>LBRT</t>
        </is>
      </c>
      <c r="D379" t="inlineStr">
        <is>
          <t>GLNL</t>
        </is>
      </c>
      <c r="E379" t="inlineStr">
        <is>
          <t>B Conlon</t>
        </is>
      </c>
      <c r="F379" t="n">
        <v>2</v>
      </c>
      <c r="G379" t="n">
        <v>2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>
        <is>
          <t>2B play#7 (B1); stranded at 2B end of B1; play#44 (Bottom 5th) no outcome — not counted as PA (Flag#3)</t>
        </is>
      </c>
    </row>
    <row r="380">
      <c r="A380" t="inlineStr">
        <is>
          <t>2026-03-14_LBRT_at_GLNL</t>
        </is>
      </c>
      <c r="B380" s="10" t="n">
        <v>46095</v>
      </c>
      <c r="C380" t="inlineStr">
        <is>
          <t>LBRT</t>
        </is>
      </c>
      <c r="D380" t="inlineStr">
        <is>
          <t>GLNL</t>
        </is>
      </c>
      <c r="E380" t="inlineStr">
        <is>
          <t>B Burckhardt</t>
        </is>
      </c>
      <c r="F380" t="n">
        <v>2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inlineStr">
        <is>
          <t>K_S play#8 (Seq#8 Strike3 swinging); BB play#28 (B3); SB play#29 embedded (during C Brown AB, B3); stranded at 2B end of B3</t>
        </is>
      </c>
    </row>
    <row r="381">
      <c r="A381" t="inlineStr">
        <is>
          <t>2026-03-14_LBRT_at_GLNL</t>
        </is>
      </c>
      <c r="B381" s="10" t="n">
        <v>46095</v>
      </c>
      <c r="C381" t="inlineStr">
        <is>
          <t>LBRT</t>
        </is>
      </c>
      <c r="D381" t="inlineStr">
        <is>
          <t>GLNL</t>
        </is>
      </c>
      <c r="E381" t="inlineStr">
        <is>
          <t>C Brown</t>
        </is>
      </c>
      <c r="F381" t="n">
        <v>2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>
        <is>
          <t>K_S play#9 (Seq#9 Strike3 swinging); K_S play#29 (Seq#29 Strike3 swinging)</t>
        </is>
      </c>
    </row>
    <row r="382">
      <c r="A382" t="inlineStr">
        <is>
          <t>2026-03-14_LBRT_at_GLNL</t>
        </is>
      </c>
      <c r="B382" s="10" t="n">
        <v>46095</v>
      </c>
      <c r="C382" t="inlineStr">
        <is>
          <t>LBRT</t>
        </is>
      </c>
      <c r="D382" t="inlineStr">
        <is>
          <t>GLNL</t>
        </is>
      </c>
      <c r="E382" t="inlineStr">
        <is>
          <t>C Lease</t>
        </is>
      </c>
      <c r="F382" t="n">
        <v>2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>
        <is>
          <t>BB play#13 (B2); CR E Laprise in for C Lease (play#14 seq) — E Laprise scores on A Nazelrod 2B; R credited to C Lease per CR convention; also catcher — E play#24 (C DiCerbo scores on catcher error, T3, Flag#8)</t>
        </is>
      </c>
    </row>
    <row r="383">
      <c r="A383" t="inlineStr">
        <is>
          <t>2026-03-14_LBRT_at_GLNL</t>
        </is>
      </c>
      <c r="B383" s="10" t="n">
        <v>46095</v>
      </c>
      <c r="C383" t="inlineStr">
        <is>
          <t>LBRT</t>
        </is>
      </c>
      <c r="D383" t="inlineStr">
        <is>
          <t>GLNL</t>
        </is>
      </c>
      <c r="E383" t="inlineStr">
        <is>
          <t>A Nazelrod</t>
        </is>
      </c>
      <c r="F383" t="n">
        <v>2</v>
      </c>
      <c r="G383" t="n">
        <v>2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>
        <is>
          <t>2B play#14 (RBI: E Laprise/C Lease scores); adv 3B on PB (play#16 embedded); scored on G Knauss 2B (play#16)</t>
        </is>
      </c>
    </row>
    <row r="384">
      <c r="A384" t="inlineStr">
        <is>
          <t>2026-03-14_LBRT_at_GLNL</t>
        </is>
      </c>
      <c r="B384" s="10" t="n">
        <v>46095</v>
      </c>
      <c r="C384" t="inlineStr">
        <is>
          <t>LBRT</t>
        </is>
      </c>
      <c r="D384" t="inlineStr">
        <is>
          <t>GLNL</t>
        </is>
      </c>
      <c r="E384" t="inlineStr">
        <is>
          <t>P Moreau</t>
        </is>
      </c>
      <c r="F384" t="n">
        <v>2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K_L play#36 (Seq#36 Strike3 looking)</t>
        </is>
      </c>
    </row>
    <row r="385">
      <c r="A385" t="inlineStr">
        <is>
          <t>2026-03-14_LBRT_at_GLNL</t>
        </is>
      </c>
      <c r="B385" s="10" t="n">
        <v>46095</v>
      </c>
      <c r="C385" t="inlineStr">
        <is>
          <t>LBRT</t>
        </is>
      </c>
      <c r="D385" t="inlineStr">
        <is>
          <t>GLNL</t>
        </is>
      </c>
      <c r="E385" t="inlineStr">
        <is>
          <t>G Knauss</t>
        </is>
      </c>
      <c r="F385" t="n">
        <v>2</v>
      </c>
      <c r="G385" t="n">
        <v>2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>
        <is>
          <t>2B play#16 (RBI: A Nazelrod scores); scored on M Melhuish E reach (play#18) — run scored on error, not RBI for M Melhuish; K_L play#37 (Seq#37 Strike3 looking)</t>
        </is>
      </c>
    </row>
    <row r="386">
      <c r="A386" t="inlineStr">
        <is>
          <t>2026-03-21_GLNL_at_MRRT</t>
        </is>
      </c>
      <c r="B386" s="10" t="n">
        <v>46102</v>
      </c>
      <c r="C386" t="inlineStr">
        <is>
          <t>MRRT</t>
        </is>
      </c>
      <c r="D386" t="inlineStr">
        <is>
          <t>GLNL</t>
        </is>
      </c>
      <c r="E386" t="inlineStr">
        <is>
          <t>A Baker</t>
        </is>
      </c>
      <c r="F386" t="n">
        <v>3</v>
      </c>
      <c r="G386" t="n">
        <v>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>
        <is>
          <t>K_L play#1 (Seq#1 Strike3 looking — against S Thomas per mid-AB rule; anonymous MRRT starter threw 5 prior pitches); BB play#38 (J Yeich mid-AB entry)</t>
        </is>
      </c>
    </row>
    <row r="387">
      <c r="A387" t="inlineStr">
        <is>
          <t>2026-03-21_GLNL_at_MRRT</t>
        </is>
      </c>
      <c r="B387" s="10" t="n">
        <v>46102</v>
      </c>
      <c r="C387" t="inlineStr">
        <is>
          <t>MRRT</t>
        </is>
      </c>
      <c r="D387" t="inlineStr">
        <is>
          <t>GLNL</t>
        </is>
      </c>
      <c r="E387" t="inlineStr">
        <is>
          <t>E Laprise</t>
        </is>
      </c>
      <c r="F387" t="n">
        <v>3</v>
      </c>
      <c r="G387" t="n">
        <v>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inlineStr">
        <is>
          <t>Play#2 outcome 'Batter Out (other)' — mechanism unspecified (Flag#3); counted as AB; Seq#2: Ball 1, Foul, In play</t>
        </is>
      </c>
    </row>
    <row r="388">
      <c r="A388" t="inlineStr">
        <is>
          <t>2026-03-21_GLNL_at_MRRT</t>
        </is>
      </c>
      <c r="B388" s="10" t="n">
        <v>46102</v>
      </c>
      <c r="C388" t="inlineStr">
        <is>
          <t>MRRT</t>
        </is>
      </c>
      <c r="D388" t="inlineStr">
        <is>
          <t>GLNL</t>
        </is>
      </c>
      <c r="E388" t="inlineStr">
        <is>
          <t>M Melhuish</t>
        </is>
      </c>
      <c r="F388" t="n">
        <v>2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>
        <is>
          <t>BB play#3 (T1); E reach play#27 (T4) — not a H; adv 2B on PB play#29 embedded (J Miles AB); stranded</t>
        </is>
      </c>
    </row>
    <row r="389">
      <c r="A389" t="inlineStr">
        <is>
          <t>2026-03-21_GLNL_at_MRRT</t>
        </is>
      </c>
      <c r="B389" s="10" t="n">
        <v>46102</v>
      </c>
      <c r="C389" t="inlineStr">
        <is>
          <t>MRRT</t>
        </is>
      </c>
      <c r="D389" t="inlineStr">
        <is>
          <t>GLNL</t>
        </is>
      </c>
      <c r="E389" t="inlineStr">
        <is>
          <t>B Conlon</t>
        </is>
      </c>
      <c r="F389" t="n">
        <v>2</v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>
        <is>
          <t>K_S play#28 (Seq#28 Strike3 swinging)</t>
        </is>
      </c>
    </row>
    <row r="390">
      <c r="A390" t="inlineStr">
        <is>
          <t>2026-03-21_GLNL_at_MRRT</t>
        </is>
      </c>
      <c r="B390" s="10" t="n">
        <v>46102</v>
      </c>
      <c r="C390" t="inlineStr">
        <is>
          <t>MRRT</t>
        </is>
      </c>
      <c r="D390" t="inlineStr">
        <is>
          <t>GLNL</t>
        </is>
      </c>
      <c r="E390" t="inlineStr">
        <is>
          <t>J Miles</t>
        </is>
      </c>
      <c r="F390" t="n">
        <v>2</v>
      </c>
      <c r="G390" t="n">
        <v>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>
        <is>
          <t>K_S play#29 (Seq#29 Strike3 swinging); also GLNL starting pitcher B1-B3 (undocumented, Flag#1)</t>
        </is>
      </c>
    </row>
    <row r="391">
      <c r="A391" t="inlineStr">
        <is>
          <t>2026-03-21_GLNL_at_MRRT</t>
        </is>
      </c>
      <c r="B391" s="10" t="n">
        <v>46102</v>
      </c>
      <c r="C391" t="inlineStr">
        <is>
          <t>MRRT</t>
        </is>
      </c>
      <c r="D391" t="inlineStr">
        <is>
          <t>GLNL</t>
        </is>
      </c>
      <c r="E391" t="inlineStr">
        <is>
          <t>C Lease</t>
        </is>
      </c>
      <c r="F391" t="n">
        <v>2</v>
      </c>
      <c r="G391" t="n">
        <v>2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inlineStr">
        <is>
          <t>K_S play#9 (Seq#9 Strike3 swinging); 2B play#34 (T5); stranded at 3B end of T5 (adv 3B on A Baker walk play#38)</t>
        </is>
      </c>
    </row>
    <row r="392">
      <c r="A392" t="inlineStr">
        <is>
          <t>2026-03-21_GLNL_at_MRRT</t>
        </is>
      </c>
      <c r="B392" s="10" t="n">
        <v>46102</v>
      </c>
      <c r="C392" t="inlineStr">
        <is>
          <t>MRRT</t>
        </is>
      </c>
      <c r="D392" t="inlineStr">
        <is>
          <t>GLNL</t>
        </is>
      </c>
      <c r="E392" t="inlineStr">
        <is>
          <t>A Nazelrod</t>
        </is>
      </c>
      <c r="F392" t="n">
        <v>2</v>
      </c>
      <c r="G392" t="n">
        <v>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2026-03-21_GLNL_at_MRRT</t>
        </is>
      </c>
      <c r="B393" s="10" t="n">
        <v>46102</v>
      </c>
      <c r="C393" t="inlineStr">
        <is>
          <t>MRRT</t>
        </is>
      </c>
      <c r="D393" t="inlineStr">
        <is>
          <t>GLNL</t>
        </is>
      </c>
      <c r="E393" t="inlineStr">
        <is>
          <t>C Brown</t>
        </is>
      </c>
      <c r="F393" t="n">
        <v>2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2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>
        <is>
          <t>K_S play#16 (Seq#16 Strike3 swinging); K_L play#36 (Seq#36 Strike3 looking)</t>
        </is>
      </c>
    </row>
    <row r="394">
      <c r="A394" t="inlineStr">
        <is>
          <t>2026-03-21_GLNL_at_MRRT</t>
        </is>
      </c>
      <c r="B394" s="10" t="n">
        <v>46102</v>
      </c>
      <c r="C394" t="inlineStr">
        <is>
          <t>MRRT</t>
        </is>
      </c>
      <c r="D394" t="inlineStr">
        <is>
          <t>GLNL</t>
        </is>
      </c>
      <c r="E394" t="inlineStr">
        <is>
          <t>G Knauss</t>
        </is>
      </c>
      <c r="F394" t="n">
        <v>2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>
        <is>
          <t>BB play#37 (T5); stranded at 2B end of T5 (adv 2B on A Baker walk play#38)</t>
        </is>
      </c>
    </row>
    <row r="395">
      <c r="A395" t="inlineStr">
        <is>
          <t>2026-03-21_GLNL_at_MRRT</t>
        </is>
      </c>
      <c r="B395" s="10" t="n">
        <v>46102</v>
      </c>
      <c r="C395" t="inlineStr">
        <is>
          <t>GLNL</t>
        </is>
      </c>
      <c r="D395" t="inlineStr">
        <is>
          <t>MRRT</t>
        </is>
      </c>
      <c r="E395" t="inlineStr">
        <is>
          <t>O Snow</t>
        </is>
      </c>
      <c r="F395" t="n">
        <v>2</v>
      </c>
      <c r="G395" t="n">
        <v>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inlineStr">
        <is>
          <t>FC play#20 (B3 — M Delmonte out advancing; O Snow reaches); scored on M Parson 1B (play#22, B3); play#48 (B5) incomplete AB — game ends, not counted as PA (Flag#2)</t>
        </is>
      </c>
    </row>
    <row r="396">
      <c r="A396" t="inlineStr">
        <is>
          <t>2026-03-21_GLNL_at_MRRT</t>
        </is>
      </c>
      <c r="B396" s="10" t="n">
        <v>46102</v>
      </c>
      <c r="C396" t="inlineStr">
        <is>
          <t>GLNL</t>
        </is>
      </c>
      <c r="D396" t="inlineStr">
        <is>
          <t>MRRT</t>
        </is>
      </c>
      <c r="E396" t="inlineStr">
        <is>
          <t>A Schwendeman</t>
        </is>
      </c>
      <c r="F396" t="n">
        <v>3</v>
      </c>
      <c r="G396" t="n">
        <v>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>
        <is>
          <t>BB play#21 (B3); adv 3B on E by pitcher J Miles (play#23 embedded); scored on N Brown 1B (play#23, B3); also SS (E play#27 Top 4th)</t>
        </is>
      </c>
    </row>
    <row r="397">
      <c r="A397" t="inlineStr">
        <is>
          <t>2026-03-21_GLNL_at_MRRT</t>
        </is>
      </c>
      <c r="B397" s="10" t="n">
        <v>46102</v>
      </c>
      <c r="C397" t="inlineStr">
        <is>
          <t>GLNL</t>
        </is>
      </c>
      <c r="D397" t="inlineStr">
        <is>
          <t>MRRT</t>
        </is>
      </c>
      <c r="E397" t="inlineStr">
        <is>
          <t>M Parson</t>
        </is>
      </c>
      <c r="F397" t="n">
        <v>3</v>
      </c>
      <c r="G397" t="n">
        <v>2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1</v>
      </c>
      <c r="R397" t="n">
        <v>2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>
        <is>
          <t>K_S play#7 (Seq#7 Strike3 swinging); 1B play#22 (RBI: O Snow scores); adv 2B on J Miles E (play#23 embedded); scored on N Brown 1B (play#23, B3); BB play#41 (B5); scored on Z Magee walk (play#44, B5)</t>
        </is>
      </c>
    </row>
    <row r="398">
      <c r="A398" t="inlineStr">
        <is>
          <t>2026-03-21_GLNL_at_MRRT</t>
        </is>
      </c>
      <c r="B398" s="10" t="n">
        <v>46102</v>
      </c>
      <c r="C398" t="inlineStr">
        <is>
          <t>GLNL</t>
        </is>
      </c>
      <c r="D398" t="inlineStr">
        <is>
          <t>MRRT</t>
        </is>
      </c>
      <c r="E398" t="inlineStr">
        <is>
          <t>N Brown</t>
        </is>
      </c>
      <c r="F398" t="n">
        <v>3</v>
      </c>
      <c r="G398" t="n">
        <v>3</v>
      </c>
      <c r="H398" t="n">
        <v>2</v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>
        <is>
          <t>1B play#23 (RBI x2: M Parson + A Schwendeman score); 1B play#42 (B5); adv 2B play#43, adv 3B play#44; scored on J Devito FO tag-up (play#45, B5)</t>
        </is>
      </c>
    </row>
    <row r="399">
      <c r="A399" t="inlineStr">
        <is>
          <t>2026-03-21_GLNL_at_MRRT</t>
        </is>
      </c>
      <c r="B399" s="10" t="n">
        <v>46102</v>
      </c>
      <c r="C399" t="inlineStr">
        <is>
          <t>GLNL</t>
        </is>
      </c>
      <c r="D399" t="inlineStr">
        <is>
          <t>MRRT</t>
        </is>
      </c>
      <c r="E399" t="inlineStr">
        <is>
          <t>A Devito</t>
        </is>
      </c>
      <c r="F399" t="n">
        <v>3</v>
      </c>
      <c r="G399" t="n">
        <v>2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inlineStr">
        <is>
          <t>2B play#12 (B2); adv 3B on Z Magee GO (play#13); scored on J Devito 3B (play#14); BB play#43 (B5); adv 3B (play#46 embedded — unspecified mechanism, Flag#6); scored on M Delmonte 3B (play#47, B5)</t>
        </is>
      </c>
    </row>
    <row r="400">
      <c r="A400" t="inlineStr">
        <is>
          <t>2026-03-21_GLNL_at_MRRT</t>
        </is>
      </c>
      <c r="B400" s="10" t="n">
        <v>46102</v>
      </c>
      <c r="C400" t="inlineStr">
        <is>
          <t>GLNL</t>
        </is>
      </c>
      <c r="D400" t="inlineStr">
        <is>
          <t>MRRT</t>
        </is>
      </c>
      <c r="E400" t="inlineStr">
        <is>
          <t>Z Magee</t>
        </is>
      </c>
      <c r="F400" t="n">
        <v>3</v>
      </c>
      <c r="G400" t="n">
        <v>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>
        <is>
          <t>K_S play#25 (Seq#25 Strike3 swinging); BB play#44 (B5, RBI: M Parson scores); adv 2B play#46 (J Yeich walk); scored on M Delmonte 3B (play#47, B5)</t>
        </is>
      </c>
    </row>
    <row r="401">
      <c r="A401" t="inlineStr">
        <is>
          <t>2026-03-21_GLNL_at_MRRT</t>
        </is>
      </c>
      <c r="B401" s="10" t="n">
        <v>46102</v>
      </c>
      <c r="C401" t="inlineStr">
        <is>
          <t>GLNL</t>
        </is>
      </c>
      <c r="D401" t="inlineStr">
        <is>
          <t>MRRT</t>
        </is>
      </c>
      <c r="E401" t="inlineStr">
        <is>
          <t>J Devito</t>
        </is>
      </c>
      <c r="F401" t="n">
        <v>3</v>
      </c>
      <c r="G401" t="n">
        <v>3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>
        <is>
          <t>3B play#14 (B2, RBI: A Devito scores); stranded at 3B end of B2; K_S play#30 (Seq#30 Strike3 swinging — M Kirk pitcher); FO play#45 (B5, RBI: N Brown scores on tag-up — productive out per rules, not designated SAC, Flag#4)</t>
        </is>
      </c>
    </row>
    <row r="402">
      <c r="A402" t="inlineStr">
        <is>
          <t>2026-03-21_GLNL_at_MRRT</t>
        </is>
      </c>
      <c r="B402" s="10" t="n">
        <v>46102</v>
      </c>
      <c r="C402" t="inlineStr">
        <is>
          <t>GLNL</t>
        </is>
      </c>
      <c r="D402" t="inlineStr">
        <is>
          <t>MRRT</t>
        </is>
      </c>
      <c r="E402" t="inlineStr">
        <is>
          <t>S Thomas</t>
        </is>
      </c>
      <c r="F402" t="n">
        <v>2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inlineStr">
        <is>
          <t>K_S play#31 (Seq#31 Strike3 swinging — M Kirk pitcher); also MRRT pitcher T1 mid-AB through T5 G Knauss walk (documented play#1 seq); replaced by J Yeich (play#46, B5)</t>
        </is>
      </c>
    </row>
    <row r="403">
      <c r="A403" t="inlineStr">
        <is>
          <t>2026-03-21_GLNL_at_MRRT</t>
        </is>
      </c>
      <c r="B403" s="10" t="n">
        <v>46102</v>
      </c>
      <c r="C403" t="inlineStr">
        <is>
          <t>GLNL</t>
        </is>
      </c>
      <c r="D403" t="inlineStr">
        <is>
          <t>MRRT</t>
        </is>
      </c>
      <c r="E403" t="inlineStr">
        <is>
          <t>M Delmonte</t>
        </is>
      </c>
      <c r="F403" t="n">
        <v>3</v>
      </c>
      <c r="G403" t="n">
        <v>2</v>
      </c>
      <c r="H403" t="n">
        <v>2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3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inlineStr">
        <is>
          <t>BB play#19 (B3); out at 2B as runner on O Snow FC (play#20 — not M Delmonte's PA); 1B play#32 (B4); SB play#33 embedded (M Delmonte steals 2nd, B4); adv 3B on E by catcher G Melhuish (play#33 embedded, Flag#5); stranded B4; 3B play#47 (B5, RBI x3: A Devito+Z Magee+J Yeich score — C Starcher pitcher per mid-AB rule); scored on WP (play#48 embedded, C Starcher WP)</t>
        </is>
      </c>
    </row>
    <row r="404">
      <c r="A404" t="inlineStr">
        <is>
          <t>2026-03-21_GLNL_at_MRRT</t>
        </is>
      </c>
      <c r="B404" s="10" t="n">
        <v>46102</v>
      </c>
      <c r="C404" t="inlineStr">
        <is>
          <t>GLNL</t>
        </is>
      </c>
      <c r="D404" t="inlineStr">
        <is>
          <t>MRRT</t>
        </is>
      </c>
      <c r="E404" t="inlineStr">
        <is>
          <t>J Yeich</t>
        </is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>
        <is>
          <t>BB play#46 (B5, entered for batter S Thomas); A Devito adv 3B during AB (Flag#6); scored on M Delmonte 3B (play#47, B5); also MRRT pitcher T5 from A Baker mid-AB onward (documented play#38 seq); Flag#7</t>
        </is>
      </c>
    </row>
    <row r="405">
      <c r="A405" t="inlineStr">
        <is>
          <t>2026-03-23_GLNL_at_HWRD</t>
        </is>
      </c>
      <c r="B405" s="10" t="n">
        <v>46104</v>
      </c>
      <c r="C405" t="inlineStr">
        <is>
          <t>HWRD</t>
        </is>
      </c>
      <c r="D405" t="inlineStr">
        <is>
          <t>GLNL</t>
        </is>
      </c>
      <c r="E405" t="inlineStr">
        <is>
          <t>M Melhuish</t>
        </is>
      </c>
      <c r="F405" t="n">
        <v>3</v>
      </c>
      <c r="G405" t="n">
        <v>2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2</v>
      </c>
      <c r="S405" t="n">
        <v>2</v>
      </c>
      <c r="T405" t="n">
        <v>2</v>
      </c>
      <c r="U405" t="n">
        <v>0</v>
      </c>
      <c r="V405" t="n">
        <v>0</v>
      </c>
      <c r="W405" t="n">
        <v>0</v>
      </c>
      <c r="X405" t="n">
        <v>1</v>
      </c>
      <c r="Y405" t="inlineStr">
        <is>
          <t>HBP play#1 (T1); SB 2nd + SB 3rd (play#2 embedded, A Baker AB); scored on A Baker E reach (play#2, T1); FC play#13 (T2, RBI: G Knauss scores); 2B play#26 (T3, RBI: C Brown scores); scored on A Baker 3B (play#27, T3); also pitcher in prior games — no pitching role this game</t>
        </is>
      </c>
    </row>
    <row r="406">
      <c r="A406" t="inlineStr">
        <is>
          <t>2026-03-23_GLNL_at_HWRD</t>
        </is>
      </c>
      <c r="B406" s="10" t="n">
        <v>46104</v>
      </c>
      <c r="C406" t="inlineStr">
        <is>
          <t>HWRD</t>
        </is>
      </c>
      <c r="D406" t="inlineStr">
        <is>
          <t>GLNL</t>
        </is>
      </c>
      <c r="E406" t="inlineStr">
        <is>
          <t>A Baker</t>
        </is>
      </c>
      <c r="F406" t="n">
        <v>3</v>
      </c>
      <c r="G406" t="n">
        <v>3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inlineStr">
        <is>
          <t>E reach play#2 (T1) — 2 errors on 1 AB: C Gerber-Lombardi E (reaches) + D Heim E (adv to 2B); not a H; Flag#5; 3B play#27 (T3, RBI: M Melhuish scores); scored on C Lease 1B (play#28, T3); replaced by S Tong (play#48, T5)</t>
        </is>
      </c>
    </row>
    <row r="407">
      <c r="A407" t="inlineStr">
        <is>
          <t>2026-03-23_GLNL_at_HWRD</t>
        </is>
      </c>
      <c r="B407" s="10" t="n">
        <v>46104</v>
      </c>
      <c r="C407" t="inlineStr">
        <is>
          <t>HWRD</t>
        </is>
      </c>
      <c r="D407" t="inlineStr">
        <is>
          <t>GLNL</t>
        </is>
      </c>
      <c r="E407" t="inlineStr">
        <is>
          <t>C Lease</t>
        </is>
      </c>
      <c r="F407" t="n">
        <v>3</v>
      </c>
      <c r="G407" t="n">
        <v>2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inlineStr">
        <is>
          <t>BB play#19 (T3); scored on A Nazelrod 1B (play#22, T3); 1B play#28 (T3, RBI: A Baker scores); replaced by G Melhuish mid-AB (play#49 seq, T5); Flag#6 (C Lease credited as catcher B5 play#51 despite substitution)</t>
        </is>
      </c>
    </row>
    <row r="408">
      <c r="A408" t="inlineStr">
        <is>
          <t>2026-03-23_GLNL_at_HWRD</t>
        </is>
      </c>
      <c r="B408" s="10" t="n">
        <v>46104</v>
      </c>
      <c r="C408" t="inlineStr">
        <is>
          <t>HWRD</t>
        </is>
      </c>
      <c r="D408" t="inlineStr">
        <is>
          <t>GLNL</t>
        </is>
      </c>
      <c r="E408" t="inlineStr">
        <is>
          <t>B Conlon</t>
        </is>
      </c>
      <c r="F408" t="n">
        <v>3</v>
      </c>
      <c r="G408" t="n">
        <v>3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inlineStr">
        <is>
          <t>LO play#4 (T1); E reach play#20 (T3) — not a H; CR J Jones in for B Conlon at 3B (play#23 seq, T3, '(Play Edit)' Flag#3); J Jones scores on G Knauss HBP (play#23); R credited to B Conlon per CR convention; B Conlon continues batting (play#29 GO confirms); replaced by J Jones in batting slot from T5; also GLNL starting pitcher B1-B4 (undocumented, Flag#1)</t>
        </is>
      </c>
    </row>
    <row r="409">
      <c r="A409" t="inlineStr">
        <is>
          <t>2026-03-23_GLNL_at_HWRD</t>
        </is>
      </c>
      <c r="B409" s="10" t="n">
        <v>46104</v>
      </c>
      <c r="C409" t="inlineStr">
        <is>
          <t>HWRD</t>
        </is>
      </c>
      <c r="D409" t="inlineStr">
        <is>
          <t>GLNL</t>
        </is>
      </c>
      <c r="E409" t="inlineStr">
        <is>
          <t>J Miles</t>
        </is>
      </c>
      <c r="F409" t="n">
        <v>3</v>
      </c>
      <c r="G409" t="n">
        <v>3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inlineStr">
        <is>
          <t>K_L play#5 (Seq#5 Strike3 looking); 1B play#21 (T3); out at 3B in E Laprise DP (play#24) — J Miles counted as 1 of 2 DP outs; Flag#9 (logged as 'out advancing to 3rd' though J Miles was at 3B)</t>
        </is>
      </c>
    </row>
    <row r="410">
      <c r="A410" t="inlineStr">
        <is>
          <t>2026-03-23_GLNL_at_HWRD</t>
        </is>
      </c>
      <c r="B410" s="10" t="n">
        <v>46104</v>
      </c>
      <c r="C410" t="inlineStr">
        <is>
          <t>HWRD</t>
        </is>
      </c>
      <c r="D410" t="inlineStr">
        <is>
          <t>GLNL</t>
        </is>
      </c>
      <c r="E410" t="inlineStr">
        <is>
          <t>A Nazelrod</t>
        </is>
      </c>
      <c r="F410" t="n">
        <v>3</v>
      </c>
      <c r="G410" t="n">
        <v>3</v>
      </c>
      <c r="H410" t="n">
        <v>2</v>
      </c>
      <c r="I410" t="n">
        <v>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inlineStr">
        <is>
          <t>1B play#22 (T3, RBI: C Lease scores); adv 2B on G Knauss HBP (play#23); adv 2B on PB (play#37 embedded, M Beares AB); adv 3B on PB (play#37 embedded); scored on M Beares GO (play#37, T4); 1B play#36 (T4); Flag#7 (PBs embedded)</t>
        </is>
      </c>
    </row>
    <row r="411">
      <c r="A411" t="inlineStr">
        <is>
          <t>2026-03-23_GLNL_at_HWRD</t>
        </is>
      </c>
      <c r="B411" s="10" t="n">
        <v>46104</v>
      </c>
      <c r="C411" t="inlineStr">
        <is>
          <t>HWRD</t>
        </is>
      </c>
      <c r="D411" t="inlineStr">
        <is>
          <t>GLNL</t>
        </is>
      </c>
      <c r="E411" t="inlineStr">
        <is>
          <t>G Knauss</t>
        </is>
      </c>
      <c r="F411" t="n">
        <v>2</v>
      </c>
      <c r="G411" t="n">
        <v>1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2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inlineStr">
        <is>
          <t>2B play#10 (T2); scored on M Melhuish FC (play#13, T2); HBP play#23 (T3, bases loaded — RBI: J Jones/B Conlon scores as forced run); CR C Starcher in for G Knauss (play#24 seq); C Starcher scores on C Brown 2B (play#25); R credited to G Knauss per CR convention; replaced by M Beares in batting slot T4 (no lineup note, Flag#11)</t>
        </is>
      </c>
    </row>
    <row r="412">
      <c r="A412" t="inlineStr">
        <is>
          <t>2026-03-23_GLNL_at_HWRD</t>
        </is>
      </c>
      <c r="B412" s="10" t="n">
        <v>46104</v>
      </c>
      <c r="C412" t="inlineStr">
        <is>
          <t>HWRD</t>
        </is>
      </c>
      <c r="D412" t="inlineStr">
        <is>
          <t>GLNL</t>
        </is>
      </c>
      <c r="E412" t="inlineStr">
        <is>
          <t>E Laprise</t>
        </is>
      </c>
      <c r="F412" t="n">
        <v>3</v>
      </c>
      <c r="G412" t="n">
        <v>2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inlineStr">
        <is>
          <t>HBP play#11 (T2); DP play#24 (T3) — GDP for E Laprise; 1B play#38 (T4); stranded</t>
        </is>
      </c>
    </row>
    <row r="413">
      <c r="A413" t="inlineStr">
        <is>
          <t>2026-03-23_GLNL_at_HWRD</t>
        </is>
      </c>
      <c r="B413" s="10" t="n">
        <v>46104</v>
      </c>
      <c r="C413" t="inlineStr">
        <is>
          <t>HWRD</t>
        </is>
      </c>
      <c r="D413" t="inlineStr">
        <is>
          <t>GLNL</t>
        </is>
      </c>
      <c r="E413" t="inlineStr">
        <is>
          <t>C Brown</t>
        </is>
      </c>
      <c r="F413" t="n">
        <v>3</v>
      </c>
      <c r="G413" t="n">
        <v>3</v>
      </c>
      <c r="H413" t="n">
        <v>2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>
        <is>
          <t>1B play#12 (T2); out advancing on M Melhuish FC (play#13) — C Brown is the runner put out; 2B play#25 (T3, RBI x2: C Starcher/G Knauss + A Nazelrod score; Flag#10: C Starcher scores from 1B on the throw); scored on M Melhuish 2B (play#26, T3)</t>
        </is>
      </c>
    </row>
    <row r="414">
      <c r="A414" t="inlineStr">
        <is>
          <t>2026-03-23_GLNL_at_HWRD</t>
        </is>
      </c>
      <c r="B414" s="10" t="n">
        <v>46104</v>
      </c>
      <c r="C414" t="inlineStr">
        <is>
          <t>HWRD</t>
        </is>
      </c>
      <c r="D414" t="inlineStr">
        <is>
          <t>GLNL</t>
        </is>
      </c>
      <c r="E414" t="inlineStr">
        <is>
          <t>J Jones</t>
        </is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>
        <is>
          <t>CR for B Conlon at 3B T3 (play#23 seq) — no batting stats from CR role; R from CR role credited to B Conlon; took over B Conlon's batting slot T5; K_L play#50 (Seq#50 Strike3 looking — C Hudson pitching)</t>
        </is>
      </c>
    </row>
    <row r="415">
      <c r="A415" t="inlineStr">
        <is>
          <t>2026-03-23_GLNL_at_HWRD</t>
        </is>
      </c>
      <c r="B415" s="10" t="n">
        <v>46104</v>
      </c>
      <c r="C415" t="inlineStr">
        <is>
          <t>HWRD</t>
        </is>
      </c>
      <c r="D415" t="inlineStr">
        <is>
          <t>GLNL</t>
        </is>
      </c>
      <c r="E415" t="inlineStr">
        <is>
          <t>M Beares</t>
        </is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>
        <is>
          <t>Entered T4 batting slot (G Knauss slot) without lineup note (Flag#11); GO play#37 (T4, RBI: A Nazelrod scores from 3B); 2 PBs embedded during AB (Flag#7)</t>
        </is>
      </c>
    </row>
    <row r="416">
      <c r="A416" t="inlineStr">
        <is>
          <t>2026-03-23_GLNL_at_HWRD</t>
        </is>
      </c>
      <c r="B416" s="10" t="n">
        <v>46104</v>
      </c>
      <c r="C416" t="inlineStr">
        <is>
          <t>HWRD</t>
        </is>
      </c>
      <c r="D416" t="inlineStr">
        <is>
          <t>GLNL</t>
        </is>
      </c>
      <c r="E416" t="inlineStr">
        <is>
          <t>B Harms</t>
        </is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>
        <is>
          <t>Entered for batter M Melhuish (play#47, T5)</t>
        </is>
      </c>
    </row>
    <row r="417">
      <c r="A417" t="inlineStr">
        <is>
          <t>2026-03-23_GLNL_at_HWRD</t>
        </is>
      </c>
      <c r="B417" s="10" t="n">
        <v>46104</v>
      </c>
      <c r="C417" t="inlineStr">
        <is>
          <t>HWRD</t>
        </is>
      </c>
      <c r="D417" t="inlineStr">
        <is>
          <t>GLNL</t>
        </is>
      </c>
      <c r="E417" t="inlineStr">
        <is>
          <t>S Tong</t>
        </is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>
        <is>
          <t>Entered for batter A Baker (play#48, T5)</t>
        </is>
      </c>
    </row>
    <row r="418">
      <c r="A418" t="inlineStr">
        <is>
          <t>2026-03-23_GLNL_at_HWRD</t>
        </is>
      </c>
      <c r="B418" s="10" t="n">
        <v>46104</v>
      </c>
      <c r="C418" t="inlineStr">
        <is>
          <t>HWRD</t>
        </is>
      </c>
      <c r="D418" t="inlineStr">
        <is>
          <t>GLNL</t>
        </is>
      </c>
      <c r="E418" t="inlineStr">
        <is>
          <t>G Melhuish</t>
        </is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>
        <is>
          <t>Mid-AB entry for batter C Lease (play#49 seq, T5); 2B play#49 (credited to G Melhuish per mid-AB rule); stranded (J Jones K ends inning); Flag#6 (C Lease credited as catcher B5 despite this substitution)</t>
        </is>
      </c>
    </row>
    <row r="419">
      <c r="A419" t="inlineStr">
        <is>
          <t>2026-03-23_GLNL_at_HWRD</t>
        </is>
      </c>
      <c r="B419" s="10" t="n">
        <v>46104</v>
      </c>
      <c r="C419" t="inlineStr">
        <is>
          <t>GLNL</t>
        </is>
      </c>
      <c r="D419" t="inlineStr">
        <is>
          <t>HWRD</t>
        </is>
      </c>
      <c r="E419" t="inlineStr">
        <is>
          <t>B Giangrasso</t>
        </is>
      </c>
      <c r="F419" t="n">
        <v>3</v>
      </c>
      <c r="G419" t="n">
        <v>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inlineStr">
        <is>
          <t>BB play#32 (B3); adv 2B on G Nystrom HBP (play#33); stranded; FC play#46 (B4 — B Sawyer out at home on force; catcher unnamed, Flag#13); also 1B defensively throughout</t>
        </is>
      </c>
    </row>
    <row r="420">
      <c r="A420" t="inlineStr">
        <is>
          <t>2026-03-23_GLNL_at_HWRD</t>
        </is>
      </c>
      <c r="B420" s="10" t="n">
        <v>46104</v>
      </c>
      <c r="C420" t="inlineStr">
        <is>
          <t>GLNL</t>
        </is>
      </c>
      <c r="D420" t="inlineStr">
        <is>
          <t>HWRD</t>
        </is>
      </c>
      <c r="E420" t="inlineStr">
        <is>
          <t>G Nystrom</t>
        </is>
      </c>
      <c r="F420" t="n">
        <v>3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>
        <is>
          <t>HBP play#33 (B3); GO play#51 (B5 — description anomaly re Z Blair advancement before Z Blair enters, play#51 note)</t>
        </is>
      </c>
    </row>
    <row r="421">
      <c r="A421" t="inlineStr">
        <is>
          <t>2026-03-23_GLNL_at_HWRD</t>
        </is>
      </c>
      <c r="B421" s="10" t="n">
        <v>46104</v>
      </c>
      <c r="C421" t="inlineStr">
        <is>
          <t>GLNL</t>
        </is>
      </c>
      <c r="D421" t="inlineStr">
        <is>
          <t>HWRD</t>
        </is>
      </c>
      <c r="E421" t="inlineStr">
        <is>
          <t>A Proescher</t>
        </is>
      </c>
      <c r="F421" t="n">
        <v>2</v>
      </c>
      <c r="G421" t="n">
        <v>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inlineStr">
        <is>
          <t>Replaced mid-AB by Z Blair (play#52, B5) after 3 pitches (Strike 1, Ball 1, Strike 2 swinging); AB outcome credited to Z Blair per mid-AB rule; Flag#15</t>
        </is>
      </c>
    </row>
    <row r="422">
      <c r="A422" t="inlineStr">
        <is>
          <t>2026-03-23_GLNL_at_HWRD</t>
        </is>
      </c>
      <c r="B422" s="10" t="n">
        <v>46104</v>
      </c>
      <c r="C422" t="inlineStr">
        <is>
          <t>GLNL</t>
        </is>
      </c>
      <c r="D422" t="inlineStr">
        <is>
          <t>HWRD</t>
        </is>
      </c>
      <c r="E422" t="inlineStr">
        <is>
          <t>D Heim</t>
        </is>
      </c>
      <c r="F422" t="n">
        <v>3</v>
      </c>
      <c r="G422" t="n">
        <v>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2</v>
      </c>
      <c r="P422" t="n">
        <v>0</v>
      </c>
      <c r="Q422" t="n">
        <v>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>
        <is>
          <t>K_S play#15 (Seq#15 Strike3 swinging); K_S play#40 (Seq#40 Strike3 swinging); also HWRD starting pitcher T1-T3 (documented play#1 seq); transitions to 3B in T4 (play#35, Flag#4); two-way player</t>
        </is>
      </c>
    </row>
    <row r="423">
      <c r="A423" t="inlineStr">
        <is>
          <t>2026-03-23_GLNL_at_HWRD</t>
        </is>
      </c>
      <c r="B423" s="10" t="n">
        <v>46104</v>
      </c>
      <c r="C423" t="inlineStr">
        <is>
          <t>GLNL</t>
        </is>
      </c>
      <c r="D423" t="inlineStr">
        <is>
          <t>HWRD</t>
        </is>
      </c>
      <c r="E423" t="inlineStr">
        <is>
          <t>C Hudson</t>
        </is>
      </c>
      <c r="F423" t="n">
        <v>3</v>
      </c>
      <c r="G423" t="n">
        <v>3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2</v>
      </c>
      <c r="P423" t="n">
        <v>2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>
        <is>
          <t>K_L play#16 (Seq#16 Strike3 looking); 2B play#41 (B4); adv 3B on D Alves walk (play#43); scored on N Hegedus 1B (play#44, B4); K_L play#54 (Seq#54 Strike3 looking — N Cohen pitching); also HWRD pitcher T4-T5 (T4 inferred Flag#4, T5 confirmed play#47/50); two-way player</t>
        </is>
      </c>
    </row>
    <row r="424">
      <c r="A424" t="inlineStr">
        <is>
          <t>2026-03-23_GLNL_at_HWRD</t>
        </is>
      </c>
      <c r="B424" s="10" t="n">
        <v>46104</v>
      </c>
      <c r="C424" t="inlineStr">
        <is>
          <t>GLNL</t>
        </is>
      </c>
      <c r="D424" t="inlineStr">
        <is>
          <t>HWRD</t>
        </is>
      </c>
      <c r="E424" t="inlineStr">
        <is>
          <t>B Sawyer</t>
        </is>
      </c>
      <c r="F424" t="n">
        <v>2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>
        <is>
          <t>1B play#17 (B2); BB play#42 (B4); pickoff attempt at 2nd embedded play#42 (Flag#12); adv 3B on N Hegedus 1B (play#44); out at home on B Giangrasso FC (play#46) — B Sawyer does not score</t>
        </is>
      </c>
    </row>
    <row r="425">
      <c r="A425" t="inlineStr">
        <is>
          <t>2026-03-23_GLNL_at_HWRD</t>
        </is>
      </c>
      <c r="B425" s="10" t="n">
        <v>46104</v>
      </c>
      <c r="C425" t="inlineStr">
        <is>
          <t>GLNL</t>
        </is>
      </c>
      <c r="D425" t="inlineStr">
        <is>
          <t>HWRD</t>
        </is>
      </c>
      <c r="E425" t="inlineStr">
        <is>
          <t>D Alves</t>
        </is>
      </c>
      <c r="F425" t="n">
        <v>2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>
        <is>
          <t>K_S play#18 (Seq#18 Strike3 swinging); BB play#43 (B4); stranded</t>
        </is>
      </c>
    </row>
    <row r="426">
      <c r="A426" t="inlineStr">
        <is>
          <t>2026-03-23_GLNL_at_HWRD</t>
        </is>
      </c>
      <c r="B426" s="10" t="n">
        <v>46104</v>
      </c>
      <c r="C426" t="inlineStr">
        <is>
          <t>GLNL</t>
        </is>
      </c>
      <c r="D426" t="inlineStr">
        <is>
          <t>HWRD</t>
        </is>
      </c>
      <c r="E426" t="inlineStr">
        <is>
          <t>N Hegedus</t>
        </is>
      </c>
      <c r="F426" t="n">
        <v>2</v>
      </c>
      <c r="G426" t="n">
        <v>2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>
        <is>
          <t>K_L play#30 (Seq#30 Strike3 looking); 1B play#44 (B4, RBI: C Hudson scores); adv 2B on B Giangrasso FC (play#46); stranded</t>
        </is>
      </c>
    </row>
    <row r="427">
      <c r="A427" t="inlineStr">
        <is>
          <t>2026-03-23_GLNL_at_HWRD</t>
        </is>
      </c>
      <c r="B427" s="10" t="n">
        <v>46104</v>
      </c>
      <c r="C427" t="inlineStr">
        <is>
          <t>GLNL</t>
        </is>
      </c>
      <c r="D427" t="inlineStr">
        <is>
          <t>HWRD</t>
        </is>
      </c>
      <c r="E427" t="inlineStr">
        <is>
          <t>C Parise</t>
        </is>
      </c>
      <c r="F427" t="n">
        <v>2</v>
      </c>
      <c r="G427" t="n">
        <v>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>
        <is>
          <t>K_S play#45 (Seq#45 Strike3 swinging — N Cohen pitcher)</t>
        </is>
      </c>
    </row>
    <row r="428">
      <c r="A428" t="inlineStr">
        <is>
          <t>2026-03-23_GLNL_at_HWRD</t>
        </is>
      </c>
      <c r="B428" s="10" t="n">
        <v>46104</v>
      </c>
      <c r="C428" t="inlineStr">
        <is>
          <t>GLNL</t>
        </is>
      </c>
      <c r="D428" t="inlineStr">
        <is>
          <t>HWRD</t>
        </is>
      </c>
      <c r="E428" t="inlineStr">
        <is>
          <t>Z Blair</t>
        </is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inlineStr">
        <is>
          <t>Mid-AB sub for A Proescher (play#52, B5) after 3 pitches; E reach on B Burckhardt (GLNL 1B) — not a H; Flag#15</t>
        </is>
      </c>
    </row>
    <row r="429">
      <c r="A429" t="inlineStr">
        <is>
          <t>2026-03-30_SHRW_at_GLNL</t>
        </is>
      </c>
      <c r="B429" s="10" t="n">
        <v>46111</v>
      </c>
      <c r="C429" t="inlineStr">
        <is>
          <t>GLNL</t>
        </is>
      </c>
      <c r="D429" t="inlineStr">
        <is>
          <t>SHRW</t>
        </is>
      </c>
      <c r="E429" t="inlineStr">
        <is>
          <t>C Sweeney-Strawberry</t>
        </is>
      </c>
      <c r="F429" t="n">
        <v>4</v>
      </c>
      <c r="G429" t="n">
        <v>3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inlineStr">
        <is>
          <t>2B play#18 (T3); BB play#49 (T7); SB play#50 embedded (during J Bender AB); adv 3B on PB play#50 embedded; stranded T7</t>
        </is>
      </c>
    </row>
    <row r="430">
      <c r="A430" t="inlineStr">
        <is>
          <t>2026-03-30_SHRW_at_GLNL</t>
        </is>
      </c>
      <c r="B430" s="10" t="n">
        <v>46111</v>
      </c>
      <c r="C430" t="inlineStr">
        <is>
          <t>GLNL</t>
        </is>
      </c>
      <c r="D430" t="inlineStr">
        <is>
          <t>SHRW</t>
        </is>
      </c>
      <c r="E430" t="inlineStr">
        <is>
          <t>J Bender</t>
        </is>
      </c>
      <c r="F430" t="n">
        <v>4</v>
      </c>
      <c r="G430" t="n">
        <v>3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2</v>
      </c>
      <c r="P430" t="n">
        <v>0</v>
      </c>
      <c r="Q430" t="n">
        <v>2</v>
      </c>
      <c r="R430" t="n">
        <v>1</v>
      </c>
      <c r="S430" t="n">
        <v>0</v>
      </c>
      <c r="T430" t="n">
        <v>2</v>
      </c>
      <c r="U430" t="n">
        <v>0</v>
      </c>
      <c r="V430" t="n">
        <v>0</v>
      </c>
      <c r="W430" t="n">
        <v>0</v>
      </c>
      <c r="X430" t="n">
        <v>0</v>
      </c>
      <c r="Y430" t="inlineStr">
        <is>
          <t>K_S play#2 (Seq Strike3 swinging); K_S play#19 — dropped 3rd strike reaches (PB, Flag#3; Seq Strike3 swinging); 1B play#37 (T6); SB 2nd play#38 embedded + SB 3rd play#38 embedded (2 SBs in one AB, Flag#6); scored on C Jagannathan 1B (play#39); BB play#50 (T7); adv 2B on DI (play#51 embedded); stranded T7</t>
        </is>
      </c>
    </row>
    <row r="431">
      <c r="A431" t="inlineStr">
        <is>
          <t>2026-03-30_SHRW_at_GLNL</t>
        </is>
      </c>
      <c r="B431" s="10" t="n">
        <v>46111</v>
      </c>
      <c r="C431" t="inlineStr">
        <is>
          <t>GLNL</t>
        </is>
      </c>
      <c r="D431" t="inlineStr">
        <is>
          <t>SHRW</t>
        </is>
      </c>
      <c r="E431" t="inlineStr">
        <is>
          <t>J Sarita</t>
        </is>
      </c>
      <c r="F431" t="n">
        <v>4</v>
      </c>
      <c r="G431" t="n">
        <v>3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2</v>
      </c>
      <c r="P431" t="n">
        <v>0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>
        <is>
          <t>E reach play#3 (T1) — not a H; K_S play#20 (Seq Strike3 swinging); K_S play#38 — foul tip (Flag#4; Seq final pitch Foul tip); HBP play#51 (T7); PR M Cheng in for J Sarita (play#52 seq); M Cheng does not score</t>
        </is>
      </c>
    </row>
    <row r="432">
      <c r="A432" t="inlineStr">
        <is>
          <t>2026-03-30_SHRW_at_GLNL</t>
        </is>
      </c>
      <c r="B432" s="10" t="n">
        <v>46111</v>
      </c>
      <c r="C432" t="inlineStr">
        <is>
          <t>GLNL</t>
        </is>
      </c>
      <c r="D432" t="inlineStr">
        <is>
          <t>SHRW</t>
        </is>
      </c>
      <c r="E432" t="inlineStr">
        <is>
          <t>C Jagannathan</t>
        </is>
      </c>
      <c r="F432" t="n">
        <v>4</v>
      </c>
      <c r="G432" t="n">
        <v>4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inlineStr">
        <is>
          <t>1B play#39 (T6, RBI: J Bender scores); CR J Hall in for C Jagannathan (play#40 seq); J Hall adv 2B on WP + SB 3rd + scores on J Berger 2B (play#40); R credited to C Jagannathan per CR convention; GO play#52 (T7)</t>
        </is>
      </c>
    </row>
    <row r="433">
      <c r="A433" t="inlineStr">
        <is>
          <t>2026-03-30_SHRW_at_GLNL</t>
        </is>
      </c>
      <c r="B433" s="10" t="n">
        <v>46111</v>
      </c>
      <c r="C433" t="inlineStr">
        <is>
          <t>GLNL</t>
        </is>
      </c>
      <c r="D433" t="inlineStr">
        <is>
          <t>SHRW</t>
        </is>
      </c>
      <c r="E433" t="inlineStr">
        <is>
          <t>J Berger</t>
        </is>
      </c>
      <c r="F433" t="n">
        <v>3</v>
      </c>
      <c r="G433" t="n">
        <v>3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>
        <is>
          <t>K_S play#25 — dropped 3rd strike out at 1B (Flag#3; Seq Strike3 swinging); 2B play#40 (T6, RBI: J Hall/C Jagannathan scores); play#58 (T8) no outcome — not counted as PA (Flag#2)</t>
        </is>
      </c>
    </row>
    <row r="434">
      <c r="A434" t="inlineStr">
        <is>
          <t>2026-03-30_SHRW_at_GLNL</t>
        </is>
      </c>
      <c r="B434" s="10" t="n">
        <v>46111</v>
      </c>
      <c r="C434" t="inlineStr">
        <is>
          <t>GLNL</t>
        </is>
      </c>
      <c r="D434" t="inlineStr">
        <is>
          <t>SHRW</t>
        </is>
      </c>
      <c r="E434" t="inlineStr">
        <is>
          <t>C Flickinger</t>
        </is>
      </c>
      <c r="F434" t="n">
        <v>3</v>
      </c>
      <c r="G434" t="n">
        <v>3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2026-03-30_SHRW_at_GLNL</t>
        </is>
      </c>
      <c r="B435" s="10" t="n">
        <v>46111</v>
      </c>
      <c r="C435" t="inlineStr">
        <is>
          <t>GLNL</t>
        </is>
      </c>
      <c r="D435" t="inlineStr">
        <is>
          <t>SHRW</t>
        </is>
      </c>
      <c r="E435" t="inlineStr">
        <is>
          <t>C Calandro</t>
        </is>
      </c>
      <c r="F435" t="n">
        <v>3</v>
      </c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inlineStr">
        <is>
          <t>BB play#30 (T5); adv 2B on A Jenkins bunt GO (play#31); adv 3B on K Blake GO (play#32); scored on WP (play#33 embedded, T5) — no RBI for C Sweeney-Strawberry; K_S play#42 — foul tip (Flag#4, B Conlon pitching, Flag#1; Seq final pitch Foul tip)</t>
        </is>
      </c>
    </row>
    <row r="436">
      <c r="A436" t="inlineStr">
        <is>
          <t>2026-03-30_SHRW_at_GLNL</t>
        </is>
      </c>
      <c r="B436" s="10" t="n">
        <v>46111</v>
      </c>
      <c r="C436" t="inlineStr">
        <is>
          <t>GLNL</t>
        </is>
      </c>
      <c r="D436" t="inlineStr">
        <is>
          <t>SHRW</t>
        </is>
      </c>
      <c r="E436" t="inlineStr">
        <is>
          <t>A Jenkins</t>
        </is>
      </c>
      <c r="F436" t="n">
        <v>3</v>
      </c>
      <c r="G436" t="n">
        <v>3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2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inlineStr">
        <is>
          <t>K_L play#16 (Seq all looking); bunt GO play#31 (Flag#5 — logged as 'Ground Out' not SAC; SAC=0 per rules; C Calandro adv 2B); K_S play#47 (Seq Strike3 swinging — M Shriner pitcher)</t>
        </is>
      </c>
    </row>
    <row r="437">
      <c r="A437" t="inlineStr">
        <is>
          <t>2026-03-30_SHRW_at_GLNL</t>
        </is>
      </c>
      <c r="B437" s="10" t="n">
        <v>46111</v>
      </c>
      <c r="C437" t="inlineStr">
        <is>
          <t>GLNL</t>
        </is>
      </c>
      <c r="D437" t="inlineStr">
        <is>
          <t>SHRW</t>
        </is>
      </c>
      <c r="E437" t="inlineStr">
        <is>
          <t>K Blake</t>
        </is>
      </c>
      <c r="F437" t="n">
        <v>3</v>
      </c>
      <c r="G437" t="n">
        <v>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inlineStr">
        <is>
          <t>K_S play#17 (Seq Strike3 swinging); K_L play#48 (Seq Strike3 looking — M Shriner pitcher)</t>
        </is>
      </c>
    </row>
    <row r="438">
      <c r="A438" t="inlineStr">
        <is>
          <t>2026-03-30_SHRW_at_GLNL</t>
        </is>
      </c>
      <c r="B438" s="10" t="n">
        <v>46111</v>
      </c>
      <c r="C438" t="inlineStr">
        <is>
          <t>SHRW</t>
        </is>
      </c>
      <c r="D438" t="inlineStr">
        <is>
          <t>GLNL</t>
        </is>
      </c>
      <c r="E438" t="inlineStr">
        <is>
          <t>C Lease</t>
        </is>
      </c>
      <c r="F438" t="n">
        <v>3</v>
      </c>
      <c r="G438" t="n">
        <v>2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inlineStr">
        <is>
          <t>HBP play#5 (B1); 1B play#44 (B6); stranded both times</t>
        </is>
      </c>
    </row>
    <row r="439">
      <c r="A439" t="inlineStr">
        <is>
          <t>2026-03-30_SHRW_at_GLNL</t>
        </is>
      </c>
      <c r="B439" s="10" t="n">
        <v>46111</v>
      </c>
      <c r="C439" t="inlineStr">
        <is>
          <t>SHRW</t>
        </is>
      </c>
      <c r="D439" t="inlineStr">
        <is>
          <t>GLNL</t>
        </is>
      </c>
      <c r="E439" t="inlineStr">
        <is>
          <t>T Blayman</t>
        </is>
      </c>
      <c r="F439" t="n">
        <v>3</v>
      </c>
      <c r="G439" t="n">
        <v>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inlineStr">
        <is>
          <t>SAC bunt play#6 (B1 — explicitly 'Sacrifice Bunt' in outcome; C Lease adv 2B); K_L play#45 (Seq Strike3 looking)</t>
        </is>
      </c>
    </row>
    <row r="440">
      <c r="A440" t="inlineStr">
        <is>
          <t>2026-03-30_SHRW_at_GLNL</t>
        </is>
      </c>
      <c r="B440" s="10" t="n">
        <v>46111</v>
      </c>
      <c r="C440" t="inlineStr">
        <is>
          <t>SHRW</t>
        </is>
      </c>
      <c r="D440" t="inlineStr">
        <is>
          <t>GLNL</t>
        </is>
      </c>
      <c r="E440" t="inlineStr">
        <is>
          <t>B Conlon</t>
        </is>
      </c>
      <c r="F440" t="n">
        <v>3</v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inlineStr">
        <is>
          <t>K_S play#27 (Seq Strike3 swinging); also GLNL pitcher T6 play#42 (undocumented entry from RF, Flag#1)</t>
        </is>
      </c>
    </row>
    <row r="441">
      <c r="A441" t="inlineStr">
        <is>
          <t>2026-03-30_SHRW_at_GLNL</t>
        </is>
      </c>
      <c r="B441" s="10" t="n">
        <v>46111</v>
      </c>
      <c r="C441" t="inlineStr">
        <is>
          <t>SHRW</t>
        </is>
      </c>
      <c r="D441" t="inlineStr">
        <is>
          <t>GLNL</t>
        </is>
      </c>
      <c r="E441" t="inlineStr">
        <is>
          <t>M Melhuish</t>
        </is>
      </c>
      <c r="F441" t="n">
        <v>3</v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inlineStr">
        <is>
          <t>K_S play#8 (Seq Strike3 swinging); E reach play#53 (B7) — not a H; stranded at 3B end of B7</t>
        </is>
      </c>
    </row>
    <row r="442">
      <c r="A442" t="inlineStr">
        <is>
          <t>2026-03-30_SHRW_at_GLNL</t>
        </is>
      </c>
      <c r="B442" s="10" t="n">
        <v>46111</v>
      </c>
      <c r="C442" t="inlineStr">
        <is>
          <t>SHRW</t>
        </is>
      </c>
      <c r="D442" t="inlineStr">
        <is>
          <t>GLNL</t>
        </is>
      </c>
      <c r="E442" t="inlineStr">
        <is>
          <t>A Baker</t>
        </is>
      </c>
      <c r="F442" t="n">
        <v>3</v>
      </c>
      <c r="G442" t="n">
        <v>3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2</v>
      </c>
      <c r="P442" t="n">
        <v>0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>
        <is>
          <t>K_S play#12 (Seq Strike3 swinging); K_S play#29 — foul tip (Flag#4; Seq final pitch Foul tip); 2B play#54 (B7); stranded at 2B end of B7</t>
        </is>
      </c>
    </row>
    <row r="443">
      <c r="A443" t="inlineStr">
        <is>
          <t>2026-03-30_SHRW_at_GLNL</t>
        </is>
      </c>
      <c r="B443" s="10" t="n">
        <v>46111</v>
      </c>
      <c r="C443" t="inlineStr">
        <is>
          <t>SHRW</t>
        </is>
      </c>
      <c r="D443" t="inlineStr">
        <is>
          <t>GLNL</t>
        </is>
      </c>
      <c r="E443" t="inlineStr">
        <is>
          <t>S Tong</t>
        </is>
      </c>
      <c r="F443" t="n">
        <v>3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inlineStr">
        <is>
          <t>E reach play#13 (B2) — not a H; stranded; K_S play#55 (Seq Strike3 swinging)</t>
        </is>
      </c>
    </row>
    <row r="444">
      <c r="A444" t="inlineStr">
        <is>
          <t>2026-03-30_SHRW_at_GLNL</t>
        </is>
      </c>
      <c r="B444" s="10" t="n">
        <v>46111</v>
      </c>
      <c r="C444" t="inlineStr">
        <is>
          <t>SHRW</t>
        </is>
      </c>
      <c r="D444" t="inlineStr">
        <is>
          <t>GLNL</t>
        </is>
      </c>
      <c r="E444" t="inlineStr">
        <is>
          <t>J Miles</t>
        </is>
      </c>
      <c r="F444" t="n">
        <v>3</v>
      </c>
      <c r="G444" t="n">
        <v>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3</v>
      </c>
      <c r="P444" t="n">
        <v>2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>
        <is>
          <t>K_L play#14 (Seq Strike3 looking); K_L play#35 (Seq Strike3 looking — contradicts play desc 'swinging'; pitch seq governs per rules); K_S play#56 (Seq Strike3 swinging); also GLNL starting pitcher T1-T6 (documented play#1 seq)</t>
        </is>
      </c>
    </row>
    <row r="445">
      <c r="A445" t="inlineStr">
        <is>
          <t>2026-03-30_SHRW_at_GLNL</t>
        </is>
      </c>
      <c r="B445" s="10" t="n">
        <v>46111</v>
      </c>
      <c r="C445" t="inlineStr">
        <is>
          <t>SHRW</t>
        </is>
      </c>
      <c r="D445" t="inlineStr">
        <is>
          <t>GLNL</t>
        </is>
      </c>
      <c r="E445" t="inlineStr">
        <is>
          <t>A Nazelrod</t>
        </is>
      </c>
      <c r="F445" t="n">
        <v>2</v>
      </c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2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>
        <is>
          <t>K_L play#15 (Seq Strike3 looking); K_L play#36 (Seq Strike3 looking); replaced by B Burckhardt (play#57, B7)</t>
        </is>
      </c>
    </row>
    <row r="446">
      <c r="A446" t="inlineStr">
        <is>
          <t>2026-03-30_SHRW_at_GLNL</t>
        </is>
      </c>
      <c r="B446" s="10" t="n">
        <v>46111</v>
      </c>
      <c r="C446" t="inlineStr">
        <is>
          <t>SHRW</t>
        </is>
      </c>
      <c r="D446" t="inlineStr">
        <is>
          <t>GLNL</t>
        </is>
      </c>
      <c r="E446" t="inlineStr">
        <is>
          <t>C Brown</t>
        </is>
      </c>
      <c r="F446" t="n">
        <v>2</v>
      </c>
      <c r="G446" t="n">
        <v>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inlineStr">
        <is>
          <t>K_S play#21 (Seq Strike3 swinging)</t>
        </is>
      </c>
    </row>
    <row r="447">
      <c r="A447" t="inlineStr">
        <is>
          <t>2026-03-30_SHRW_at_GLNL</t>
        </is>
      </c>
      <c r="B447" s="10" t="n">
        <v>46111</v>
      </c>
      <c r="C447" t="inlineStr">
        <is>
          <t>SHRW</t>
        </is>
      </c>
      <c r="D447" t="inlineStr">
        <is>
          <t>GLNL</t>
        </is>
      </c>
      <c r="E447" t="inlineStr">
        <is>
          <t>B Burckhardt</t>
        </is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inlineStr">
        <is>
          <t>Entered for batter A Nazelrod (play#57, B7); K_L (Seq Strike3 looking)</t>
        </is>
      </c>
    </row>
    <row r="448">
      <c r="A448" t="inlineStr">
        <is>
          <t>2026-03-31_GLNL_at_ATHL</t>
        </is>
      </c>
      <c r="B448" s="10" t="n">
        <v>46112</v>
      </c>
      <c r="C448" t="inlineStr">
        <is>
          <t>ATHL</t>
        </is>
      </c>
      <c r="D448" t="inlineStr">
        <is>
          <t>GLNL</t>
        </is>
      </c>
      <c r="E448" t="inlineStr">
        <is>
          <t>T Blayman</t>
        </is>
      </c>
      <c r="F448" t="n">
        <v>4</v>
      </c>
      <c r="G448" t="n">
        <v>4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2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inlineStr">
        <is>
          <t>K_S play#1 (Seq Strike3 swinging — L Byrns entered mid-AB); K_L play#33 (Seq Strike3 looking); 1B bunt play#47 (T6); adv 2B on WP (play#48 embedded); stranded T6</t>
        </is>
      </c>
    </row>
    <row r="449">
      <c r="A449" t="inlineStr">
        <is>
          <t>2026-03-31_GLNL_at_ATHL</t>
        </is>
      </c>
      <c r="B449" s="10" t="n">
        <v>46112</v>
      </c>
      <c r="C449" t="inlineStr">
        <is>
          <t>ATHL</t>
        </is>
      </c>
      <c r="D449" t="inlineStr">
        <is>
          <t>GLNL</t>
        </is>
      </c>
      <c r="E449" t="inlineStr">
        <is>
          <t>S Tong</t>
        </is>
      </c>
      <c r="F449" t="n">
        <v>4</v>
      </c>
      <c r="G449" t="n">
        <v>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2</v>
      </c>
      <c r="P449" t="n">
        <v>1</v>
      </c>
      <c r="Q449" t="n">
        <v>1</v>
      </c>
      <c r="R449" t="n">
        <v>2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inlineStr">
        <is>
          <t>K_L play#2 (Seq Strike3 looking); BB play#19 (T3); scored on A Baker SAC fly (play#22, T3); K_S play#34 — dropped 3rd PB (reaches, Flag#7; Seq Strike3 swinging); adv 2B+3B on PBs (play#35 embedded); scored on J Martin E (play#37, T5 — run on error, no RBI for batter); GDP play#48 (fly-into-DP, Flag#4 — S Tong out + G Knauss out at home)</t>
        </is>
      </c>
    </row>
    <row r="450">
      <c r="A450" t="inlineStr">
        <is>
          <t>2026-03-31_GLNL_at_ATHL</t>
        </is>
      </c>
      <c r="B450" s="10" t="n">
        <v>46112</v>
      </c>
      <c r="C450" t="inlineStr">
        <is>
          <t>ATHL</t>
        </is>
      </c>
      <c r="D450" t="inlineStr">
        <is>
          <t>GLNL</t>
        </is>
      </c>
      <c r="E450" t="inlineStr">
        <is>
          <t>C Lease</t>
        </is>
      </c>
      <c r="F450" t="n">
        <v>4</v>
      </c>
      <c r="G450" t="n">
        <v>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2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>
        <is>
          <t>K_S play#3 (Seq Strike3 swinging); BB play#20 (T3); adv 2B on E reach B Conlon (play#21); adv 3B on A Baker SAC fly (play#22); out at 3B on A Nazelrod FC (play#23, inning ends — Flag#10 'did not score' notation); BB play#35 (T5); out at 3B on A Baker FC (play#37)</t>
        </is>
      </c>
    </row>
    <row r="451">
      <c r="A451" t="inlineStr">
        <is>
          <t>2026-03-31_GLNL_at_ATHL</t>
        </is>
      </c>
      <c r="B451" s="10" t="n">
        <v>46112</v>
      </c>
      <c r="C451" t="inlineStr">
        <is>
          <t>ATHL</t>
        </is>
      </c>
      <c r="D451" t="inlineStr">
        <is>
          <t>GLNL</t>
        </is>
      </c>
      <c r="E451" t="inlineStr">
        <is>
          <t>B Conlon</t>
        </is>
      </c>
      <c r="F451" t="n">
        <v>4</v>
      </c>
      <c r="G451" t="n">
        <v>3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2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inlineStr">
        <is>
          <t>1B play#9 (T2); SB play#10 embedded (A Baker AB); adv 3B on A Baker GO (play#10 — Flag#9: unusual adv from 2B to 3B on GO to 1B); scored on G Melhuish dropped K/WP (play#13, T2); E reach play#21 (T3) — not H; out at 2B on A Nazelrod FC (play#23); IBW play#36 (T5, Flag#5 — only IBW in series); scored on J Martin E (play#37, T5 — run on error); also GLNL pitcher B1-B7</t>
        </is>
      </c>
    </row>
    <row r="452">
      <c r="A452" t="inlineStr">
        <is>
          <t>2026-03-31_GLNL_at_ATHL</t>
        </is>
      </c>
      <c r="B452" s="10" t="n">
        <v>46112</v>
      </c>
      <c r="C452" t="inlineStr">
        <is>
          <t>ATHL</t>
        </is>
      </c>
      <c r="D452" t="inlineStr">
        <is>
          <t>GLNL</t>
        </is>
      </c>
      <c r="E452" t="inlineStr">
        <is>
          <t>A Baker</t>
        </is>
      </c>
      <c r="F452" t="n">
        <v>4</v>
      </c>
      <c r="G452" t="n">
        <v>3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inlineStr">
        <is>
          <t>K_S play#54 (Seq Strike3 swinging — T MacKenzie pitching, Flag#12); SAC fly play#22 (T3, RBI: S Tong scores — only GLNL RBI this game); FC play#37 (T5): C Lease out; B Conlon+S Tong score on J Martin E — no RBI for A Baker (runs on error, Flag#11); scored on A Nazelrod E reach (play#38, T5)</t>
        </is>
      </c>
    </row>
    <row r="453">
      <c r="A453" t="inlineStr">
        <is>
          <t>2026-03-31_GLNL_at_ATHL</t>
        </is>
      </c>
      <c r="B453" s="10" t="n">
        <v>46112</v>
      </c>
      <c r="C453" t="inlineStr">
        <is>
          <t>ATHL</t>
        </is>
      </c>
      <c r="D453" t="inlineStr">
        <is>
          <t>GLNL</t>
        </is>
      </c>
      <c r="E453" t="inlineStr">
        <is>
          <t>A Nazelrod</t>
        </is>
      </c>
      <c r="F453" t="n">
        <v>4</v>
      </c>
      <c r="G453" t="n">
        <v>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inlineStr">
        <is>
          <t>FO play#11 (T2, foul territory); FC play#23 (T3 — B Conlon out advancing; Flag#10); E reach play#38 (T5) — not H; A Baker scores on this error; stranded; LO play#55 (T7)</t>
        </is>
      </c>
    </row>
    <row r="454">
      <c r="A454" t="inlineStr">
        <is>
          <t>2026-03-31_GLNL_at_ATHL</t>
        </is>
      </c>
      <c r="B454" s="10" t="n">
        <v>46112</v>
      </c>
      <c r="C454" t="inlineStr">
        <is>
          <t>ATHL</t>
        </is>
      </c>
      <c r="D454" t="inlineStr">
        <is>
          <t>GLNL</t>
        </is>
      </c>
      <c r="E454" t="inlineStr">
        <is>
          <t>E Laprise</t>
        </is>
      </c>
      <c r="F454" t="n">
        <v>2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>
        <is>
          <t>BB play#12 (T2); adv 2B on DI (play#13 embedded, Flag#8); stranded; K_S play#27 (Seq Strike3 swinging); replaced by J Miles (play#39, T5)</t>
        </is>
      </c>
    </row>
    <row r="455">
      <c r="A455" t="inlineStr">
        <is>
          <t>2026-03-31_GLNL_at_ATHL</t>
        </is>
      </c>
      <c r="B455" s="10" t="n">
        <v>46112</v>
      </c>
      <c r="C455" t="inlineStr">
        <is>
          <t>ATHL</t>
        </is>
      </c>
      <c r="D455" t="inlineStr">
        <is>
          <t>GLNL</t>
        </is>
      </c>
      <c r="E455" t="inlineStr">
        <is>
          <t>G Melhuish</t>
        </is>
      </c>
      <c r="F455" t="n">
        <v>3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inlineStr">
        <is>
          <t>K_S play#13 — dropped 3rd WP (reaches, Flag#7; Seq Strike3 swinging); B Conlon scores on this WP; adv 2B on DI (play#14 embedded, Flag#8); FO play#28 (T4); BB play#45 (T6); CR P Moreau in for G Melhuish (play#46 seq); P Moreau scores on WP (play#48); R credited to G Melhuish per CR</t>
        </is>
      </c>
    </row>
    <row r="456">
      <c r="A456" t="inlineStr">
        <is>
          <t>2026-03-31_GLNL_at_ATHL</t>
        </is>
      </c>
      <c r="B456" s="10" t="n">
        <v>46112</v>
      </c>
      <c r="C456" t="inlineStr">
        <is>
          <t>ATHL</t>
        </is>
      </c>
      <c r="D456" t="inlineStr">
        <is>
          <t>GLNL</t>
        </is>
      </c>
      <c r="E456" t="inlineStr">
        <is>
          <t>G Knauss</t>
        </is>
      </c>
      <c r="F456" t="n">
        <v>3</v>
      </c>
      <c r="G456" t="n">
        <v>3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>
        <is>
          <t>K_L play#14 (Seq Strike3 looking); K_S play#29 (Seq Strike3 swinging); 1B bunt play#46 (T6); adv 3B on WP (play#48 embedded); out at home attempting to score after tag-up on S Tong fly-into-DP (play#48 — not a CS; baserunning out on tag-up); Flag#4</t>
        </is>
      </c>
    </row>
    <row r="457">
      <c r="A457" t="inlineStr">
        <is>
          <t>2026-03-31_GLNL_at_ATHL</t>
        </is>
      </c>
      <c r="B457" s="10" t="n">
        <v>46112</v>
      </c>
      <c r="C457" t="inlineStr">
        <is>
          <t>ATHL</t>
        </is>
      </c>
      <c r="D457" t="inlineStr">
        <is>
          <t>GLNL</t>
        </is>
      </c>
      <c r="E457" t="inlineStr">
        <is>
          <t>J Miles</t>
        </is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inlineStr">
        <is>
          <t>Mid-AB entry for batter E Laprise (play#39 seq, T5); FO play#39</t>
        </is>
      </c>
    </row>
    <row r="458">
      <c r="A458" t="inlineStr">
        <is>
          <t>2026-03-31_GLNL_at_ATHL</t>
        </is>
      </c>
      <c r="B458" s="10" t="n">
        <v>46112</v>
      </c>
      <c r="C458" t="inlineStr">
        <is>
          <t>GLNL</t>
        </is>
      </c>
      <c r="D458" t="inlineStr">
        <is>
          <t>ATHL</t>
        </is>
      </c>
      <c r="E458" t="inlineStr">
        <is>
          <t>J Dailey</t>
        </is>
      </c>
      <c r="F458" t="n">
        <v>3</v>
      </c>
      <c r="G458" t="n">
        <v>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inlineStr">
        <is>
          <t>2026-03-31_GLNL_at_ATHL</t>
        </is>
      </c>
      <c r="B459" s="10" t="n">
        <v>46112</v>
      </c>
      <c r="C459" t="inlineStr">
        <is>
          <t>GLNL</t>
        </is>
      </c>
      <c r="D459" t="inlineStr">
        <is>
          <t>ATHL</t>
        </is>
      </c>
      <c r="E459" t="inlineStr">
        <is>
          <t>J Martin</t>
        </is>
      </c>
      <c r="F459" t="n">
        <v>3</v>
      </c>
      <c r="G459" t="n">
        <v>3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</v>
      </c>
      <c r="U459" t="n">
        <v>0</v>
      </c>
      <c r="V459" t="n">
        <v>0</v>
      </c>
      <c r="W459" t="n">
        <v>0</v>
      </c>
      <c r="X459" t="n">
        <v>0</v>
      </c>
      <c r="Y459" t="inlineStr">
        <is>
          <t>1B play#5 (B1); SB 2nd play#6 embedded + SB 3rd play#6 embedded (2 SBs in one AB, Flag#6); stranded B1; also 3B — E play#37 (Top 5th)</t>
        </is>
      </c>
    </row>
    <row r="460">
      <c r="A460" t="inlineStr">
        <is>
          <t>2026-03-31_GLNL_at_ATHL</t>
        </is>
      </c>
      <c r="B460" s="10" t="n">
        <v>46112</v>
      </c>
      <c r="C460" t="inlineStr">
        <is>
          <t>GLNL</t>
        </is>
      </c>
      <c r="D460" t="inlineStr">
        <is>
          <t>ATHL</t>
        </is>
      </c>
      <c r="E460" t="inlineStr">
        <is>
          <t>N Weinig</t>
        </is>
      </c>
      <c r="F460" t="n">
        <v>3</v>
      </c>
      <c r="G460" t="n">
        <v>3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>
        <is>
          <t>K_S play#6 (Seq Strike3 swinging)</t>
        </is>
      </c>
    </row>
    <row r="461">
      <c r="A461" t="inlineStr">
        <is>
          <t>2026-03-31_GLNL_at_ATHL</t>
        </is>
      </c>
      <c r="B461" s="10" t="n">
        <v>46112</v>
      </c>
      <c r="C461" t="inlineStr">
        <is>
          <t>GLNL</t>
        </is>
      </c>
      <c r="D461" t="inlineStr">
        <is>
          <t>ATHL</t>
        </is>
      </c>
      <c r="E461" t="inlineStr">
        <is>
          <t>T MacKenzie</t>
        </is>
      </c>
      <c r="F461" t="n">
        <v>3</v>
      </c>
      <c r="G461" t="n">
        <v>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inlineStr">
        <is>
          <t>BB play#7 (B1); K_L play#31 (Seq Strike3 looking); also ATHL pitcher T7 (inferred from play#54, Flag#12)</t>
        </is>
      </c>
    </row>
    <row r="462">
      <c r="A462" t="inlineStr">
        <is>
          <t>2026-03-31_GLNL_at_ATHL</t>
        </is>
      </c>
      <c r="B462" s="10" t="n">
        <v>46112</v>
      </c>
      <c r="C462" t="inlineStr">
        <is>
          <t>GLNL</t>
        </is>
      </c>
      <c r="D462" t="inlineStr">
        <is>
          <t>ATHL</t>
        </is>
      </c>
      <c r="E462" t="inlineStr">
        <is>
          <t>L Conroy</t>
        </is>
      </c>
      <c r="F462" t="n">
        <v>3</v>
      </c>
      <c r="G462" t="n">
        <v>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2</v>
      </c>
      <c r="P462" t="n">
        <v>0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inlineStr">
        <is>
          <t>K_S play#8 (Seq Strike3 swinging); K_S play#56 (Seq Strike3 swinging)</t>
        </is>
      </c>
    </row>
    <row r="463">
      <c r="A463" t="inlineStr">
        <is>
          <t>2026-03-31_GLNL_at_ATHL</t>
        </is>
      </c>
      <c r="B463" s="10" t="n">
        <v>46112</v>
      </c>
      <c r="C463" t="inlineStr">
        <is>
          <t>GLNL</t>
        </is>
      </c>
      <c r="D463" t="inlineStr">
        <is>
          <t>ATHL</t>
        </is>
      </c>
      <c r="E463" t="inlineStr">
        <is>
          <t>J Whiting</t>
        </is>
      </c>
      <c r="F463" t="n">
        <v>3</v>
      </c>
      <c r="G463" t="n">
        <v>3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</v>
      </c>
      <c r="P463" t="n">
        <v>0</v>
      </c>
      <c r="Q463" t="n">
        <v>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>
        <is>
          <t>K_S play#15 (Seq Strike3 swinging); K_S play#40 (Seq Strike3 swinging); 1B play#57 (B7); adv 3B on PB (play#59 embedded); stranded; also SS — E play#38 (Top 5th)</t>
        </is>
      </c>
    </row>
    <row r="464">
      <c r="A464" t="inlineStr">
        <is>
          <t>2026-03-31_GLNL_at_ATHL</t>
        </is>
      </c>
      <c r="B464" s="10" t="n">
        <v>46112</v>
      </c>
      <c r="C464" t="inlineStr">
        <is>
          <t>GLNL</t>
        </is>
      </c>
      <c r="D464" t="inlineStr">
        <is>
          <t>ATHL</t>
        </is>
      </c>
      <c r="E464" t="inlineStr">
        <is>
          <t>N Brewer</t>
        </is>
      </c>
      <c r="F464" t="n">
        <v>3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>
        <is>
          <t>BB play#41 (B5); BB play#58 (B7 — M Kirk pitcher, documented play#58 seq); adv 2B on PB (play#59 embedded); stranded</t>
        </is>
      </c>
    </row>
    <row r="465">
      <c r="A465" t="inlineStr">
        <is>
          <t>2026-03-31_GLNL_at_ATHL</t>
        </is>
      </c>
      <c r="B465" s="10" t="n">
        <v>46112</v>
      </c>
      <c r="C465" t="inlineStr">
        <is>
          <t>GLNL</t>
        </is>
      </c>
      <c r="D465" t="inlineStr">
        <is>
          <t>ATHL</t>
        </is>
      </c>
      <c r="E465" t="inlineStr">
        <is>
          <t>W Martin</t>
        </is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inlineStr">
        <is>
          <t>K_S play#17 (Seq Strike3 swinging); replaced mid-AB by B Skaggs (play#42 seq, B5); AB credited to W Martin only for play#17 appearance; also 2B — E play#21 (Top 3rd)</t>
        </is>
      </c>
    </row>
    <row r="466">
      <c r="A466" t="inlineStr">
        <is>
          <t>2026-03-31_GLNL_at_ATHL</t>
        </is>
      </c>
      <c r="B466" s="10" t="n">
        <v>46112</v>
      </c>
      <c r="C466" t="inlineStr">
        <is>
          <t>GLNL</t>
        </is>
      </c>
      <c r="D466" t="inlineStr">
        <is>
          <t>ATHL</t>
        </is>
      </c>
      <c r="E466" t="inlineStr">
        <is>
          <t>A Chutka</t>
        </is>
      </c>
      <c r="F466" t="n">
        <v>3</v>
      </c>
      <c r="G466" t="n">
        <v>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BB play#43 (B5); stranded</t>
        </is>
      </c>
    </row>
    <row r="467">
      <c r="A467" t="inlineStr">
        <is>
          <t>2026-03-31_GLNL_at_ATHL</t>
        </is>
      </c>
      <c r="B467" s="10" t="n">
        <v>46112</v>
      </c>
      <c r="C467" t="inlineStr">
        <is>
          <t>GLNL</t>
        </is>
      </c>
      <c r="D467" t="inlineStr">
        <is>
          <t>ATHL</t>
        </is>
      </c>
      <c r="E467" t="inlineStr">
        <is>
          <t>B Skaggs</t>
        </is>
      </c>
      <c r="F467" t="n">
        <v>2</v>
      </c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inlineStr">
        <is>
          <t>Entered mid-AB for W Martin (play#42 seq, B5); K_S play#42 (Seq Strike3 swinging); K_S play#59 (Seq Strike3 swinging — M Kirk pitcher, Flag#3 duplicate lineup note)</t>
        </is>
      </c>
    </row>
    <row r="468">
      <c r="A468" t="inlineStr">
        <is>
          <t>2026-03-07_HNTN_at_LNGR</t>
        </is>
      </c>
      <c r="B468" s="10" t="n">
        <v>46088</v>
      </c>
      <c r="C468" t="inlineStr">
        <is>
          <t>Long Reach HS</t>
        </is>
      </c>
      <c r="D468" t="inlineStr">
        <is>
          <t>HNTN</t>
        </is>
      </c>
      <c r="E468" t="inlineStr">
        <is>
          <t>R Bolger</t>
        </is>
      </c>
      <c r="F468" t="n">
        <v>5</v>
      </c>
      <c r="G468" t="n">
        <v>5</v>
      </c>
      <c r="H468" t="n">
        <v>2</v>
      </c>
      <c r="I468" t="n">
        <v>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3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inlineStr">
        <is>
          <t>CR E Elliott in T1 (plays #1–2) and T4 (play #45); T1 R credited to R Bolger via McMurray 2B (play #5); T4 CS credited to R Bolger (play #46); RBI plays #15, #29, #44</t>
        </is>
      </c>
    </row>
    <row r="469">
      <c r="A469" t="inlineStr">
        <is>
          <t>2026-03-07_HNTN_at_LNGR</t>
        </is>
      </c>
      <c r="B469" s="10" t="n">
        <v>46088</v>
      </c>
      <c r="C469" t="inlineStr">
        <is>
          <t>Long Reach HS</t>
        </is>
      </c>
      <c r="D469" t="inlineStr">
        <is>
          <t>HNTN</t>
        </is>
      </c>
      <c r="E469" t="inlineStr">
        <is>
          <t>J Hann</t>
        </is>
      </c>
      <c r="F469" t="n">
        <v>4</v>
      </c>
      <c r="G469" t="n">
        <v>3</v>
      </c>
      <c r="H469" t="n">
        <v>2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>
        <is>
          <t>HBP T2 (play #16); scores on R Gaetano 2B play #18; incomplete AB T7 not counted (play #67, Flag #4)</t>
        </is>
      </c>
    </row>
    <row r="470">
      <c r="A470" t="inlineStr">
        <is>
          <t>2026-03-07_HNTN_at_LNGR</t>
        </is>
      </c>
      <c r="B470" s="10" t="n">
        <v>46088</v>
      </c>
      <c r="C470" t="inlineStr">
        <is>
          <t>Long Reach HS</t>
        </is>
      </c>
      <c r="D470" t="inlineStr">
        <is>
          <t>HNTN</t>
        </is>
      </c>
      <c r="E470" t="inlineStr">
        <is>
          <t>J Cadden</t>
        </is>
      </c>
      <c r="F470" t="n">
        <v>4</v>
      </c>
      <c r="G470" t="n">
        <v>2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2</v>
      </c>
      <c r="N470" t="n">
        <v>0</v>
      </c>
      <c r="O470" t="n">
        <v>0</v>
      </c>
      <c r="P470" t="n">
        <v>0</v>
      </c>
      <c r="Q470" t="n">
        <v>0</v>
      </c>
      <c r="R470" t="n">
        <v>3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inlineStr">
        <is>
          <t>SB T4 embedded in R Gaetano AB play #38; scores T1 play #5, T2 play #18, T4 play #39</t>
        </is>
      </c>
    </row>
    <row r="471">
      <c r="A471" t="inlineStr">
        <is>
          <t>2026-03-07_HNTN_at_LNGR</t>
        </is>
      </c>
      <c r="B471" s="10" t="n">
        <v>46088</v>
      </c>
      <c r="C471" t="inlineStr">
        <is>
          <t>Long Reach HS</t>
        </is>
      </c>
      <c r="D471" t="inlineStr">
        <is>
          <t>HNTN</t>
        </is>
      </c>
      <c r="E471" t="inlineStr">
        <is>
          <t>R Gaetano</t>
        </is>
      </c>
      <c r="F471" t="n">
        <v>4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3</v>
      </c>
      <c r="N471" t="n">
        <v>0</v>
      </c>
      <c r="O471" t="n">
        <v>0</v>
      </c>
      <c r="P471" t="n">
        <v>0</v>
      </c>
      <c r="Q471" t="n">
        <v>0</v>
      </c>
      <c r="R471" t="n">
        <v>2</v>
      </c>
      <c r="S471" t="n">
        <v>3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>
        <is>
          <t>2B T2 play #18 drives in J Cadden, G Grimes, J Hann (3 RBI); T4 R via unspecified mechanism during B Marlowe AB — no RBI (Flag #13); pickoff at 1B T5 Runner Out play #55 (not a PA)</t>
        </is>
      </c>
    </row>
    <row r="472">
      <c r="A472" t="inlineStr">
        <is>
          <t>2026-03-07_HNTN_at_LNGR</t>
        </is>
      </c>
      <c r="B472" s="10" t="n">
        <v>46088</v>
      </c>
      <c r="C472" t="inlineStr">
        <is>
          <t>Long Reach HS</t>
        </is>
      </c>
      <c r="D472" t="inlineStr">
        <is>
          <t>HNTN</t>
        </is>
      </c>
      <c r="E472" t="inlineStr">
        <is>
          <t>N McMurray</t>
        </is>
      </c>
      <c r="F472" t="n">
        <v>4</v>
      </c>
      <c r="G472" t="n">
        <v>4</v>
      </c>
      <c r="H472" t="n">
        <v>2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4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inlineStr">
        <is>
          <t>2B T1 play #5 scores R Gaetano, E Elliott (CR-R Bolger), J Cadden (3 RBI); 1B T4 play #39 scores J Cadden (1 RBI); scores T4 on B Marlowe single play #41; also pitches B1–B2</t>
        </is>
      </c>
    </row>
    <row r="473">
      <c r="A473" t="inlineStr">
        <is>
          <t>2026-03-07_HNTN_at_LNGR</t>
        </is>
      </c>
      <c r="B473" s="10" t="n">
        <v>46088</v>
      </c>
      <c r="C473" t="inlineStr">
        <is>
          <t>Long Reach HS</t>
        </is>
      </c>
      <c r="D473" t="inlineStr">
        <is>
          <t>HNTN</t>
        </is>
      </c>
      <c r="E473" t="inlineStr">
        <is>
          <t>C Wargo</t>
        </is>
      </c>
      <c r="F473" t="n">
        <v>3</v>
      </c>
      <c r="G473" t="n">
        <v>3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inlineStr">
        <is>
          <t>SB T4 embedded in B Marlowe AB play #41; reaches on LNGR error T4 play #40 (no H); replaced by J Walter PH T6 play #59</t>
        </is>
      </c>
    </row>
    <row r="474">
      <c r="A474" t="inlineStr">
        <is>
          <t>2026-03-07_HNTN_at_LNGR</t>
        </is>
      </c>
      <c r="B474" s="10" t="n">
        <v>46088</v>
      </c>
      <c r="C474" t="inlineStr">
        <is>
          <t>Long Reach HS</t>
        </is>
      </c>
      <c r="D474" t="inlineStr">
        <is>
          <t>HNTN</t>
        </is>
      </c>
      <c r="E474" t="inlineStr">
        <is>
          <t>L Bennett</t>
        </is>
      </c>
      <c r="F474" t="n">
        <v>3</v>
      </c>
      <c r="G474" t="n">
        <v>3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inlineStr">
        <is>
          <t>K_L T2 play #12; SB T3 embedded in J Laur AB play #27; scores T3 on G Grimes 2B play #28; replaced by B Marlowe PH T4 play #41</t>
        </is>
      </c>
    </row>
    <row r="475">
      <c r="A475" t="inlineStr">
        <is>
          <t>2026-03-07_HNTN_at_LNGR</t>
        </is>
      </c>
      <c r="B475" s="10" t="n">
        <v>46088</v>
      </c>
      <c r="C475" t="inlineStr">
        <is>
          <t>Long Reach HS</t>
        </is>
      </c>
      <c r="D475" t="inlineStr">
        <is>
          <t>HNTN</t>
        </is>
      </c>
      <c r="E475" t="inlineStr">
        <is>
          <t>J Laur</t>
        </is>
      </c>
      <c r="F475" t="n">
        <v>3</v>
      </c>
      <c r="G475" t="n">
        <v>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inlineStr">
        <is>
          <t>Scores T2 on R Bolger GO play #15; RBI plays #27 (C Wargo scores) and #42 (C Wargo tags up); replaced by R Kessler PH T6 play #61</t>
        </is>
      </c>
    </row>
    <row r="476">
      <c r="A476" t="inlineStr">
        <is>
          <t>2026-03-07_HNTN_at_LNGR</t>
        </is>
      </c>
      <c r="B476" s="10" t="n">
        <v>46088</v>
      </c>
      <c r="C476" t="inlineStr">
        <is>
          <t>Long Reach HS</t>
        </is>
      </c>
      <c r="D476" t="inlineStr">
        <is>
          <t>HNTN</t>
        </is>
      </c>
      <c r="E476" t="inlineStr">
        <is>
          <t>G Grimes</t>
        </is>
      </c>
      <c r="F476" t="n">
        <v>3</v>
      </c>
      <c r="G476" t="n">
        <v>3</v>
      </c>
      <c r="H476" t="n">
        <v>2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2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inlineStr">
        <is>
          <t>K_S T4 play #43; single play #14 recorded on fly ball (Flag #9); RBI play #28 (L Bennett scores); replaced by J Fields PH T6 play #62</t>
        </is>
      </c>
    </row>
    <row r="477">
      <c r="A477" t="inlineStr">
        <is>
          <t>2026-03-07_HNTN_at_LNGR</t>
        </is>
      </c>
      <c r="B477" s="10" t="n">
        <v>46088</v>
      </c>
      <c r="C477" t="inlineStr">
        <is>
          <t>Long Reach HS</t>
        </is>
      </c>
      <c r="D477" t="inlineStr">
        <is>
          <t>HNTN</t>
        </is>
      </c>
      <c r="E477" t="inlineStr">
        <is>
          <t>B Marlowe</t>
        </is>
      </c>
      <c r="F477" t="n">
        <v>2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>
        <is>
          <t>PH for L Bennett T4 play #41; 1B scores N McMurray (1 RBI); R Gaetano run same AB not credited as RBI — unspecified mechanism Flag #13; CR J Fields in T4 play #42; J Fields' R credited to B Marlowe (play #44); also pitches B3–B4</t>
        </is>
      </c>
    </row>
    <row r="478">
      <c r="A478" t="inlineStr">
        <is>
          <t>2026-03-07_HNTN_at_LNGR</t>
        </is>
      </c>
      <c r="B478" s="10" t="n">
        <v>46088</v>
      </c>
      <c r="C478" t="inlineStr">
        <is>
          <t>Long Reach HS</t>
        </is>
      </c>
      <c r="D478" t="inlineStr">
        <is>
          <t>HNTN</t>
        </is>
      </c>
      <c r="E478" t="inlineStr">
        <is>
          <t>J Walter</t>
        </is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>
        <is>
          <t>PH for C Wargo T6 play #59; advances to 2nd on WP during B Marlowe AB play #60; does not score</t>
        </is>
      </c>
    </row>
    <row r="479">
      <c r="A479" t="inlineStr">
        <is>
          <t>2026-03-07_HNTN_at_LNGR</t>
        </is>
      </c>
      <c r="B479" s="10" t="n">
        <v>46088</v>
      </c>
      <c r="C479" t="inlineStr">
        <is>
          <t>Long Reach HS</t>
        </is>
      </c>
      <c r="D479" t="inlineStr">
        <is>
          <t>HNTN</t>
        </is>
      </c>
      <c r="E479" t="inlineStr">
        <is>
          <t>R Kessler</t>
        </is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>
        <is>
          <t>PH for J Laur T6 play #61 (Flag #10); also active pitcher B5–B6</t>
        </is>
      </c>
    </row>
    <row r="480">
      <c r="A480" t="inlineStr">
        <is>
          <t>2026-03-07_HNTN_at_LNGR</t>
        </is>
      </c>
      <c r="B480" s="10" t="n">
        <v>46088</v>
      </c>
      <c r="C480" t="inlineStr">
        <is>
          <t>Long Reach HS</t>
        </is>
      </c>
      <c r="D480" t="inlineStr">
        <is>
          <t>HNTN</t>
        </is>
      </c>
      <c r="E480" t="inlineStr">
        <is>
          <t>J Fields</t>
        </is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inlineStr">
        <is>
          <t>PH for G Grimes T6 play #62; CR for B Marlowe T4 play #42 — R scored play #44 credited to B Marlowe, not J Fields</t>
        </is>
      </c>
    </row>
    <row r="481">
      <c r="A481" t="inlineStr">
        <is>
          <t>2026-03-07_HNTN_at_LNGR</t>
        </is>
      </c>
      <c r="B481" s="10" t="n">
        <v>46088</v>
      </c>
      <c r="C481" t="inlineStr">
        <is>
          <t>Huntingtown Varsity Hurricanes</t>
        </is>
      </c>
      <c r="D481" t="inlineStr">
        <is>
          <t>LNGR</t>
        </is>
      </c>
      <c r="E481" t="inlineStr">
        <is>
          <t>LNGR_#2</t>
        </is>
      </c>
      <c r="F481" t="n">
        <v>3</v>
      </c>
      <c r="G481" t="n">
        <v>3</v>
      </c>
      <c r="H481" t="n">
        <v>2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>
        <is>
          <t>Solo HR B1 play #8 (1 RBI); CR LNGR_#16 in for #2 at B3 play #36 — #16 did not score; also pitches T3 per play log</t>
        </is>
      </c>
    </row>
    <row r="482">
      <c r="A482" t="inlineStr">
        <is>
          <t>2026-03-07_HNTN_at_LNGR</t>
        </is>
      </c>
      <c r="B482" s="10" t="n">
        <v>46088</v>
      </c>
      <c r="C482" t="inlineStr">
        <is>
          <t>Huntingtown Varsity Hurricanes</t>
        </is>
      </c>
      <c r="D482" t="inlineStr">
        <is>
          <t>LNGR</t>
        </is>
      </c>
      <c r="E482" t="inlineStr">
        <is>
          <t>LNGR_#3</t>
        </is>
      </c>
      <c r="F482" t="n">
        <v>2</v>
      </c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inlineStr">
        <is>
          <t>K_S B1 play #9; also pitches T3 per play log</t>
        </is>
      </c>
    </row>
    <row r="483">
      <c r="A483" t="inlineStr">
        <is>
          <t>2026-03-07_HNTN_at_LNGR</t>
        </is>
      </c>
      <c r="B483" s="10" t="n">
        <v>46088</v>
      </c>
      <c r="C483" t="inlineStr">
        <is>
          <t>Huntingtown Varsity Hurricanes</t>
        </is>
      </c>
      <c r="D483" t="inlineStr">
        <is>
          <t>LNGR</t>
        </is>
      </c>
      <c r="E483" t="inlineStr">
        <is>
          <t>LNGR_#7</t>
        </is>
      </c>
      <c r="F483" t="n">
        <v>2</v>
      </c>
      <c r="G483" t="n">
        <v>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2</v>
      </c>
      <c r="P483" t="n">
        <v>2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>
        <is>
          <t>K_L B1 play #10, K_L B4 play #47; also pitches T1–T2 per play log</t>
        </is>
      </c>
    </row>
    <row r="484">
      <c r="A484" t="inlineStr">
        <is>
          <t>2026-03-07_HNTN_at_LNGR</t>
        </is>
      </c>
      <c r="B484" s="10" t="n">
        <v>46088</v>
      </c>
      <c r="C484" t="inlineStr">
        <is>
          <t>Huntingtown Varsity Hurricanes</t>
        </is>
      </c>
      <c r="D484" t="inlineStr">
        <is>
          <t>LNGR</t>
        </is>
      </c>
      <c r="E484" t="inlineStr">
        <is>
          <t>LNGR_#17</t>
        </is>
      </c>
      <c r="F484" t="n">
        <v>2</v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>
        <is>
          <t>Reaches on HNTN error B4 play #48 (no H); also pitches T4 — entry inferred, Flag #5</t>
        </is>
      </c>
    </row>
    <row r="485">
      <c r="A485" t="inlineStr">
        <is>
          <t>2026-03-07_HNTN_at_LNGR</t>
        </is>
      </c>
      <c r="B485" s="10" t="n">
        <v>46088</v>
      </c>
      <c r="C485" t="inlineStr">
        <is>
          <t>Huntingtown Varsity Hurricanes</t>
        </is>
      </c>
      <c r="D485" t="inlineStr">
        <is>
          <t>LNGR</t>
        </is>
      </c>
      <c r="E485" t="inlineStr">
        <is>
          <t>LNGR_#15</t>
        </is>
      </c>
      <c r="F485" t="n">
        <v>2</v>
      </c>
      <c r="G485" t="n">
        <v>2</v>
      </c>
      <c r="H485" t="n">
        <v>2</v>
      </c>
      <c r="I485" t="n">
        <v>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>
        <is>
          <t>Scores B2 on WP during #1 AB play #24; also pitches T6 — entry inferred, Flag #6</t>
        </is>
      </c>
    </row>
    <row r="486">
      <c r="A486" t="inlineStr">
        <is>
          <t>2026-03-07_HNTN_at_LNGR</t>
        </is>
      </c>
      <c r="B486" s="10" t="n">
        <v>46088</v>
      </c>
      <c r="C486" t="inlineStr">
        <is>
          <t>Huntingtown Varsity Hurricanes</t>
        </is>
      </c>
      <c r="D486" t="inlineStr">
        <is>
          <t>LNGR</t>
        </is>
      </c>
      <c r="E486" t="inlineStr">
        <is>
          <t>LNGR_#23</t>
        </is>
      </c>
      <c r="F486" t="n">
        <v>2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>
        <is>
          <t>Scores B2 on WP during own AB play #24; K_L B4 play #50; error by LNGR_#23 at 1B play #40</t>
        </is>
      </c>
    </row>
    <row r="487">
      <c r="A487" t="inlineStr">
        <is>
          <t>2026-03-07_HNTN_at_LNGR</t>
        </is>
      </c>
      <c r="B487" s="10" t="n">
        <v>46088</v>
      </c>
      <c r="C487" t="inlineStr">
        <is>
          <t>Huntingtown Varsity Hurricanes</t>
        </is>
      </c>
      <c r="D487" t="inlineStr">
        <is>
          <t>LNGR</t>
        </is>
      </c>
      <c r="E487" t="inlineStr">
        <is>
          <t>LNGR_#22</t>
        </is>
      </c>
      <c r="F487" t="n">
        <v>2</v>
      </c>
      <c r="G487" t="n">
        <v>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>
        <is>
          <t>Fly outs B2 play #22 and B4 play #51</t>
        </is>
      </c>
    </row>
    <row r="488">
      <c r="A488" t="inlineStr">
        <is>
          <t>2026-03-07_HNTN_at_LNGR</t>
        </is>
      </c>
      <c r="B488" s="10" t="n">
        <v>46088</v>
      </c>
      <c r="C488" t="inlineStr">
        <is>
          <t>Huntingtown Varsity Hurricanes</t>
        </is>
      </c>
      <c r="D488" t="inlineStr">
        <is>
          <t>LNGR</t>
        </is>
      </c>
      <c r="E488" t="inlineStr">
        <is>
          <t>LNGR_#19</t>
        </is>
      </c>
      <c r="F488" t="n">
        <v>2</v>
      </c>
      <c r="G488" t="n">
        <v>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>
        <is>
          <t>K_L B2 play #23; GO B5 play #56</t>
        </is>
      </c>
    </row>
    <row r="489">
      <c r="A489" t="inlineStr">
        <is>
          <t>2026-03-07_HNTN_at_LNGR</t>
        </is>
      </c>
      <c r="B489" s="10" t="n">
        <v>46088</v>
      </c>
      <c r="C489" t="inlineStr">
        <is>
          <t>Huntingtown Varsity Hurricanes</t>
        </is>
      </c>
      <c r="D489" t="inlineStr">
        <is>
          <t>LNGR</t>
        </is>
      </c>
      <c r="E489" t="inlineStr">
        <is>
          <t>LNGR_#1</t>
        </is>
      </c>
      <c r="F489" t="n">
        <v>2</v>
      </c>
      <c r="G489" t="n">
        <v>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inlineStr">
        <is>
          <t>Fly out B2 play #24 — 2 runs scored via WPs during AB, no RBI; GO B5 play #57</t>
        </is>
      </c>
    </row>
    <row r="490">
      <c r="A490" t="inlineStr">
        <is>
          <t>2026-03-07_HNTN_at_LNGR</t>
        </is>
      </c>
      <c r="B490" s="10" t="n">
        <v>46088</v>
      </c>
      <c r="C490" t="inlineStr">
        <is>
          <t>Huntingtown Varsity Hurricanes</t>
        </is>
      </c>
      <c r="D490" t="inlineStr">
        <is>
          <t>LNGR</t>
        </is>
      </c>
      <c r="E490" t="inlineStr">
        <is>
          <t>LNGR_#21</t>
        </is>
      </c>
      <c r="F490" t="n">
        <v>2</v>
      </c>
      <c r="G490" t="n">
        <v>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2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>
        <is>
          <t>K_S B3 play #32; K_L B5 play #58</t>
        </is>
      </c>
    </row>
    <row r="491">
      <c r="A491" t="inlineStr">
        <is>
          <t>2026-03-07_HNTN_at_LNGR</t>
        </is>
      </c>
      <c r="B491" s="10" t="n">
        <v>46088</v>
      </c>
      <c r="C491" t="inlineStr">
        <is>
          <t>Huntingtown Varsity Hurricanes</t>
        </is>
      </c>
      <c r="D491" t="inlineStr">
        <is>
          <t>LNGR</t>
        </is>
      </c>
      <c r="E491" t="inlineStr">
        <is>
          <t>LNGR_#16</t>
        </is>
      </c>
      <c r="F491" t="n">
        <v>2</v>
      </c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inlineStr">
        <is>
          <t>K_S B3 play #33; CR for LNGR_#2 B3 play #36 (no R scored as CR); GO B6 play #64</t>
        </is>
      </c>
    </row>
    <row r="492">
      <c r="A492" t="inlineStr">
        <is>
          <t>2026-03-07_HNTN_at_LNGR</t>
        </is>
      </c>
      <c r="B492" s="10" t="n">
        <v>46088</v>
      </c>
      <c r="C492" t="inlineStr">
        <is>
          <t>Huntingtown Varsity Hurricanes</t>
        </is>
      </c>
      <c r="D492" t="inlineStr">
        <is>
          <t>LNGR</t>
        </is>
      </c>
      <c r="E492" t="inlineStr">
        <is>
          <t>LNGR_#4</t>
        </is>
      </c>
      <c r="F492" t="n">
        <v>2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inlineStr">
        <is>
          <t>Walk B3 play #34; K_S (foul tip) B6 play #65; also pitches T5 per play log</t>
        </is>
      </c>
    </row>
    <row r="493">
      <c r="A493" t="inlineStr">
        <is>
          <t>2026-03-14_KNTS_at_HNTN</t>
        </is>
      </c>
      <c r="B493" s="10" t="n">
        <v>46095</v>
      </c>
      <c r="C493" t="inlineStr">
        <is>
          <t>Kent Island HS</t>
        </is>
      </c>
      <c r="D493" t="inlineStr">
        <is>
          <t>HNTN</t>
        </is>
      </c>
      <c r="E493" t="inlineStr">
        <is>
          <t>N McMurray</t>
        </is>
      </c>
      <c r="F493" t="n">
        <v>3</v>
      </c>
      <c r="G493" t="n">
        <v>3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inlineStr">
        <is>
          <t>Doubles B1 play #5; scores B1 on J Cadden single play #7; scores B2 on KNTS error by 2B #3 during J Hann AB play #18 — no RBI for J Hann (run on error); K_L B4 play #37; FC B2 play #17; also pitches B1–B2 per prior game context</t>
        </is>
      </c>
    </row>
    <row r="494">
      <c r="A494" t="inlineStr">
        <is>
          <t>2026-03-14_KNTS_at_HNTN</t>
        </is>
      </c>
      <c r="B494" s="10" t="n">
        <v>46095</v>
      </c>
      <c r="C494" t="inlineStr">
        <is>
          <t>Kent Island HS</t>
        </is>
      </c>
      <c r="D494" t="inlineStr">
        <is>
          <t>HNTN</t>
        </is>
      </c>
      <c r="E494" t="inlineStr">
        <is>
          <t>J Hann</t>
        </is>
      </c>
      <c r="F494" t="n">
        <v>3</v>
      </c>
      <c r="G494" t="n">
        <v>2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inlineStr">
        <is>
          <t>Walk B1 play #6; single B2 play #18 (run scores on error, no RBI); scores B1 on T Burghard single play #9; scores B2 on WP during R Gaetano K play #20; GO B4 play #38</t>
        </is>
      </c>
    </row>
    <row r="495">
      <c r="A495" t="inlineStr">
        <is>
          <t>2026-03-14_KNTS_at_HNTN</t>
        </is>
      </c>
      <c r="B495" s="10" t="n">
        <v>46095</v>
      </c>
      <c r="C495" t="inlineStr">
        <is>
          <t>Kent Island HS</t>
        </is>
      </c>
      <c r="D495" t="inlineStr">
        <is>
          <t>HNTN</t>
        </is>
      </c>
      <c r="E495" t="inlineStr">
        <is>
          <t>J Cadden</t>
        </is>
      </c>
      <c r="F495" t="n">
        <v>3</v>
      </c>
      <c r="G495" t="n">
        <v>2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2</v>
      </c>
      <c r="U495" t="n">
        <v>0</v>
      </c>
      <c r="V495" t="n">
        <v>0</v>
      </c>
      <c r="W495" t="n">
        <v>0</v>
      </c>
      <c r="X495" t="n">
        <v>0</v>
      </c>
      <c r="Y495" t="inlineStr">
        <is>
          <t>Single B1 play #7 scores N McMurray (1 RBI); SB B1 embedded in R Gaetano AB play #8; walk B2 play #19; SB B2 embedded in R Gaetano AB play #20; scores B1 on C Wargo sac fly play #10; GO B4 play #39</t>
        </is>
      </c>
    </row>
    <row r="496">
      <c r="A496" t="inlineStr">
        <is>
          <t>2026-03-14_KNTS_at_HNTN</t>
        </is>
      </c>
      <c r="B496" s="10" t="n">
        <v>46095</v>
      </c>
      <c r="C496" t="inlineStr">
        <is>
          <t>Kent Island HS</t>
        </is>
      </c>
      <c r="D496" t="inlineStr">
        <is>
          <t>HNTN</t>
        </is>
      </c>
      <c r="E496" t="inlineStr">
        <is>
          <t>R Gaetano</t>
        </is>
      </c>
      <c r="F496" t="n">
        <v>3</v>
      </c>
      <c r="G496" t="n">
        <v>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2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inlineStr">
        <is>
          <t>K_S B1 play #8; K_L B2 play #20; walk B5 play #50; CR E Elliott in B5 play #51 — E Elliott out in DP, no R for R Gaetano</t>
        </is>
      </c>
    </row>
    <row r="497">
      <c r="A497" t="inlineStr">
        <is>
          <t>2026-03-14_KNTS_at_HNTN</t>
        </is>
      </c>
      <c r="B497" s="10" t="n">
        <v>46095</v>
      </c>
      <c r="C497" t="inlineStr">
        <is>
          <t>Kent Island HS</t>
        </is>
      </c>
      <c r="D497" t="inlineStr">
        <is>
          <t>HNTN</t>
        </is>
      </c>
      <c r="E497" t="inlineStr">
        <is>
          <t>T Burghard</t>
        </is>
      </c>
      <c r="F497" t="n">
        <v>3</v>
      </c>
      <c r="G497" t="n">
        <v>3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inlineStr">
        <is>
          <t>Single B1 play #9 scores J Hann (1 RBI); K_S B3 play #27; GDP B5 play #51 (E Elliott, CR for R Gaetano, is the out on the base paths)</t>
        </is>
      </c>
    </row>
    <row r="498">
      <c r="A498" t="inlineStr">
        <is>
          <t>2026-03-14_KNTS_at_HNTN</t>
        </is>
      </c>
      <c r="B498" s="10" t="n">
        <v>46095</v>
      </c>
      <c r="C498" t="inlineStr">
        <is>
          <t>Kent Island HS</t>
        </is>
      </c>
      <c r="D498" t="inlineStr">
        <is>
          <t>HNTN</t>
        </is>
      </c>
      <c r="E498" t="inlineStr">
        <is>
          <t>C Wargo</t>
        </is>
      </c>
      <c r="F498" t="n">
        <v>3</v>
      </c>
      <c r="G498" t="n">
        <v>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inlineStr">
        <is>
          <t>SAC fly B1 play #10 scores J Cadden (1 RBI) — no AB, no SAC; PO B3 play #28; GO B5 play #52</t>
        </is>
      </c>
    </row>
    <row r="499">
      <c r="A499" t="inlineStr">
        <is>
          <t>2026-03-14_KNTS_at_HNTN</t>
        </is>
      </c>
      <c r="B499" s="10" t="n">
        <v>46095</v>
      </c>
      <c r="C499" t="inlineStr">
        <is>
          <t>Kent Island HS</t>
        </is>
      </c>
      <c r="D499" t="inlineStr">
        <is>
          <t>HNTN</t>
        </is>
      </c>
      <c r="E499" t="inlineStr">
        <is>
          <t>R Kessler</t>
        </is>
      </c>
      <c r="F499" t="n">
        <v>2</v>
      </c>
      <c r="G499" t="n">
        <v>2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inlineStr">
        <is>
          <t>2B B3 play #29; scores on L Montgomery 2B play #30; K_S B1 play #11; also active pitcher T1–T4 (exits mid-T4 during #14 AB play #36)</t>
        </is>
      </c>
    </row>
    <row r="500">
      <c r="A500" t="inlineStr">
        <is>
          <t>2026-03-14_KNTS_at_HNTN</t>
        </is>
      </c>
      <c r="B500" s="10" t="n">
        <v>46095</v>
      </c>
      <c r="C500" t="inlineStr">
        <is>
          <t>Kent Island HS</t>
        </is>
      </c>
      <c r="D500" t="inlineStr">
        <is>
          <t>HNTN</t>
        </is>
      </c>
      <c r="E500" t="inlineStr">
        <is>
          <t>L Montgomery</t>
        </is>
      </c>
      <c r="F500" t="n">
        <v>3</v>
      </c>
      <c r="G500" t="n">
        <v>3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inlineStr">
        <is>
          <t>K_L B2 play #15; 2B B3 play #30 scores R Kessler (1 RBI); GO B6 play #64; error by L Montgomery (3B) at play #35 (Top 4th); L Montgomery advances to 3rd B3 on embedded error by KNTS SS #7 (play #31, Flag #14) but does not score</t>
        </is>
      </c>
    </row>
    <row r="501">
      <c r="A501" t="inlineStr">
        <is>
          <t>2026-03-14_KNTS_at_HNTN</t>
        </is>
      </c>
      <c r="B501" s="10" t="n">
        <v>46095</v>
      </c>
      <c r="C501" t="inlineStr">
        <is>
          <t>Kent Island HS</t>
        </is>
      </c>
      <c r="D501" t="inlineStr">
        <is>
          <t>HNTN</t>
        </is>
      </c>
      <c r="E501" t="inlineStr">
        <is>
          <t>G Grimes</t>
        </is>
      </c>
      <c r="F501" t="n">
        <v>3</v>
      </c>
      <c r="G501" t="n">
        <v>3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>
        <is>
          <t>Single B2 play #16 (recorded on pop fly — Flag #12); K_L B3 play #31; dropped 3rd strike B6 play #65 (out at 1st, K_S per pitch sequence)</t>
        </is>
      </c>
    </row>
    <row r="502">
      <c r="A502" t="inlineStr">
        <is>
          <t>2026-03-14_KNTS_at_HNTN</t>
        </is>
      </c>
      <c r="B502" s="10" t="n">
        <v>46095</v>
      </c>
      <c r="C502" t="inlineStr">
        <is>
          <t>Kent Island HS</t>
        </is>
      </c>
      <c r="D502" t="inlineStr">
        <is>
          <t>HNTN</t>
        </is>
      </c>
      <c r="E502" t="inlineStr">
        <is>
          <t>J Laur</t>
        </is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inlineStr">
        <is>
          <t>PH for J Walter B6 play #63 (Flag #11); K_L per pitch sequence</t>
        </is>
      </c>
    </row>
    <row r="503">
      <c r="A503" t="inlineStr">
        <is>
          <t>2026-03-14_KNTS_at_HNTN</t>
        </is>
      </c>
      <c r="B503" s="10" t="n">
        <v>46095</v>
      </c>
      <c r="C503" t="inlineStr">
        <is>
          <t>Huntingtown Varsity Hurricanes</t>
        </is>
      </c>
      <c r="D503" t="inlineStr">
        <is>
          <t>KNTS</t>
        </is>
      </c>
      <c r="E503" t="inlineStr">
        <is>
          <t>KNTS_#2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>
        <is>
          <t>PH for KNTS_#8 T6 play #60; does not score; base state inconsistency in subsequent plays (Flags #7, #8)</t>
        </is>
      </c>
    </row>
    <row r="504">
      <c r="A504" t="inlineStr">
        <is>
          <t>2026-03-14_KNTS_at_HNTN</t>
        </is>
      </c>
      <c r="B504" s="10" t="n">
        <v>46095</v>
      </c>
      <c r="C504" t="inlineStr">
        <is>
          <t>Huntingtown Varsity Hurricanes</t>
        </is>
      </c>
      <c r="D504" t="inlineStr">
        <is>
          <t>KNTS</t>
        </is>
      </c>
      <c r="E504" t="inlineStr">
        <is>
          <t>KNTS_#3</t>
        </is>
      </c>
      <c r="F504" t="n">
        <v>4</v>
      </c>
      <c r="G504" t="n">
        <v>4</v>
      </c>
      <c r="H504" t="n">
        <v>2</v>
      </c>
      <c r="I504" t="n">
        <v>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3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inlineStr">
        <is>
          <t>CS T1 play #4 (Runner Out); FC T3 play #25 scores #14 (1 RBI); K_L T5 play #43; single T6 play #55 scores #7 and #13 (2 RBI); scores T6 on #11 single play #58</t>
        </is>
      </c>
    </row>
    <row r="505">
      <c r="A505" t="inlineStr">
        <is>
          <t>2026-03-14_KNTS_at_HNTN</t>
        </is>
      </c>
      <c r="B505" s="10" t="n">
        <v>46095</v>
      </c>
      <c r="C505" t="inlineStr">
        <is>
          <t>Huntingtown Varsity Hurricanes</t>
        </is>
      </c>
      <c r="D505" t="inlineStr">
        <is>
          <t>KNTS</t>
        </is>
      </c>
      <c r="E505" t="inlineStr">
        <is>
          <t>KNTS_#7</t>
        </is>
      </c>
      <c r="F505" t="n">
        <v>4</v>
      </c>
      <c r="G505" t="n">
        <v>2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2</v>
      </c>
      <c r="N505" t="n">
        <v>0</v>
      </c>
      <c r="O505" t="n">
        <v>1</v>
      </c>
      <c r="P505" t="n">
        <v>1</v>
      </c>
      <c r="Q505" t="n">
        <v>0</v>
      </c>
      <c r="R505" t="n">
        <v>2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inlineStr">
        <is>
          <t>K_L T1 play #1; walks T3 play #24 and T5 play #42; SB T6 embedded in #3 AB play #55; single T6 play #54; scores T5 on #12 double play #44; scores T6 on #3 single play #55; incomplete AB T7 not counted (Flag #4)</t>
        </is>
      </c>
    </row>
    <row r="506">
      <c r="A506" t="inlineStr">
        <is>
          <t>2026-03-14_KNTS_at_HNTN</t>
        </is>
      </c>
      <c r="B506" s="10" t="n">
        <v>46095</v>
      </c>
      <c r="C506" t="inlineStr">
        <is>
          <t>Huntingtown Varsity Hurricanes</t>
        </is>
      </c>
      <c r="D506" t="inlineStr">
        <is>
          <t>KNTS</t>
        </is>
      </c>
      <c r="E506" t="inlineStr">
        <is>
          <t>KNTS_#8</t>
        </is>
      </c>
      <c r="F506" t="n">
        <v>3</v>
      </c>
      <c r="G506" t="n">
        <v>3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>
        <is>
          <t>Single T3 play #22; out at home on Runner Out play #26 (pickoff attempt at 1st, unusual mechanism — Flags #9, #10); replaced by KNTS_#2 PH T6 play #60</t>
        </is>
      </c>
    </row>
    <row r="507">
      <c r="A507" t="inlineStr">
        <is>
          <t>2026-03-14_KNTS_at_HNTN</t>
        </is>
      </c>
      <c r="B507" s="10" t="n">
        <v>46095</v>
      </c>
      <c r="C507" t="inlineStr">
        <is>
          <t>Huntingtown Varsity Hurricanes</t>
        </is>
      </c>
      <c r="D507" t="inlineStr">
        <is>
          <t>KNTS</t>
        </is>
      </c>
      <c r="E507" t="inlineStr">
        <is>
          <t>KNTS_#9</t>
        </is>
      </c>
      <c r="F507" t="n">
        <v>4</v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inlineStr">
        <is>
          <t>HBP T5 play #47; FC T6 play #59 scores #17 (1 RBI); reaches on HNTN error T4 play #35 (no H); base state inconsistency T6 plays #59–61 (Flag #8)</t>
        </is>
      </c>
    </row>
    <row r="508">
      <c r="A508" t="inlineStr">
        <is>
          <t>2026-03-14_KNTS_at_HNTN</t>
        </is>
      </c>
      <c r="B508" s="10" t="n">
        <v>46095</v>
      </c>
      <c r="C508" t="inlineStr">
        <is>
          <t>Huntingtown Varsity Hurricanes</t>
        </is>
      </c>
      <c r="D508" t="inlineStr">
        <is>
          <t>KNTS</t>
        </is>
      </c>
      <c r="E508" t="inlineStr">
        <is>
          <t>KNTS_#11</t>
        </is>
      </c>
      <c r="F508" t="n">
        <v>4</v>
      </c>
      <c r="G508" t="n">
        <v>4</v>
      </c>
      <c r="H508" t="n">
        <v>2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1</v>
      </c>
      <c r="S508" t="n">
        <v>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inlineStr">
        <is>
          <t>K_L T4 play #34 (description says 'looking' — consistent); single T5 play #46; single T6 play #58 scores #12 and #3 (2 RBI); scores T5 on PB during #8 GO play #49; embedded pickoff attempt at 1st play #59 pitch sequence — ambiguous outcome, not counted as out per outs counter (Flag #7)</t>
        </is>
      </c>
    </row>
    <row r="509">
      <c r="A509" t="inlineStr">
        <is>
          <t>2026-03-14_KNTS_at_HNTN</t>
        </is>
      </c>
      <c r="B509" s="10" t="n">
        <v>46095</v>
      </c>
      <c r="C509" t="inlineStr">
        <is>
          <t>Huntingtown Varsity Hurricanes</t>
        </is>
      </c>
      <c r="D509" t="inlineStr">
        <is>
          <t>KNTS</t>
        </is>
      </c>
      <c r="E509" t="inlineStr">
        <is>
          <t>KNTS_#12</t>
        </is>
      </c>
      <c r="F509" t="n">
        <v>4</v>
      </c>
      <c r="G509" t="n">
        <v>3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1</v>
      </c>
      <c r="Q509" t="n">
        <v>0</v>
      </c>
      <c r="R509" t="n">
        <v>2</v>
      </c>
      <c r="S509" t="n">
        <v>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>
        <is>
          <t>2B T5 play #44 scores #7 and #13 (2 RBI); HBP T6 play #56; K_L per Section 4 pitch sequence play #32 — description says 'swinging,' Section 4 final pitch 'Strike 3 looking' (K_L recorded per Section 4); scores T5 on PB during #17 walk play #45; scores T6 on #11 single play #58</t>
        </is>
      </c>
    </row>
    <row r="510">
      <c r="A510" t="inlineStr">
        <is>
          <t>2026-03-14_KNTS_at_HNTN</t>
        </is>
      </c>
      <c r="B510" s="10" t="n">
        <v>46095</v>
      </c>
      <c r="C510" t="inlineStr">
        <is>
          <t>Huntingtown Varsity Hurricanes</t>
        </is>
      </c>
      <c r="D510" t="inlineStr">
        <is>
          <t>KNTS</t>
        </is>
      </c>
      <c r="E510" t="inlineStr">
        <is>
          <t>KNTS_#13</t>
        </is>
      </c>
      <c r="F510" t="n">
        <v>4</v>
      </c>
      <c r="G510" t="n">
        <v>3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2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>
        <is>
          <t>Walk T5 play #41; advances to 2nd on WP embedded in #7 walk play #42; 2B T6 play #53; scores T5 on #12 double play #44; scores T6 on #3 single play #55</t>
        </is>
      </c>
    </row>
    <row r="511">
      <c r="A511" t="inlineStr">
        <is>
          <t>2026-03-14_KNTS_at_HNTN</t>
        </is>
      </c>
      <c r="B511" s="10" t="n">
        <v>46095</v>
      </c>
      <c r="C511" t="inlineStr">
        <is>
          <t>Huntingtown Varsity Hurricanes</t>
        </is>
      </c>
      <c r="D511" t="inlineStr">
        <is>
          <t>KNTS</t>
        </is>
      </c>
      <c r="E511" t="inlineStr">
        <is>
          <t>KNTS_#14</t>
        </is>
      </c>
      <c r="F511" t="n">
        <v>4</v>
      </c>
      <c r="G511" t="n">
        <v>3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inlineStr">
        <is>
          <t>Single T3 play #21; GO T4 play #36; walk T5 play #48 (bases loaded, forces in #17) = 1 RBI; GO T6 play #61; scores T3 on #3 FC play #25</t>
        </is>
      </c>
    </row>
    <row r="512">
      <c r="A512" t="inlineStr">
        <is>
          <t>2026-03-14_KNTS_at_HNTN</t>
        </is>
      </c>
      <c r="B512" s="10" t="n">
        <v>46095</v>
      </c>
      <c r="C512" t="inlineStr">
        <is>
          <t>Huntingtown Varsity Hurricanes</t>
        </is>
      </c>
      <c r="D512" t="inlineStr">
        <is>
          <t>KNTS</t>
        </is>
      </c>
      <c r="E512" t="inlineStr">
        <is>
          <t>KNTS_#17</t>
        </is>
      </c>
      <c r="F512" t="n">
        <v>4</v>
      </c>
      <c r="G512" t="n">
        <v>2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2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>
        <is>
          <t>GO T2 play #12; single T4 play #33; walk T5 play #45 (PB during AB — #12 scores, not WP); HBP T6 play #57; scores T5 forced home on #14 walk play #48; scores T6 on #9 FC play #59; also pitches B1 partial through B2 (KNTS pitcher)</t>
        </is>
      </c>
    </row>
    <row r="513">
      <c r="A513" t="inlineStr">
        <is>
          <t>2026-03-14_HNTN_at_STHR</t>
        </is>
      </c>
      <c r="B513" s="10" t="n">
        <v>46095</v>
      </c>
      <c r="C513" t="inlineStr">
        <is>
          <t>South River Varsity Seahawks</t>
        </is>
      </c>
      <c r="D513" t="inlineStr">
        <is>
          <t>HNTN</t>
        </is>
      </c>
      <c r="E513" t="inlineStr">
        <is>
          <t>R Bolger</t>
        </is>
      </c>
      <c r="F513" t="n">
        <v>5</v>
      </c>
      <c r="G513" t="n">
        <v>5</v>
      </c>
      <c r="H513" t="n">
        <v>2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</v>
      </c>
      <c r="S513" t="n">
        <v>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inlineStr">
        <is>
          <t>2B T3 play #19 scores J Laur (1 RBI); 1B T4 play #32 scores R Kessler and C Wargo (2 RBI); errors (reaches on error T6 play #51, T7 play #65 — no RBI on errors); CR L Bennett T4 play #33 — L Bennett out at home DP play #35, no R for R Bolger T4; CR G Grimes T6 play #52 — G Grimes R credited to R Bolger; CR J Fields T7 play #66 — J Fields R credited to R Bolger (play #69)</t>
        </is>
      </c>
    </row>
    <row r="514">
      <c r="A514" t="inlineStr">
        <is>
          <t>2026-03-14_HNTN_at_STHR</t>
        </is>
      </c>
      <c r="B514" s="10" t="n">
        <v>46095</v>
      </c>
      <c r="C514" t="inlineStr">
        <is>
          <t>South River Varsity Seahawks</t>
        </is>
      </c>
      <c r="D514" t="inlineStr">
        <is>
          <t>HNTN</t>
        </is>
      </c>
      <c r="E514" t="inlineStr">
        <is>
          <t>J Hann</t>
        </is>
      </c>
      <c r="F514" t="n">
        <v>4</v>
      </c>
      <c r="G514" t="n">
        <v>4</v>
      </c>
      <c r="H514" t="n">
        <v>3</v>
      </c>
      <c r="I514" t="n">
        <v>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</v>
      </c>
      <c r="S514" t="n">
        <v>2</v>
      </c>
      <c r="T514" t="n">
        <v>4</v>
      </c>
      <c r="U514" t="n">
        <v>0</v>
      </c>
      <c r="V514" t="n">
        <v>0</v>
      </c>
      <c r="W514" t="n">
        <v>0</v>
      </c>
      <c r="X514" t="n">
        <v>0</v>
      </c>
      <c r="Y514" t="inlineStr">
        <is>
          <t>1B T3 play #20 scores R Bolger (1 RBI); 1B T6 play #52 scores G Grimes (CR-R Bolger, 1 RBI); SBs: 2nd T3 play #21, 3rd T3 play #22, 2nd T4 play #34, 3rd T6 play #55; scores T3 via tag-up on R Gaetano PO play #22 (no RBI for R Gaetano — PO outcome, not SAC fly); scores T6 on N McMurray single play #55 — mechanism ambiguous (Flag #13); mid-AB substitution by T Burghard T7 play #66 — T Burghard gets that PA (Flag #7)</t>
        </is>
      </c>
    </row>
    <row r="515">
      <c r="A515" t="inlineStr">
        <is>
          <t>2026-03-14_HNTN_at_STHR</t>
        </is>
      </c>
      <c r="B515" s="10" t="n">
        <v>46095</v>
      </c>
      <c r="C515" t="inlineStr">
        <is>
          <t>South River Varsity Seahawks</t>
        </is>
      </c>
      <c r="D515" t="inlineStr">
        <is>
          <t>HNTN</t>
        </is>
      </c>
      <c r="E515" t="inlineStr">
        <is>
          <t>J Cadden</t>
        </is>
      </c>
      <c r="F515" t="n">
        <v>4</v>
      </c>
      <c r="G515" t="n">
        <v>2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inlineStr">
        <is>
          <t>K_S T1 play #3; walk T3 play #21; HBP T4 play #34; 1B T6 play #53; SB 2nd T3 embedded in N McMurray AB play #23; CR J Fields in T6 play #54 — J Fields R credited to J Cadden (play #55); replaced by G Grimes PH T7 play #67; also pitches B6</t>
        </is>
      </c>
    </row>
    <row r="516">
      <c r="A516" t="inlineStr">
        <is>
          <t>2026-03-14_HNTN_at_STHR</t>
        </is>
      </c>
      <c r="B516" s="10" t="n">
        <v>46095</v>
      </c>
      <c r="C516" t="inlineStr">
        <is>
          <t>South River Varsity Seahawks</t>
        </is>
      </c>
      <c r="D516" t="inlineStr">
        <is>
          <t>HNTN</t>
        </is>
      </c>
      <c r="E516" t="inlineStr">
        <is>
          <t>R Gaetano</t>
        </is>
      </c>
      <c r="F516" t="n">
        <v>3</v>
      </c>
      <c r="G516" t="n">
        <v>3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inlineStr">
        <is>
          <t>1B T2 play #10; PO T3 play #22 — J Hann scores via tag-up (PO outcome, no RBI, no SAC fly designation); DP T4 play #35 (unusual: L Bennett out at home + R Gaetano batter — Flag #8); replaced by B Robbins PH T6 play #54</t>
        </is>
      </c>
    </row>
    <row r="517">
      <c r="A517" t="inlineStr">
        <is>
          <t>2026-03-14_HNTN_at_STHR</t>
        </is>
      </c>
      <c r="B517" s="10" t="n">
        <v>46095</v>
      </c>
      <c r="C517" t="inlineStr">
        <is>
          <t>South River Varsity Seahawks</t>
        </is>
      </c>
      <c r="D517" t="inlineStr">
        <is>
          <t>HNTN</t>
        </is>
      </c>
      <c r="E517" t="inlineStr">
        <is>
          <t>N McMurray</t>
        </is>
      </c>
      <c r="F517" t="n">
        <v>5</v>
      </c>
      <c r="G517" t="n">
        <v>5</v>
      </c>
      <c r="H517" t="n">
        <v>3</v>
      </c>
      <c r="I517" t="n">
        <v>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2</v>
      </c>
      <c r="S517" t="n">
        <v>2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inlineStr">
        <is>
          <t>K_L T2 play #11; SBs: 2nd and 3rd T5 embedded in J Walter AB play #41; 1B T5 play #40 (scores T5 via J Fields GO play #42); 1B T6 play #55 scores J Fields (CR-J Cadden = 1 RBI) — J Hann's run on same play ambiguous, no RBI awarded (Flag #13); 1B T7 play #69 scores J Fields (CR-R Bolger = 1 RBI); also pitches B1–B3</t>
        </is>
      </c>
    </row>
    <row r="518">
      <c r="A518" t="inlineStr">
        <is>
          <t>2026-03-14_HNTN_at_STHR</t>
        </is>
      </c>
      <c r="B518" s="10" t="n">
        <v>46095</v>
      </c>
      <c r="C518" t="inlineStr">
        <is>
          <t>South River Varsity Seahawks</t>
        </is>
      </c>
      <c r="D518" t="inlineStr">
        <is>
          <t>HNTN</t>
        </is>
      </c>
      <c r="E518" t="inlineStr">
        <is>
          <t>J Walter</t>
        </is>
      </c>
      <c r="F518" t="n">
        <v>3</v>
      </c>
      <c r="G518" t="n">
        <v>3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n">
        <v>0</v>
      </c>
      <c r="T518" t="n">
        <v>2</v>
      </c>
      <c r="U518" t="n">
        <v>0</v>
      </c>
      <c r="V518" t="n">
        <v>0</v>
      </c>
      <c r="W518" t="n">
        <v>0</v>
      </c>
      <c r="X518" t="n">
        <v>0</v>
      </c>
      <c r="Y518" t="inlineStr">
        <is>
          <t>1B T4 play #28; K_L T5 play #41; SBs: 2nd T4 embedded in C Wargo AB play #30, 3rd T4 embedded in R Kessler AB play #31; scores T4 on STHR SS error embedded in R Kessler AB play #31 (no RBI for R Kessler); replaced by L Montgomery PH T6 play #56</t>
        </is>
      </c>
    </row>
    <row r="519">
      <c r="A519" t="inlineStr">
        <is>
          <t>2026-03-14_HNTN_at_STHR</t>
        </is>
      </c>
      <c r="B519" s="10" t="n">
        <v>46095</v>
      </c>
      <c r="C519" t="inlineStr">
        <is>
          <t>South River Varsity Seahawks</t>
        </is>
      </c>
      <c r="D519" t="inlineStr">
        <is>
          <t>HNTN</t>
        </is>
      </c>
      <c r="E519" t="inlineStr">
        <is>
          <t>J Fields</t>
        </is>
      </c>
      <c r="F519" t="n">
        <v>3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inlineStr">
        <is>
          <t>K_S T2 play #13; PO T4 play #29; GO T5 play #42 scores N McMurray (1 RBI); CR for J Cadden T6 play #54 and CR for R Bolger T7 play #66 — runs as CR credited to J Cadden (play #55) and R Bolger (play #69); replaced by E Elliott PH T6 play #57</t>
        </is>
      </c>
    </row>
    <row r="520">
      <c r="A520" t="inlineStr">
        <is>
          <t>2026-03-14_HNTN_at_STHR</t>
        </is>
      </c>
      <c r="B520" s="10" t="n">
        <v>46095</v>
      </c>
      <c r="C520" t="inlineStr">
        <is>
          <t>South River Varsity Seahawks</t>
        </is>
      </c>
      <c r="D520" t="inlineStr">
        <is>
          <t>HNTN</t>
        </is>
      </c>
      <c r="E520" t="inlineStr">
        <is>
          <t>C Wargo</t>
        </is>
      </c>
      <c r="F520" t="n">
        <v>3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inlineStr">
        <is>
          <t>K_S T3 play #17; reaches on STHR 3B error T4 play #30 (no H); HBP T5 play #43; CS T5 play #44 (Runner Out — catcher unnamed, Flag #12); SB 2nd T4 embedded in R Kessler AB play #31; scores T4 on R Bolger single play #32; replaced by L Bennett PH T6 play #58</t>
        </is>
      </c>
    </row>
    <row r="521">
      <c r="A521" t="inlineStr">
        <is>
          <t>2026-03-14_HNTN_at_STHR</t>
        </is>
      </c>
      <c r="B521" s="10" t="n">
        <v>46095</v>
      </c>
      <c r="C521" t="inlineStr">
        <is>
          <t>South River Varsity Seahawks</t>
        </is>
      </c>
      <c r="D521" t="inlineStr">
        <is>
          <t>HNTN</t>
        </is>
      </c>
      <c r="E521" t="inlineStr">
        <is>
          <t>R Kessler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inlineStr">
        <is>
          <t>Walk T4 play #31; SB 2nd T4 embedded in R Bolger AB play #32; scores T4 on R Bolger single play #32; replaced by J Laur PH T6 play #50 (Flag #6); also HNTN SS fielder</t>
        </is>
      </c>
    </row>
    <row r="522">
      <c r="A522" t="inlineStr">
        <is>
          <t>2026-03-14_HNTN_at_STHR</t>
        </is>
      </c>
      <c r="B522" s="10" t="n">
        <v>46095</v>
      </c>
      <c r="C522" t="inlineStr">
        <is>
          <t>South River Varsity Seahawks</t>
        </is>
      </c>
      <c r="D522" t="inlineStr">
        <is>
          <t>HNTN</t>
        </is>
      </c>
      <c r="E522" t="inlineStr">
        <is>
          <t>J Laur</t>
        </is>
      </c>
      <c r="F522" t="n">
        <v>3</v>
      </c>
      <c r="G522" t="n">
        <v>3</v>
      </c>
      <c r="H522" t="n">
        <v>3</v>
      </c>
      <c r="I522" t="n">
        <v>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</v>
      </c>
      <c r="S522" t="n">
        <v>0</v>
      </c>
      <c r="T522" t="n">
        <v>2</v>
      </c>
      <c r="U522" t="n">
        <v>0</v>
      </c>
      <c r="V522" t="n">
        <v>0</v>
      </c>
      <c r="W522" t="n">
        <v>0</v>
      </c>
      <c r="X522" t="n">
        <v>0</v>
      </c>
      <c r="Y522" t="inlineStr">
        <is>
          <t>1B T3 play #18; 1B T6 play #50 (PH for R Kessler, Flag #6); 1B T7 play #64; SBs: 2nd T6 embedded in R Bolger AB play #51; 2nd T7 embedded in R Bolger AB play #65; scores T3 on R Bolger 2B play #19 (via PB advance to 2nd first); scores T6 on R Bolger error play #51; scores T7 on R Bolger error play #65; incomplete AB T8 not counted (Flag #4); also pitches B4–B5</t>
        </is>
      </c>
    </row>
    <row r="523">
      <c r="A523" t="inlineStr">
        <is>
          <t>2026-03-14_HNTN_at_STHR</t>
        </is>
      </c>
      <c r="B523" s="10" t="n">
        <v>46095</v>
      </c>
      <c r="C523" t="inlineStr">
        <is>
          <t>South River Varsity Seahawks</t>
        </is>
      </c>
      <c r="D523" t="inlineStr">
        <is>
          <t>HNTN</t>
        </is>
      </c>
      <c r="E523" t="inlineStr">
        <is>
          <t>T Burghard</t>
        </is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>
        <is>
          <t>PH mid-AB for J Hann T7 play #66 (Flag #7); K_L per pitch sequence; also pitches B7</t>
        </is>
      </c>
    </row>
    <row r="524">
      <c r="A524" t="inlineStr">
        <is>
          <t>2026-03-14_HNTN_at_STHR</t>
        </is>
      </c>
      <c r="B524" s="10" t="n">
        <v>46095</v>
      </c>
      <c r="C524" t="inlineStr">
        <is>
          <t>South River Varsity Seahawks</t>
        </is>
      </c>
      <c r="D524" t="inlineStr">
        <is>
          <t>HNTN</t>
        </is>
      </c>
      <c r="E524" t="inlineStr">
        <is>
          <t>G Grimes</t>
        </is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inlineStr">
        <is>
          <t>PH for J Cadden T7 play #67; 2B play #67 (J Fields advances to 3rd); scores T7 on L Montgomery single play #70; CR for R Bolger T6 play #52 — G Grimes R credited to R Bolger (play #52)</t>
        </is>
      </c>
    </row>
    <row r="525">
      <c r="A525" t="inlineStr">
        <is>
          <t>2026-03-14_HNTN_at_STHR</t>
        </is>
      </c>
      <c r="B525" s="10" t="n">
        <v>46095</v>
      </c>
      <c r="C525" t="inlineStr">
        <is>
          <t>South River Varsity Seahawks</t>
        </is>
      </c>
      <c r="D525" t="inlineStr">
        <is>
          <t>HNTN</t>
        </is>
      </c>
      <c r="E525" t="inlineStr">
        <is>
          <t>B Robbins</t>
        </is>
      </c>
      <c r="F525" t="n">
        <v>2</v>
      </c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2</v>
      </c>
      <c r="P525" t="n">
        <v>2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>
        <is>
          <t>PH for R Gaetano T6 play #54; K_L both per pitch sequences (plays #54, #68)</t>
        </is>
      </c>
    </row>
    <row r="526">
      <c r="A526" t="inlineStr">
        <is>
          <t>2026-03-14_HNTN_at_STHR</t>
        </is>
      </c>
      <c r="B526" s="10" t="n">
        <v>46095</v>
      </c>
      <c r="C526" t="inlineStr">
        <is>
          <t>South River Varsity Seahawks</t>
        </is>
      </c>
      <c r="D526" t="inlineStr">
        <is>
          <t>HNTN</t>
        </is>
      </c>
      <c r="E526" t="inlineStr">
        <is>
          <t>L Montgomery</t>
        </is>
      </c>
      <c r="F526" t="n">
        <v>2</v>
      </c>
      <c r="G526" t="n">
        <v>2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>
        <is>
          <t>PH for J Walter T6 play #56; 1B T7 play #70 scores G Grimes (1 RBI, fly ball notation — Flag #10)</t>
        </is>
      </c>
    </row>
    <row r="527">
      <c r="A527" t="inlineStr">
        <is>
          <t>2026-03-14_HNTN_at_STHR</t>
        </is>
      </c>
      <c r="B527" s="10" t="n">
        <v>46095</v>
      </c>
      <c r="C527" t="inlineStr">
        <is>
          <t>South River Varsity Seahawks</t>
        </is>
      </c>
      <c r="D527" t="inlineStr">
        <is>
          <t>HNTN</t>
        </is>
      </c>
      <c r="E527" t="inlineStr">
        <is>
          <t>E Elliott</t>
        </is>
      </c>
      <c r="F527" t="n">
        <v>2</v>
      </c>
      <c r="G527" t="n">
        <v>2</v>
      </c>
      <c r="H527" t="n">
        <v>2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inlineStr">
        <is>
          <t>PH for J Fields T6 play #57; 1B T6 play #57 scores N McMurray (1 RBI); 1B T7 play #71 (no run scored; inning ends on L Bennett PO)</t>
        </is>
      </c>
    </row>
    <row r="528">
      <c r="A528" t="inlineStr">
        <is>
          <t>2026-03-14_HNTN_at_STHR</t>
        </is>
      </c>
      <c r="B528" s="10" t="n">
        <v>46095</v>
      </c>
      <c r="C528" t="inlineStr">
        <is>
          <t>South River Varsity Seahawks</t>
        </is>
      </c>
      <c r="D528" t="inlineStr">
        <is>
          <t>HNTN</t>
        </is>
      </c>
      <c r="E528" t="inlineStr">
        <is>
          <t>L Bennett</t>
        </is>
      </c>
      <c r="F528" t="n">
        <v>2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inlineStr">
        <is>
          <t>PH for C Wargo T6 play #58; K_S T6 play #58; PO T7 play #72; CR for R Bolger T4 play #33 — L Bennett out at home on DP play #35, no R credited</t>
        </is>
      </c>
    </row>
    <row r="529">
      <c r="A529" t="inlineStr">
        <is>
          <t>2026-03-14_HNTN_at_STHR</t>
        </is>
      </c>
      <c r="B529" s="10" t="n">
        <v>46095</v>
      </c>
      <c r="C529" t="inlineStr">
        <is>
          <t>Huntingtown Varsity Hurricanes</t>
        </is>
      </c>
      <c r="D529" t="inlineStr">
        <is>
          <t>STHR</t>
        </is>
      </c>
      <c r="E529" t="inlineStr">
        <is>
          <t>STHR_#1</t>
        </is>
      </c>
      <c r="F529" t="n">
        <v>4</v>
      </c>
      <c r="G529" t="n">
        <v>4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>
        <is>
          <t>K_L B1 play #4; 1B B3 play #24 (fly ball — Flag #10); reaches on HNTN SS error B5 play #46 (no H); FO B7 play #73</t>
        </is>
      </c>
    </row>
    <row r="530">
      <c r="A530" t="inlineStr">
        <is>
          <t>2026-03-14_HNTN_at_STHR</t>
        </is>
      </c>
      <c r="B530" s="10" t="n">
        <v>46095</v>
      </c>
      <c r="C530" t="inlineStr">
        <is>
          <t>Huntingtown Varsity Hurricanes</t>
        </is>
      </c>
      <c r="D530" t="inlineStr">
        <is>
          <t>STHR</t>
        </is>
      </c>
      <c r="E530" t="inlineStr">
        <is>
          <t>STHR_#2</t>
        </is>
      </c>
      <c r="F530" t="n">
        <v>4</v>
      </c>
      <c r="G530" t="n">
        <v>3</v>
      </c>
      <c r="H530" t="n">
        <v>3</v>
      </c>
      <c r="I530" t="n">
        <v>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inlineStr">
        <is>
          <t>1B B1 play #5; SAC bunt B3 play #25 (no AB); 1B B5 play #47 (fly ball — Flag #10); 1B B7 play #74; PB B7 play #76 (advances to 2nd during #4 AB)</t>
        </is>
      </c>
    </row>
    <row r="531">
      <c r="A531" t="inlineStr">
        <is>
          <t>2026-03-14_HNTN_at_STHR</t>
        </is>
      </c>
      <c r="B531" s="10" t="n">
        <v>46095</v>
      </c>
      <c r="C531" t="inlineStr">
        <is>
          <t>Huntingtown Varsity Hurricanes</t>
        </is>
      </c>
      <c r="D531" t="inlineStr">
        <is>
          <t>STHR</t>
        </is>
      </c>
      <c r="E531" t="inlineStr">
        <is>
          <t>STHR_#3</t>
        </is>
      </c>
      <c r="F531" t="n">
        <v>4</v>
      </c>
      <c r="G531" t="n">
        <v>4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2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inlineStr">
        <is>
          <t>1B B1 play #6 (fly ball — Flag #10); FO B3 play #26; K_L B5 play #48; K_S B7 play #75</t>
        </is>
      </c>
    </row>
    <row r="532">
      <c r="A532" t="inlineStr">
        <is>
          <t>2026-03-14_HNTN_at_STHR</t>
        </is>
      </c>
      <c r="B532" s="10" t="n">
        <v>46095</v>
      </c>
      <c r="C532" t="inlineStr">
        <is>
          <t>Huntingtown Varsity Hurricanes</t>
        </is>
      </c>
      <c r="D532" t="inlineStr">
        <is>
          <t>STHR</t>
        </is>
      </c>
      <c r="E532" t="inlineStr">
        <is>
          <t>STHR_#4</t>
        </is>
      </c>
      <c r="F532" t="n">
        <v>4</v>
      </c>
      <c r="G532" t="n">
        <v>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2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>
        <is>
          <t>Walk B1 play #7; K_S B3 play #27; K_L B5 play #49; PO B7 play #76</t>
        </is>
      </c>
    </row>
    <row r="533">
      <c r="A533" t="inlineStr">
        <is>
          <t>2026-03-14_HNTN_at_STHR</t>
        </is>
      </c>
      <c r="B533" s="10" t="n">
        <v>46095</v>
      </c>
      <c r="C533" t="inlineStr">
        <is>
          <t>Huntingtown Varsity Hurricanes</t>
        </is>
      </c>
      <c r="D533" t="inlineStr">
        <is>
          <t>STHR</t>
        </is>
      </c>
      <c r="E533" t="inlineStr">
        <is>
          <t>STHR_#5</t>
        </is>
      </c>
      <c r="F533" t="n">
        <v>3</v>
      </c>
      <c r="G533" t="n">
        <v>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2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>
        <is>
          <t>K_L B1 play #8; K_L B4 play #36; GO B6 play #59</t>
        </is>
      </c>
    </row>
    <row r="534">
      <c r="A534" t="inlineStr">
        <is>
          <t>2026-03-14_HNTN_at_STHR</t>
        </is>
      </c>
      <c r="B534" s="10" t="n">
        <v>46095</v>
      </c>
      <c r="C534" t="inlineStr">
        <is>
          <t>Huntingtown Varsity Hurricanes</t>
        </is>
      </c>
      <c r="D534" t="inlineStr">
        <is>
          <t>STHR</t>
        </is>
      </c>
      <c r="E534" t="inlineStr">
        <is>
          <t>STHR_#6</t>
        </is>
      </c>
      <c r="F534" t="n">
        <v>3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2</v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>
        <is>
          <t>K_S B1 play #9; 1B B4 play #37; K_S B6 play #60</t>
        </is>
      </c>
    </row>
    <row r="535">
      <c r="A535" t="inlineStr">
        <is>
          <t>2026-03-14_HNTN_at_STHR</t>
        </is>
      </c>
      <c r="B535" s="10" t="n">
        <v>46095</v>
      </c>
      <c r="C535" t="inlineStr">
        <is>
          <t>Huntingtown Varsity Hurricanes</t>
        </is>
      </c>
      <c r="D535" t="inlineStr">
        <is>
          <t>STHR</t>
        </is>
      </c>
      <c r="E535" t="inlineStr">
        <is>
          <t>STHR_#7</t>
        </is>
      </c>
      <c r="F535" t="n">
        <v>3</v>
      </c>
      <c r="G535" t="n">
        <v>3</v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inlineStr">
        <is>
          <t>GO B2 play #14; 1B B4 play #38 (unusual FC-like play — Flag #11); 1B B6 play #61 (fly ball — Flag #10)</t>
        </is>
      </c>
    </row>
    <row r="536">
      <c r="A536" t="inlineStr">
        <is>
          <t>2026-03-14_HNTN_at_STHR</t>
        </is>
      </c>
      <c r="B536" s="10" t="n">
        <v>46095</v>
      </c>
      <c r="C536" t="inlineStr">
        <is>
          <t>Huntingtown Varsity Hurricanes</t>
        </is>
      </c>
      <c r="D536" t="inlineStr">
        <is>
          <t>STHR</t>
        </is>
      </c>
      <c r="E536" t="inlineStr">
        <is>
          <t>STHR_#8</t>
        </is>
      </c>
      <c r="F536" t="n">
        <v>3</v>
      </c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2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>
        <is>
          <t>K_L B2 play #15; K_S B4 play #39; walk B6 play #62</t>
        </is>
      </c>
    </row>
    <row r="537">
      <c r="A537" t="inlineStr">
        <is>
          <t>2026-03-14_HNTN_at_STHR</t>
        </is>
      </c>
      <c r="B537" s="10" t="n">
        <v>46095</v>
      </c>
      <c r="C537" t="inlineStr">
        <is>
          <t>Huntingtown Varsity Hurricanes</t>
        </is>
      </c>
      <c r="D537" t="inlineStr">
        <is>
          <t>STHR</t>
        </is>
      </c>
      <c r="E537" t="inlineStr">
        <is>
          <t>STHR_#9</t>
        </is>
      </c>
      <c r="F537" t="n">
        <v>3</v>
      </c>
      <c r="G537" t="n">
        <v>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inlineStr">
        <is>
          <t>GO B2 play #16; FO B5 play #45; K_L B6 play #63</t>
        </is>
      </c>
    </row>
    <row r="538">
      <c r="A538" t="inlineStr">
        <is>
          <t>2026-03-18_NRTH_at_HNTN</t>
        </is>
      </c>
      <c r="B538" s="10" t="n">
        <v>46099</v>
      </c>
      <c r="C538" t="inlineStr">
        <is>
          <t>North County</t>
        </is>
      </c>
      <c r="D538" t="inlineStr">
        <is>
          <t>HNTN</t>
        </is>
      </c>
      <c r="E538" t="inlineStr">
        <is>
          <t>R Bolger</t>
        </is>
      </c>
      <c r="F538" t="n">
        <v>2</v>
      </c>
      <c r="G538" t="n">
        <v>2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inlineStr">
        <is>
          <t>LO B1 play #4; 1B B4 play #37; SB 2nd B4 embedded in J Hann AB play #38; CR J Walter in for R Bolger B4 play #39 — J Walter's R credited to R Bolger (play #39)</t>
        </is>
      </c>
    </row>
    <row r="539">
      <c r="A539" t="inlineStr">
        <is>
          <t>2026-03-18_NRTH_at_HNTN</t>
        </is>
      </c>
      <c r="B539" s="10" t="n">
        <v>46099</v>
      </c>
      <c r="C539" t="inlineStr">
        <is>
          <t>North County</t>
        </is>
      </c>
      <c r="D539" t="inlineStr">
        <is>
          <t>HNTN</t>
        </is>
      </c>
      <c r="E539" t="inlineStr">
        <is>
          <t>J Hann</t>
        </is>
      </c>
      <c r="F539" t="n">
        <v>2</v>
      </c>
      <c r="G539" t="n">
        <v>2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inlineStr">
        <is>
          <t>Reaches on NRTH 3B error B1 play #5 (no H); 1B B2 play #20; SB 2nd B2 embedded in J Cadden LO play #21; scores B1 on R Gaetano FC play #8; replaced by T Burghard PH B6 play #55</t>
        </is>
      </c>
    </row>
    <row r="540">
      <c r="A540" t="inlineStr">
        <is>
          <t>2026-03-18_NRTH_at_HNTN</t>
        </is>
      </c>
      <c r="B540" s="10" t="n">
        <v>46099</v>
      </c>
      <c r="C540" t="inlineStr">
        <is>
          <t>North County</t>
        </is>
      </c>
      <c r="D540" t="inlineStr">
        <is>
          <t>HNTN</t>
        </is>
      </c>
      <c r="E540" t="inlineStr">
        <is>
          <t>J Cadden</t>
        </is>
      </c>
      <c r="F540" t="n">
        <v>4</v>
      </c>
      <c r="G540" t="n">
        <v>3</v>
      </c>
      <c r="H540" t="n">
        <v>2</v>
      </c>
      <c r="I540" t="n">
        <v>2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3</v>
      </c>
      <c r="S540" t="n">
        <v>2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inlineStr">
        <is>
          <t>Walk B1 play #6; LO B2 play #21; 1B B4 play #39 scores J Walter (CR-R Bolger) and R Kessler (2 RBI); 1B B6 play #56; SBs: 3rd B4 embedded in N McMurray AB play #40; CR C Wargo in B6 play #57 — C Wargo SB (steals 2nd) and R credited to J Cadden; scores B1 on B Marlowe 2B play #9; scores B4 on N McMurray SAC fly play #40; scores B6 via CR C Wargo on catcher error play #57</t>
        </is>
      </c>
    </row>
    <row r="541">
      <c r="A541" t="inlineStr">
        <is>
          <t>2026-03-18_NRTH_at_HNTN</t>
        </is>
      </c>
      <c r="B541" s="10" t="n">
        <v>46099</v>
      </c>
      <c r="C541" t="inlineStr">
        <is>
          <t>North County</t>
        </is>
      </c>
      <c r="D541" t="inlineStr">
        <is>
          <t>HNTN</t>
        </is>
      </c>
      <c r="E541" t="inlineStr">
        <is>
          <t>N McMurray</t>
        </is>
      </c>
      <c r="F541" t="n">
        <v>4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>
        <is>
          <t>Walk B1 play #7; out at 2B on R Gaetano FC B1 play #8; FO B3 play #27; SAC fly B4 play #40 scores J Cadden (1 RBI); SAC fly B6 play #57 scores T Burghard (1 RBI) — C Wargo (CR-J Cadden) scores on catcher error, no RBI (error run)</t>
        </is>
      </c>
    </row>
    <row r="542">
      <c r="A542" t="inlineStr">
        <is>
          <t>2026-03-18_NRTH_at_HNTN</t>
        </is>
      </c>
      <c r="B542" s="10" t="n">
        <v>46099</v>
      </c>
      <c r="C542" t="inlineStr">
        <is>
          <t>North County</t>
        </is>
      </c>
      <c r="D542" t="inlineStr">
        <is>
          <t>HNTN</t>
        </is>
      </c>
      <c r="E542" t="inlineStr">
        <is>
          <t>R Gaetano</t>
        </is>
      </c>
      <c r="F542" t="n">
        <v>3</v>
      </c>
      <c r="G542" t="n">
        <v>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inlineStr">
        <is>
          <t>FC B1 play #8 scores J Hann (1 RBI) — N McMurray out advancing; walk B3 play #28; out at 2B on B Marlowe FC B3 play #29; GO B4 play #41; replaced by G Grimes PH B6 play #58</t>
        </is>
      </c>
    </row>
    <row r="543">
      <c r="A543" t="inlineStr">
        <is>
          <t>2026-03-18_NRTH_at_HNTN</t>
        </is>
      </c>
      <c r="B543" s="10" t="n">
        <v>46099</v>
      </c>
      <c r="C543" t="inlineStr">
        <is>
          <t>North County</t>
        </is>
      </c>
      <c r="D543" t="inlineStr">
        <is>
          <t>HNTN</t>
        </is>
      </c>
      <c r="E543" t="inlineStr">
        <is>
          <t>B Marlowe</t>
        </is>
      </c>
      <c r="F543" t="n">
        <v>3</v>
      </c>
      <c r="G543" t="n">
        <v>3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inlineStr">
        <is>
          <t>2B B1 play #9 scores J Cadden (1 RBI); FC B3 play #29 — R Gaetano out, B Marlowe advances to 2nd on throw (no error, Flag #13); GO B5 play #45; scores B3 on J Laur single play #30; replaced by B Robbins PH B6 play #59</t>
        </is>
      </c>
    </row>
    <row r="544">
      <c r="A544" t="inlineStr">
        <is>
          <t>2026-03-18_NRTH_at_HNTN</t>
        </is>
      </c>
      <c r="B544" s="10" t="n">
        <v>46099</v>
      </c>
      <c r="C544" t="inlineStr">
        <is>
          <t>North County</t>
        </is>
      </c>
      <c r="D544" t="inlineStr">
        <is>
          <t>HNTN</t>
        </is>
      </c>
      <c r="E544" t="inlineStr">
        <is>
          <t>J Laur</t>
        </is>
      </c>
      <c r="F544" t="n">
        <v>3</v>
      </c>
      <c r="G544" t="n">
        <v>3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>
        <is>
          <t>FO B1 play #10; 1B B3 play #30 scores B Marlowe (1 RBI); FO B5 play #46; replaced by J Fields PH B6 play #60</t>
        </is>
      </c>
    </row>
    <row r="545">
      <c r="A545" t="inlineStr">
        <is>
          <t>2026-03-18_NRTH_at_HNTN</t>
        </is>
      </c>
      <c r="B545" s="10" t="n">
        <v>46099</v>
      </c>
      <c r="C545" t="inlineStr">
        <is>
          <t>North County</t>
        </is>
      </c>
      <c r="D545" t="inlineStr">
        <is>
          <t>HNTN</t>
        </is>
      </c>
      <c r="E545" t="inlineStr">
        <is>
          <t>C Wargo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2</v>
      </c>
      <c r="U545" t="n">
        <v>0</v>
      </c>
      <c r="V545" t="n">
        <v>0</v>
      </c>
      <c r="W545" t="n">
        <v>0</v>
      </c>
      <c r="X545" t="n">
        <v>0</v>
      </c>
      <c r="Y545" t="inlineStr">
        <is>
          <t>Walk B2 play #17; steals 2nd and home during R Bolger AB play #19 (Flags #11, #12) — 2 SBs credited to C Wargo; CR for J Cadden B6 play #57 — C Wargo's R and SB as CR credited to J Cadden; E Elliott PH for C Wargo in C Wargo's original batting slot B6 play #61 (Flag #8)</t>
        </is>
      </c>
    </row>
    <row r="546">
      <c r="A546" t="inlineStr">
        <is>
          <t>2026-03-18_NRTH_at_HNTN</t>
        </is>
      </c>
      <c r="B546" s="10" t="n">
        <v>46099</v>
      </c>
      <c r="C546" t="inlineStr">
        <is>
          <t>North County</t>
        </is>
      </c>
      <c r="D546" t="inlineStr">
        <is>
          <t>HNTN</t>
        </is>
      </c>
      <c r="E546" t="inlineStr">
        <is>
          <t>R Kessler</t>
        </is>
      </c>
      <c r="F546" t="n">
        <v>2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>
        <is>
          <t>K_S B2 play #18; walk B4 play #36; scores B4 on J Cadden single play #39; also HNTN fielder (3B play #23 error; SS play #66 error)</t>
        </is>
      </c>
    </row>
    <row r="547">
      <c r="A547" t="inlineStr">
        <is>
          <t>2026-03-18_NRTH_at_HNTN</t>
        </is>
      </c>
      <c r="B547" s="10" t="n">
        <v>46099</v>
      </c>
      <c r="C547" t="inlineStr">
        <is>
          <t>North County</t>
        </is>
      </c>
      <c r="D547" t="inlineStr">
        <is>
          <t>HNTN</t>
        </is>
      </c>
      <c r="E547" t="inlineStr">
        <is>
          <t>L Montgomery</t>
        </is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inlineStr">
        <is>
          <t>LO B5 play #47; bats in apparent C Wargo slot (slot 8) with no logged substitution; incomplete AB B7 play #72 not counted (Flag #4)</t>
        </is>
      </c>
    </row>
    <row r="548">
      <c r="A548" t="inlineStr">
        <is>
          <t>2026-03-18_NRTH_at_HNTN</t>
        </is>
      </c>
      <c r="B548" s="10" t="n">
        <v>46099</v>
      </c>
      <c r="C548" t="inlineStr">
        <is>
          <t>North County</t>
        </is>
      </c>
      <c r="D548" t="inlineStr">
        <is>
          <t>HNTN</t>
        </is>
      </c>
      <c r="E548" t="inlineStr">
        <is>
          <t>T Burghard</t>
        </is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inlineStr">
        <is>
          <t>PH for J Hann B6 play #55; HBP (#16 pitching); advances to 3rd on DI (embedded play #57); scores on N McMurray SAC fly play #57 (1 RBI for N McMurray); also HNTN starting pitcher T1–T3</t>
        </is>
      </c>
    </row>
    <row r="549">
      <c r="A549" t="inlineStr">
        <is>
          <t>2026-03-18_NRTH_at_HNTN</t>
        </is>
      </c>
      <c r="B549" s="10" t="n">
        <v>46099</v>
      </c>
      <c r="C549" t="inlineStr">
        <is>
          <t>North County</t>
        </is>
      </c>
      <c r="D549" t="inlineStr">
        <is>
          <t>HNTN</t>
        </is>
      </c>
      <c r="E549" t="inlineStr">
        <is>
          <t>G Grimes</t>
        </is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inlineStr">
        <is>
          <t>PH for R Gaetano B6 play #58; 2B (does not score — inning ends on E Elliott K)</t>
        </is>
      </c>
    </row>
    <row r="550">
      <c r="A550" t="inlineStr">
        <is>
          <t>2026-03-18_NRTH_at_HNTN</t>
        </is>
      </c>
      <c r="B550" s="10" t="n">
        <v>46099</v>
      </c>
      <c r="C550" t="inlineStr">
        <is>
          <t>North County</t>
        </is>
      </c>
      <c r="D550" t="inlineStr">
        <is>
          <t>HNTN</t>
        </is>
      </c>
      <c r="E550" t="inlineStr">
        <is>
          <t>B Robbins</t>
        </is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>
        <is>
          <t>PH for B Marlowe B6 play #59; HBP (#16 pitching); does not score; also HNTN 1B fielder T7</t>
        </is>
      </c>
    </row>
    <row r="551">
      <c r="A551" t="inlineStr">
        <is>
          <t>2026-03-18_NRTH_at_HNTN</t>
        </is>
      </c>
      <c r="B551" s="10" t="n">
        <v>46099</v>
      </c>
      <c r="C551" t="inlineStr">
        <is>
          <t>North County</t>
        </is>
      </c>
      <c r="D551" t="inlineStr">
        <is>
          <t>HNTN</t>
        </is>
      </c>
      <c r="E551" t="inlineStr">
        <is>
          <t>J Fields</t>
        </is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inlineStr">
        <is>
          <t>PH for J Laur B6 play #60; walk (#9 pitching); does not score; also HNTN pitcher T4–T5</t>
        </is>
      </c>
    </row>
    <row r="552">
      <c r="A552" t="inlineStr">
        <is>
          <t>2026-03-18_NRTH_at_HNTN</t>
        </is>
      </c>
      <c r="B552" s="10" t="n">
        <v>46099</v>
      </c>
      <c r="C552" t="inlineStr">
        <is>
          <t>North County</t>
        </is>
      </c>
      <c r="D552" t="inlineStr">
        <is>
          <t>HNTN</t>
        </is>
      </c>
      <c r="E552" t="inlineStr">
        <is>
          <t>E Elliott</t>
        </is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inlineStr">
        <is>
          <t>PH for C Wargo in C Wargo's original batting slot B6 play #61 (Flag #8); K_S</t>
        </is>
      </c>
    </row>
    <row r="553">
      <c r="A553" t="inlineStr">
        <is>
          <t>2026-03-18_NRTH_at_HNTN</t>
        </is>
      </c>
      <c r="B553" s="10" t="n">
        <v>46099</v>
      </c>
      <c r="C553" t="inlineStr">
        <is>
          <t>Huntingtown Varsity Hurricanes</t>
        </is>
      </c>
      <c r="D553" t="inlineStr">
        <is>
          <t>NRTH</t>
        </is>
      </c>
      <c r="E553" t="inlineStr">
        <is>
          <t>NRTH_#20</t>
        </is>
      </c>
      <c r="F553" t="n">
        <v>4</v>
      </c>
      <c r="G553" t="n">
        <v>4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inlineStr">
        <is>
          <t>FO T1 play #1; reaches on HNTN 3B error T3 play #23 (advances to 2nd on same error, no H); GO T5 play #44; FO T7 play #65; steals 3rd T3 play #26 (embedded, DI not credited as SB)</t>
        </is>
      </c>
    </row>
    <row r="554">
      <c r="A554" t="inlineStr">
        <is>
          <t>2026-03-18_NRTH_at_HNTN</t>
        </is>
      </c>
      <c r="B554" s="10" t="n">
        <v>46099</v>
      </c>
      <c r="C554" t="inlineStr">
        <is>
          <t>Huntingtown Varsity Hurricanes</t>
        </is>
      </c>
      <c r="D554" t="inlineStr">
        <is>
          <t>NRTH</t>
        </is>
      </c>
      <c r="E554" t="inlineStr">
        <is>
          <t>NRTH_#5</t>
        </is>
      </c>
      <c r="F554" t="n">
        <v>4</v>
      </c>
      <c r="G554" t="n">
        <v>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2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>
        <is>
          <t>K_L T1 play #2; walk T3 play #24; K_S T6 play #48; reaches on HNTN SS error T7 play #66 (no H); scores T7 on #9 single play #69</t>
        </is>
      </c>
    </row>
    <row r="555">
      <c r="A555" t="inlineStr">
        <is>
          <t>2026-03-18_NRTH_at_HNTN</t>
        </is>
      </c>
      <c r="B555" s="10" t="n">
        <v>46099</v>
      </c>
      <c r="C555" t="inlineStr">
        <is>
          <t>Huntingtown Varsity Hurricanes</t>
        </is>
      </c>
      <c r="D555" t="inlineStr">
        <is>
          <t>NRTH</t>
        </is>
      </c>
      <c r="E555" t="inlineStr">
        <is>
          <t>NRTH_#13</t>
        </is>
      </c>
      <c r="F555" t="n">
        <v>4</v>
      </c>
      <c r="G555" t="n">
        <v>4</v>
      </c>
      <c r="H555" t="n">
        <v>2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</v>
      </c>
      <c r="S555" t="n">
        <v>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inlineStr">
        <is>
          <t>GO T1 play #3; FO T3 play #25; 2B T6 play #49; 1B T7 play #67 scores #6 and #1 (2 RBI); scores T6 on HNTN SS J Cadden error play #51 (no RBI); scores T7 on #9 single play #69</t>
        </is>
      </c>
    </row>
    <row r="556">
      <c r="A556" t="inlineStr">
        <is>
          <t>2026-03-18_NRTH_at_HNTN</t>
        </is>
      </c>
      <c r="B556" s="10" t="n">
        <v>46099</v>
      </c>
      <c r="C556" t="inlineStr">
        <is>
          <t>Huntingtown Varsity Hurricanes</t>
        </is>
      </c>
      <c r="D556" t="inlineStr">
        <is>
          <t>NRTH</t>
        </is>
      </c>
      <c r="E556" t="inlineStr">
        <is>
          <t>NRTH_#7</t>
        </is>
      </c>
      <c r="F556" t="n">
        <v>2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>
        <is>
          <t>FO T2 play #11; K_S T3 play #26; replaced by NRTH_#16 PH T6 play #50 (Flag #7); also NRTH pitcher B4–B5</t>
        </is>
      </c>
    </row>
    <row r="557">
      <c r="A557" t="inlineStr">
        <is>
          <t>2026-03-18_NRTH_at_HNTN</t>
        </is>
      </c>
      <c r="B557" s="10" t="n">
        <v>46099</v>
      </c>
      <c r="C557" t="inlineStr">
        <is>
          <t>Huntingtown Varsity Hurricanes</t>
        </is>
      </c>
      <c r="D557" t="inlineStr">
        <is>
          <t>NRTH</t>
        </is>
      </c>
      <c r="E557" t="inlineStr">
        <is>
          <t>NRTH_#9</t>
        </is>
      </c>
      <c r="F557" t="n">
        <v>4</v>
      </c>
      <c r="G557" t="n">
        <v>4</v>
      </c>
      <c r="H557" t="n">
        <v>2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inlineStr">
        <is>
          <t>1B T2 play #12; LO T4 play #32; reaches on HNTN SS J Cadden error T6 play #51 (no H); 1B T7 play #69 scores #13 and #5 (2 RBI); scores T2 on #24 FC play #15; also NRTH pitcher B6 partial</t>
        </is>
      </c>
    </row>
    <row r="558">
      <c r="A558" t="inlineStr">
        <is>
          <t>2026-03-18_NRTH_at_HNTN</t>
        </is>
      </c>
      <c r="B558" s="10" t="n">
        <v>46099</v>
      </c>
      <c r="C558" t="inlineStr">
        <is>
          <t>Huntingtown Varsity Hurricanes</t>
        </is>
      </c>
      <c r="D558" t="inlineStr">
        <is>
          <t>NRTH</t>
        </is>
      </c>
      <c r="E558" t="inlineStr">
        <is>
          <t>NRTH_#10</t>
        </is>
      </c>
      <c r="F558" t="n">
        <v>4</v>
      </c>
      <c r="G558" t="n">
        <v>4</v>
      </c>
      <c r="H558" t="n">
        <v>3</v>
      </c>
      <c r="I558" t="n">
        <v>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inlineStr">
        <is>
          <t>1B T2 play #13; FO T4 play #33; 2B T6 play #52; 1B T7 play #70; does not score</t>
        </is>
      </c>
    </row>
    <row r="559">
      <c r="A559" t="inlineStr">
        <is>
          <t>2026-03-18_NRTH_at_HNTN</t>
        </is>
      </c>
      <c r="B559" s="10" t="n">
        <v>46099</v>
      </c>
      <c r="C559" t="inlineStr">
        <is>
          <t>Huntingtown Varsity Hurricanes</t>
        </is>
      </c>
      <c r="D559" t="inlineStr">
        <is>
          <t>NRTH</t>
        </is>
      </c>
      <c r="E559" t="inlineStr">
        <is>
          <t>NRTH_#2</t>
        </is>
      </c>
      <c r="F559" t="n">
        <v>4</v>
      </c>
      <c r="G559" t="n">
        <v>3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>
        <is>
          <t>1B T2 play #14 (fly ball notation — Flag #10); walk T4 play #34; GO T6 play #53; GO T7 play #71</t>
        </is>
      </c>
    </row>
    <row r="560">
      <c r="A560" t="inlineStr">
        <is>
          <t>2026-03-18_NRTH_at_HNTN</t>
        </is>
      </c>
      <c r="B560" s="10" t="n">
        <v>46099</v>
      </c>
      <c r="C560" t="inlineStr">
        <is>
          <t>Huntingtown Varsity Hurricanes</t>
        </is>
      </c>
      <c r="D560" t="inlineStr">
        <is>
          <t>NRTH</t>
        </is>
      </c>
      <c r="E560" t="inlineStr">
        <is>
          <t>NRTH_#24</t>
        </is>
      </c>
      <c r="F560" t="n">
        <v>2</v>
      </c>
      <c r="G560" t="n">
        <v>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inlineStr">
        <is>
          <t>FC T2 play #15 — #2 out, #9 scores (1 RBI); K_S T4 play #35; replaced by NRTH_#11 PH T7 play #62</t>
        </is>
      </c>
    </row>
    <row r="561">
      <c r="A561" t="inlineStr">
        <is>
          <t>2026-03-18_NRTH_at_HNTN</t>
        </is>
      </c>
      <c r="B561" s="10" t="n">
        <v>46099</v>
      </c>
      <c r="C561" t="inlineStr">
        <is>
          <t>Huntingtown Varsity Hurricanes</t>
        </is>
      </c>
      <c r="D561" t="inlineStr">
        <is>
          <t>NRTH</t>
        </is>
      </c>
      <c r="E561" t="inlineStr">
        <is>
          <t>NRTH_#1</t>
        </is>
      </c>
      <c r="F561" t="n">
        <v>3</v>
      </c>
      <c r="G561" t="n">
        <v>3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inlineStr">
        <is>
          <t>FO T2 play #16; GO T5 play #42; reaches on HNTN 3B L Montgomery error T7 play #63 (no H); scores T7 on #13 single play #67</t>
        </is>
      </c>
    </row>
    <row r="562">
      <c r="A562" t="inlineStr">
        <is>
          <t>2026-03-18_NRTH_at_HNTN</t>
        </is>
      </c>
      <c r="B562" s="10" t="n">
        <v>46099</v>
      </c>
      <c r="C562" t="inlineStr">
        <is>
          <t>Huntingtown Varsity Hurricanes</t>
        </is>
      </c>
      <c r="D562" t="inlineStr">
        <is>
          <t>NRTH</t>
        </is>
      </c>
      <c r="E562" t="inlineStr">
        <is>
          <t>NRTH_#6</t>
        </is>
      </c>
      <c r="F562" t="n">
        <v>3</v>
      </c>
      <c r="G562" t="n">
        <v>3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inlineStr">
        <is>
          <t>LO T3 play #22; GO T5 play #43; 1B T7 play #64 scores #11 (1 RBI); scores T7 on #13 single play #67</t>
        </is>
      </c>
    </row>
    <row r="563">
      <c r="A563" t="inlineStr">
        <is>
          <t>2026-03-18_NRTH_at_HNTN</t>
        </is>
      </c>
      <c r="B563" s="10" t="n">
        <v>46099</v>
      </c>
      <c r="C563" t="inlineStr">
        <is>
          <t>Huntingtown Varsity Hurricanes</t>
        </is>
      </c>
      <c r="D563" t="inlineStr">
        <is>
          <t>NRTH</t>
        </is>
      </c>
      <c r="E563" t="inlineStr">
        <is>
          <t>NRTH_#11</t>
        </is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inlineStr">
        <is>
          <t>PH for NRTH_#24 T7 play #62; walk; scores T7 on #6 single play #64</t>
        </is>
      </c>
    </row>
    <row r="564">
      <c r="A564" t="inlineStr">
        <is>
          <t>2026-03-18_NRTH_at_HNTN</t>
        </is>
      </c>
      <c r="B564" s="10" t="n">
        <v>46099</v>
      </c>
      <c r="C564" t="inlineStr">
        <is>
          <t>Huntingtown Varsity Hurricanes</t>
        </is>
      </c>
      <c r="D564" t="inlineStr">
        <is>
          <t>NRTH</t>
        </is>
      </c>
      <c r="E564" t="inlineStr">
        <is>
          <t>NRTH_#16</t>
        </is>
      </c>
      <c r="F564" t="n">
        <v>2</v>
      </c>
      <c r="G564" t="n">
        <v>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>
        <is>
          <t>PH for NRTH_#7 T6 play #50 (Flag #7); GO T6 play #50; GO T7 play #68; also NRTH pitcher B6 partial (entry inferred, Flag #7)</t>
        </is>
      </c>
    </row>
    <row r="565">
      <c r="A565" t="inlineStr">
        <is>
          <t>2026-03-20_CLVR_at_HNTN</t>
        </is>
      </c>
      <c r="B565" s="10" t="n">
        <v>46101</v>
      </c>
      <c r="C565" t="inlineStr">
        <is>
          <t>Calvert HS</t>
        </is>
      </c>
      <c r="D565" t="inlineStr">
        <is>
          <t>HNTN</t>
        </is>
      </c>
      <c r="E565" t="inlineStr">
        <is>
          <t>R Bolger</t>
        </is>
      </c>
      <c r="F565" t="n">
        <v>3</v>
      </c>
      <c r="G565" t="n">
        <v>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2</v>
      </c>
      <c r="P565" t="n">
        <v>2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inlineStr">
        <is>
          <t>Dropped 3rd strike B1 play #5 (K_L, reaches on PB by C Sacker — not a hit); walk B2 play #17; K_L B5 play #37; CR L Bennett in B1 play #9 — L Bennett's R credited to R Bolger (play #9); CS B2 Runner Out play #18</t>
        </is>
      </c>
    </row>
    <row r="566">
      <c r="A566" t="inlineStr">
        <is>
          <t>2026-03-20_CLVR_at_HNTN</t>
        </is>
      </c>
      <c r="B566" s="10" t="n">
        <v>46101</v>
      </c>
      <c r="C566" t="inlineStr">
        <is>
          <t>Calvert HS</t>
        </is>
      </c>
      <c r="D566" t="inlineStr">
        <is>
          <t>HNTN</t>
        </is>
      </c>
      <c r="E566" t="inlineStr">
        <is>
          <t>J Hann</t>
        </is>
      </c>
      <c r="F566" t="n">
        <v>3</v>
      </c>
      <c r="G566" t="n">
        <v>3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2</v>
      </c>
      <c r="P566" t="n">
        <v>0</v>
      </c>
      <c r="Q566" t="n">
        <v>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inlineStr">
        <is>
          <t>K_S B1 play #6; K_S B3 play #22; GO B5 play #38</t>
        </is>
      </c>
    </row>
    <row r="567">
      <c r="A567" t="inlineStr">
        <is>
          <t>2026-03-20_CLVR_at_HNTN</t>
        </is>
      </c>
      <c r="B567" s="10" t="n">
        <v>46101</v>
      </c>
      <c r="C567" t="inlineStr">
        <is>
          <t>Calvert HS</t>
        </is>
      </c>
      <c r="D567" t="inlineStr">
        <is>
          <t>HNTN</t>
        </is>
      </c>
      <c r="E567" t="inlineStr">
        <is>
          <t>J Cadden</t>
        </is>
      </c>
      <c r="F567" t="n">
        <v>3</v>
      </c>
      <c r="G567" t="n">
        <v>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>
        <is>
          <t>Walk B1 play #7; out at 2B on N McMurray FC B1 play #8; FO B3 play #23; GO B5 play #39</t>
        </is>
      </c>
    </row>
    <row r="568">
      <c r="A568" t="inlineStr">
        <is>
          <t>2026-03-20_CLVR_at_HNTN</t>
        </is>
      </c>
      <c r="B568" s="10" t="n">
        <v>46101</v>
      </c>
      <c r="C568" t="inlineStr">
        <is>
          <t>Calvert HS</t>
        </is>
      </c>
      <c r="D568" t="inlineStr">
        <is>
          <t>HNTN</t>
        </is>
      </c>
      <c r="E568" t="inlineStr">
        <is>
          <t>N McMurray</t>
        </is>
      </c>
      <c r="F568" t="n">
        <v>3</v>
      </c>
      <c r="G568" t="n">
        <v>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inlineStr">
        <is>
          <t>FC B1 play #8 (J Cadden out advancing); LO B3 play #24; K_S B6 play #44; CR L Montgomery in B1 play #9 — L Montgomery's R credited to N McMurray (scores on WP play #10, Flag #13); also HNTN starting pitcher T1–T5</t>
        </is>
      </c>
    </row>
    <row r="569">
      <c r="A569" t="inlineStr">
        <is>
          <t>2026-03-20_CLVR_at_HNTN</t>
        </is>
      </c>
      <c r="B569" s="10" t="n">
        <v>46101</v>
      </c>
      <c r="C569" t="inlineStr">
        <is>
          <t>Calvert HS</t>
        </is>
      </c>
      <c r="D569" t="inlineStr">
        <is>
          <t>HNTN</t>
        </is>
      </c>
      <c r="E569" t="inlineStr">
        <is>
          <t>R Gaetano</t>
        </is>
      </c>
      <c r="F569" t="n">
        <v>3</v>
      </c>
      <c r="G569" t="n">
        <v>2</v>
      </c>
      <c r="H569" t="n">
        <v>2</v>
      </c>
      <c r="I569" t="n">
        <v>2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inlineStr">
        <is>
          <t>1B B1 play #9 scores L Bennett (CR-R Bolger = 1 RBI); advances to 3rd on WP(s) but doesn't score B1; 1B B4 play #28; walk B6 play #45; scores B6 on catcher C Sacker error embedded in B Marlowe walk play #46 (no RBI — error run)</t>
        </is>
      </c>
    </row>
    <row r="570">
      <c r="A570" t="inlineStr">
        <is>
          <t>2026-03-20_CLVR_at_HNTN</t>
        </is>
      </c>
      <c r="B570" s="10" t="n">
        <v>46101</v>
      </c>
      <c r="C570" t="inlineStr">
        <is>
          <t>Calvert HS</t>
        </is>
      </c>
      <c r="D570" t="inlineStr">
        <is>
          <t>HNTN</t>
        </is>
      </c>
      <c r="E570" t="inlineStr">
        <is>
          <t>B Marlowe</t>
        </is>
      </c>
      <c r="F570" t="n">
        <v>3</v>
      </c>
      <c r="G570" t="n">
        <v>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2</v>
      </c>
      <c r="P570" t="n">
        <v>0</v>
      </c>
      <c r="Q570" t="n">
        <v>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>
        <is>
          <t>K_S B1 play #10; K_S B4 play #29; walk B6 play #46 (2 WPs and catcher error occur during AB); advances to 3rd on WP/error B6 but doesn't score (inning ends on C Wargo K)</t>
        </is>
      </c>
    </row>
    <row r="571">
      <c r="A571" t="inlineStr">
        <is>
          <t>2026-03-20_CLVR_at_HNTN</t>
        </is>
      </c>
      <c r="B571" s="10" t="n">
        <v>46101</v>
      </c>
      <c r="C571" t="inlineStr">
        <is>
          <t>Calvert HS</t>
        </is>
      </c>
      <c r="D571" t="inlineStr">
        <is>
          <t>HNTN</t>
        </is>
      </c>
      <c r="E571" t="inlineStr">
        <is>
          <t>J Laur</t>
        </is>
      </c>
      <c r="F571" t="n">
        <v>2</v>
      </c>
      <c r="G571" t="n">
        <v>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inlineStr">
        <is>
          <t>GO B2 play #14; PO B6 play #47; replaced by T Burghard PH in B4 play #30 (Flag #8); re-enters as PR for T Burghard B4 play #31 (circular substitution, Flag #8); also pitches T6–T7 (inferred entry, Flag #6)</t>
        </is>
      </c>
    </row>
    <row r="572">
      <c r="A572" t="inlineStr">
        <is>
          <t>2026-03-20_CLVR_at_HNTN</t>
        </is>
      </c>
      <c r="B572" s="10" t="n">
        <v>46101</v>
      </c>
      <c r="C572" t="inlineStr">
        <is>
          <t>Calvert HS</t>
        </is>
      </c>
      <c r="D572" t="inlineStr">
        <is>
          <t>HNTN</t>
        </is>
      </c>
      <c r="E572" t="inlineStr">
        <is>
          <t>C Wargo</t>
        </is>
      </c>
      <c r="F572" t="n">
        <v>3</v>
      </c>
      <c r="G572" t="n">
        <v>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1</v>
      </c>
      <c r="S572" t="n">
        <v>0</v>
      </c>
      <c r="T572" t="n">
        <v>3</v>
      </c>
      <c r="U572" t="n">
        <v>0</v>
      </c>
      <c r="V572" t="n">
        <v>0</v>
      </c>
      <c r="W572" t="n">
        <v>0</v>
      </c>
      <c r="X572" t="n">
        <v>0</v>
      </c>
      <c r="Y572" t="inlineStr">
        <is>
          <t>1B B2 play #15 (pop fly to catcher — Flag #9); FO B4 play #31; K_L B6 play #48; SBs: 2nd B2 play #17 embedded in R Bolger walk; 3rd and home B2 play #18 embedded in Runner Out entry (Flags #10, #11); scores B2 via steal of home</t>
        </is>
      </c>
    </row>
    <row r="573">
      <c r="A573" t="inlineStr">
        <is>
          <t>2026-03-20_CLVR_at_HNTN</t>
        </is>
      </c>
      <c r="B573" s="10" t="n">
        <v>46101</v>
      </c>
      <c r="C573" t="inlineStr">
        <is>
          <t>Calvert HS</t>
        </is>
      </c>
      <c r="D573" t="inlineStr">
        <is>
          <t>HNTN</t>
        </is>
      </c>
      <c r="E573" t="inlineStr">
        <is>
          <t>J Walter</t>
        </is>
      </c>
      <c r="F573" t="n">
        <v>2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2</v>
      </c>
      <c r="P573" t="n">
        <v>0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>
        <is>
          <t>K_S B2 play #16; K_S B4 play #32 (play description says 'looking' but pitch seq final pitch 'Strike 3 swinging' — K_S per Section 4); incomplete AB B7 play #54 not counted (Flag #4)</t>
        </is>
      </c>
    </row>
    <row r="574">
      <c r="A574" t="inlineStr">
        <is>
          <t>2026-03-20_CLVR_at_HNTN</t>
        </is>
      </c>
      <c r="B574" s="10" t="n">
        <v>46101</v>
      </c>
      <c r="C574" t="inlineStr">
        <is>
          <t>Calvert HS</t>
        </is>
      </c>
      <c r="D574" t="inlineStr">
        <is>
          <t>HNTN</t>
        </is>
      </c>
      <c r="E574" t="inlineStr">
        <is>
          <t>T Burghard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inlineStr">
        <is>
          <t>PH for J Laur B4 play #30 (Flag #8); walk; replaced on base by PR J Laur play #31 (circular substitution, Flag #8)</t>
        </is>
      </c>
    </row>
    <row r="575">
      <c r="A575" t="inlineStr">
        <is>
          <t>2026-03-20_CLVR_at_HNTN</t>
        </is>
      </c>
      <c r="B575" s="10" t="n">
        <v>46101</v>
      </c>
      <c r="C575" t="inlineStr">
        <is>
          <t>Huntingtown Varsity Hurricanes</t>
        </is>
      </c>
      <c r="D575" t="inlineStr">
        <is>
          <t>CLVR</t>
        </is>
      </c>
      <c r="E575" t="inlineStr">
        <is>
          <t>G Groom</t>
        </is>
      </c>
      <c r="F575" t="n">
        <v>3</v>
      </c>
      <c r="G575" t="n">
        <v>3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inlineStr">
        <is>
          <t>LO T1 play #1; FO T3 play #21; FO T6 play #41; also CLVR SS fielder</t>
        </is>
      </c>
    </row>
    <row r="576">
      <c r="A576" t="inlineStr">
        <is>
          <t>2026-03-20_CLVR_at_HNTN</t>
        </is>
      </c>
      <c r="B576" s="10" t="n">
        <v>46101</v>
      </c>
      <c r="C576" t="inlineStr">
        <is>
          <t>Huntingtown Varsity Hurricanes</t>
        </is>
      </c>
      <c r="D576" t="inlineStr">
        <is>
          <t>CLVR</t>
        </is>
      </c>
      <c r="E576" t="inlineStr">
        <is>
          <t>J Rodenhaver</t>
        </is>
      </c>
      <c r="F576" t="n">
        <v>3</v>
      </c>
      <c r="G576" t="n">
        <v>3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inlineStr">
        <is>
          <t>Reaches on HNTN 3B J Laur error T1 play #2 (no H); 1B T6 play #42; GO T4 play #25; SB 2nd T1 embedded in D Sauls AB play #4</t>
        </is>
      </c>
    </row>
    <row r="577">
      <c r="A577" t="inlineStr">
        <is>
          <t>2026-03-20_CLVR_at_HNTN</t>
        </is>
      </c>
      <c r="B577" s="10" t="n">
        <v>46101</v>
      </c>
      <c r="C577" t="inlineStr">
        <is>
          <t>Huntingtown Varsity Hurricanes</t>
        </is>
      </c>
      <c r="D577" t="inlineStr">
        <is>
          <t>CLVR</t>
        </is>
      </c>
      <c r="E577" t="inlineStr">
        <is>
          <t>J Lee</t>
        </is>
      </c>
      <c r="F577" t="n">
        <v>3</v>
      </c>
      <c r="G577" t="n">
        <v>3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3</v>
      </c>
      <c r="P577" t="n">
        <v>2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>
        <is>
          <t>K_L T1 play #3; K_S T4 play #26; K_L T6 play #43; also CLVR starting pitcher B1–B5 (Flag #5)</t>
        </is>
      </c>
    </row>
    <row r="578">
      <c r="A578" t="inlineStr">
        <is>
          <t>2026-03-20_CLVR_at_HNTN</t>
        </is>
      </c>
      <c r="B578" s="10" t="n">
        <v>46101</v>
      </c>
      <c r="C578" t="inlineStr">
        <is>
          <t>Huntingtown Varsity Hurricanes</t>
        </is>
      </c>
      <c r="D578" t="inlineStr">
        <is>
          <t>CLVR</t>
        </is>
      </c>
      <c r="E578" t="inlineStr">
        <is>
          <t>D Sauls</t>
        </is>
      </c>
      <c r="F578" t="n">
        <v>3</v>
      </c>
      <c r="G578" t="n">
        <v>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2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inlineStr">
        <is>
          <t>K_L T1 play #4; K_S T4 play #27; walk T7 play #49; advances to 3rd on M Merriman 2B but doesn't score</t>
        </is>
      </c>
    </row>
    <row r="579">
      <c r="A579" t="inlineStr">
        <is>
          <t>2026-03-20_CLVR_at_HNTN</t>
        </is>
      </c>
      <c r="B579" s="10" t="n">
        <v>46101</v>
      </c>
      <c r="C579" t="inlineStr">
        <is>
          <t>Huntingtown Varsity Hurricanes</t>
        </is>
      </c>
      <c r="D579" t="inlineStr">
        <is>
          <t>CLVR</t>
        </is>
      </c>
      <c r="E579" t="inlineStr">
        <is>
          <t>M Merriman</t>
        </is>
      </c>
      <c r="F579" t="n">
        <v>3</v>
      </c>
      <c r="G579" t="n">
        <v>3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inlineStr">
        <is>
          <t>GO T2 play #11; PO T5 play #33; 2B T7 play #50 (D Sauls to 3rd); does not score</t>
        </is>
      </c>
    </row>
    <row r="580">
      <c r="A580" t="inlineStr">
        <is>
          <t>2026-03-20_CLVR_at_HNTN</t>
        </is>
      </c>
      <c r="B580" s="10" t="n">
        <v>46101</v>
      </c>
      <c r="C580" t="inlineStr">
        <is>
          <t>Huntingtown Varsity Hurricanes</t>
        </is>
      </c>
      <c r="D580" t="inlineStr">
        <is>
          <t>CLVR</t>
        </is>
      </c>
      <c r="E580" t="inlineStr">
        <is>
          <t>J Leichtweis</t>
        </is>
      </c>
      <c r="F580" t="n">
        <v>3</v>
      </c>
      <c r="G580" t="n">
        <v>3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inlineStr">
        <is>
          <t>FO T2 play #12; PO T5 play #34; K_S T7 play #51; also CLVR pitcher B6 (inferred entry, Flag #7)</t>
        </is>
      </c>
    </row>
    <row r="581">
      <c r="A581" t="inlineStr">
        <is>
          <t>2026-03-20_CLVR_at_HNTN</t>
        </is>
      </c>
      <c r="B581" s="10" t="n">
        <v>46101</v>
      </c>
      <c r="C581" t="inlineStr">
        <is>
          <t>Huntingtown Varsity Hurricanes</t>
        </is>
      </c>
      <c r="D581" t="inlineStr">
        <is>
          <t>CLVR</t>
        </is>
      </c>
      <c r="E581" t="inlineStr">
        <is>
          <t>N D'Agostino</t>
        </is>
      </c>
      <c r="F581" t="n">
        <v>3</v>
      </c>
      <c r="G581" t="n">
        <v>3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inlineStr">
        <is>
          <t>FO T2 play #13; 1B T5 play #35 (doesn't score); K_L T7 play #52</t>
        </is>
      </c>
    </row>
    <row r="582">
      <c r="A582" t="inlineStr">
        <is>
          <t>2026-03-20_CLVR_at_HNTN</t>
        </is>
      </c>
      <c r="B582" s="10" t="n">
        <v>46101</v>
      </c>
      <c r="C582" t="inlineStr">
        <is>
          <t>Huntingtown Varsity Hurricanes</t>
        </is>
      </c>
      <c r="D582" t="inlineStr">
        <is>
          <t>CLVR</t>
        </is>
      </c>
      <c r="E582" t="inlineStr">
        <is>
          <t>C Sacker</t>
        </is>
      </c>
      <c r="F582" t="n">
        <v>2</v>
      </c>
      <c r="G582" t="n">
        <v>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>
        <is>
          <t>GO T3 play #19; FO T5 play #36; replaced by CLVR_#13 PH T7 play #53; also CLVR catcher — 2 errors plays #46, #47 (Flags #14, #15)</t>
        </is>
      </c>
    </row>
    <row r="583">
      <c r="A583" t="inlineStr">
        <is>
          <t>2026-03-20_CLVR_at_HNTN</t>
        </is>
      </c>
      <c r="B583" s="10" t="n">
        <v>46101</v>
      </c>
      <c r="C583" t="inlineStr">
        <is>
          <t>Huntingtown Varsity Hurricanes</t>
        </is>
      </c>
      <c r="D583" t="inlineStr">
        <is>
          <t>CLVR</t>
        </is>
      </c>
      <c r="E583" t="inlineStr">
        <is>
          <t>C Hall</t>
        </is>
      </c>
      <c r="F583" t="n">
        <v>2</v>
      </c>
      <c r="G583" t="n">
        <v>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inlineStr">
        <is>
          <t>PO T3 play #20; FO T6 play #40</t>
        </is>
      </c>
    </row>
    <row r="584">
      <c r="A584" t="inlineStr">
        <is>
          <t>2026-03-20_CLVR_at_HNTN</t>
        </is>
      </c>
      <c r="B584" s="10" t="n">
        <v>46101</v>
      </c>
      <c r="C584" t="inlineStr">
        <is>
          <t>Huntingtown Varsity Hurricanes</t>
        </is>
      </c>
      <c r="D584" t="inlineStr">
        <is>
          <t>CLVR</t>
        </is>
      </c>
      <c r="E584" t="inlineStr">
        <is>
          <t>CLVR_#13</t>
        </is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inlineStr">
        <is>
          <t>PH for C Sacker T7 play #53; K_S; identified by jersey number only — Flag #12</t>
        </is>
      </c>
    </row>
    <row r="585">
      <c r="A585" t="inlineStr">
        <is>
          <t>2026-03-23_PTXN_at_HNTN</t>
        </is>
      </c>
      <c r="B585" s="10" t="n">
        <v>46104</v>
      </c>
      <c r="C585" t="inlineStr">
        <is>
          <t>Patuxent</t>
        </is>
      </c>
      <c r="D585" t="inlineStr">
        <is>
          <t>HNTN</t>
        </is>
      </c>
      <c r="E585" t="inlineStr">
        <is>
          <t>N McMurray</t>
        </is>
      </c>
      <c r="F585" t="n">
        <v>4</v>
      </c>
      <c r="G585" t="n">
        <v>4</v>
      </c>
      <c r="H585" t="n">
        <v>2</v>
      </c>
      <c r="I585" t="n">
        <v>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2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>
        <is>
          <t>Reaches on PTXN 3B error B1 play #5 (advances to 2nd on same error, no H); 1B B2 play #18 (fly ball notation, Flag #10) scores C Wargo from 3rd (1 RBI); advances to 3rd on T Lakey CF error play #18; 1B B4 play #40; scores B1 on J Hann single play #9 and B4 on J Cadden single play #42; K_S B6 play #57</t>
        </is>
      </c>
    </row>
    <row r="586">
      <c r="A586" t="inlineStr">
        <is>
          <t>2026-03-23_PTXN_at_HNTN</t>
        </is>
      </c>
      <c r="B586" s="10" t="n">
        <v>46104</v>
      </c>
      <c r="C586" t="inlineStr">
        <is>
          <t>Patuxent</t>
        </is>
      </c>
      <c r="D586" t="inlineStr">
        <is>
          <t>HNTN</t>
        </is>
      </c>
      <c r="E586" t="inlineStr">
        <is>
          <t>R Bolger</t>
        </is>
      </c>
      <c r="F586" t="n">
        <v>4</v>
      </c>
      <c r="G586" t="n">
        <v>4</v>
      </c>
      <c r="H586" t="n">
        <v>2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inlineStr">
        <is>
          <t>FO B1 play #6; 1B B2 play #19; FC B4 play #41 (G Grimes out advancing); walk-off 1B B6 play #58 scores C Wargo (1 RBI, Flag #13); CR L Montgomery in B4 play #42 and B6 play #59 — L Montgomery does not score either time</t>
        </is>
      </c>
    </row>
    <row r="587">
      <c r="A587" t="inlineStr">
        <is>
          <t>2026-03-23_PTXN_at_HNTN</t>
        </is>
      </c>
      <c r="B587" s="10" t="n">
        <v>46104</v>
      </c>
      <c r="C587" t="inlineStr">
        <is>
          <t>Patuxent</t>
        </is>
      </c>
      <c r="D587" t="inlineStr">
        <is>
          <t>HNTN</t>
        </is>
      </c>
      <c r="E587" t="inlineStr">
        <is>
          <t>J Cadden</t>
        </is>
      </c>
      <c r="F587" t="n">
        <v>4</v>
      </c>
      <c r="G587" t="n">
        <v>3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inlineStr">
        <is>
          <t>Walk B1 play #7; K_S B2 play #20; 1B B4 play #42 scores N McMurray (1 RBI); 1B B6 play #59; scores B1 on PB during J Laur AB play #10 (no RBI for J Laur)</t>
        </is>
      </c>
    </row>
    <row r="588">
      <c r="A588" t="inlineStr">
        <is>
          <t>2026-03-23_PTXN_at_HNTN</t>
        </is>
      </c>
      <c r="B588" s="10" t="n">
        <v>46104</v>
      </c>
      <c r="C588" t="inlineStr">
        <is>
          <t>Patuxent</t>
        </is>
      </c>
      <c r="D588" t="inlineStr">
        <is>
          <t>HNTN</t>
        </is>
      </c>
      <c r="E588" t="inlineStr">
        <is>
          <t>R Gaetano</t>
        </is>
      </c>
      <c r="F588" t="n">
        <v>4</v>
      </c>
      <c r="G588" t="n">
        <v>4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inlineStr">
        <is>
          <t>FO B1 play #8; GO B3 play #24; GO B4 play #43; GO B6 play #60</t>
        </is>
      </c>
    </row>
    <row r="589">
      <c r="A589" t="inlineStr">
        <is>
          <t>2026-03-23_PTXN_at_HNTN</t>
        </is>
      </c>
      <c r="B589" s="10" t="n">
        <v>46104</v>
      </c>
      <c r="C589" t="inlineStr">
        <is>
          <t>Patuxent</t>
        </is>
      </c>
      <c r="D589" t="inlineStr">
        <is>
          <t>HNTN</t>
        </is>
      </c>
      <c r="E589" t="inlineStr">
        <is>
          <t>J Hann</t>
        </is>
      </c>
      <c r="F589" t="n">
        <v>3</v>
      </c>
      <c r="G589" t="n">
        <v>3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inlineStr">
        <is>
          <t>1B B1 play #9 (fly ball notation, Flag #10) scores N McMurray (1 RBI); FO B3 play #25; K_S B5 play #48; incomplete AB B7 play #66 not counted (Flag #4)</t>
        </is>
      </c>
    </row>
    <row r="590">
      <c r="A590" t="inlineStr">
        <is>
          <t>2026-03-23_PTXN_at_HNTN</t>
        </is>
      </c>
      <c r="B590" s="10" t="n">
        <v>46104</v>
      </c>
      <c r="C590" t="inlineStr">
        <is>
          <t>Patuxent</t>
        </is>
      </c>
      <c r="D590" t="inlineStr">
        <is>
          <t>HNTN</t>
        </is>
      </c>
      <c r="E590" t="inlineStr">
        <is>
          <t>J Laur</t>
        </is>
      </c>
      <c r="F590" t="n">
        <v>3</v>
      </c>
      <c r="G590" t="n">
        <v>3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inlineStr">
        <is>
          <t>LO B1 play #10 — PB during AB scores J Cadden and advances J Hann (no RBI for J Laur — PB run); 1B B3 play #26 (out at 2B on B Marlowe FC play #27); FO B5 play #49</t>
        </is>
      </c>
    </row>
    <row r="591">
      <c r="A591" t="inlineStr">
        <is>
          <t>2026-03-23_PTXN_at_HNTN</t>
        </is>
      </c>
      <c r="B591" s="10" t="n">
        <v>46104</v>
      </c>
      <c r="C591" t="inlineStr">
        <is>
          <t>Patuxent</t>
        </is>
      </c>
      <c r="D591" t="inlineStr">
        <is>
          <t>HNTN</t>
        </is>
      </c>
      <c r="E591" t="inlineStr">
        <is>
          <t>B Marlowe</t>
        </is>
      </c>
      <c r="F591" t="n">
        <v>3</v>
      </c>
      <c r="G591" t="n">
        <v>3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inlineStr">
        <is>
          <t>1B B2 play #15 (out at 2B on C Wargo FC play #16); FC B3 play #27 (J Laur out at 2B); K_L B5 play #50</t>
        </is>
      </c>
    </row>
    <row r="592">
      <c r="A592" t="inlineStr">
        <is>
          <t>2026-03-23_PTXN_at_HNTN</t>
        </is>
      </c>
      <c r="B592" s="10" t="n">
        <v>46104</v>
      </c>
      <c r="C592" t="inlineStr">
        <is>
          <t>Patuxent</t>
        </is>
      </c>
      <c r="D592" t="inlineStr">
        <is>
          <t>HNTN</t>
        </is>
      </c>
      <c r="E592" t="inlineStr">
        <is>
          <t>C Wargo</t>
        </is>
      </c>
      <c r="F592" t="n">
        <v>3</v>
      </c>
      <c r="G592" t="n">
        <v>3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inlineStr">
        <is>
          <t>FC B2 play #16 (B Marlowe out at 2B); SB 3rd B2 embedded in N McMurray AB play #18; scores B2 on N McMurray single play #18; LO B4 play #38; 1B B6 play #55; advances to 2nd on PB B6 play #56; advances to 3rd on G Grimes SAC bunt play #56; scores B6 on R Bolger walk-off single play #58</t>
        </is>
      </c>
    </row>
    <row r="593">
      <c r="A593" t="inlineStr">
        <is>
          <t>2026-03-23_PTXN_at_HNTN</t>
        </is>
      </c>
      <c r="B593" s="10" t="n">
        <v>46104</v>
      </c>
      <c r="C593" t="inlineStr">
        <is>
          <t>Patuxent</t>
        </is>
      </c>
      <c r="D593" t="inlineStr">
        <is>
          <t>HNTN</t>
        </is>
      </c>
      <c r="E593" t="inlineStr">
        <is>
          <t>G Grimes</t>
        </is>
      </c>
      <c r="F593" t="n">
        <v>3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inlineStr">
        <is>
          <t>K_S B2 play #17; HBP B4 play #39 (out advancing to 3rd on R Bolger FC play #41); SAC bunt B6 play #56 (C Wargo advances to 3rd via PB then bunt)</t>
        </is>
      </c>
    </row>
    <row r="594">
      <c r="A594" t="inlineStr">
        <is>
          <t>2026-03-23_PTXN_at_HNTN</t>
        </is>
      </c>
      <c r="B594" s="10" t="n">
        <v>46104</v>
      </c>
      <c r="C594" t="inlineStr">
        <is>
          <t>Huntingtown Varsity Hurricanes</t>
        </is>
      </c>
      <c r="D594" t="inlineStr">
        <is>
          <t>PTXN</t>
        </is>
      </c>
      <c r="E594" t="inlineStr">
        <is>
          <t>B Cowan</t>
        </is>
      </c>
      <c r="F594" t="n">
        <v>3</v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inlineStr">
        <is>
          <t>Reaches on HNTN LF C Wargo error T1 play #1 (advances to 2nd on same error, no H); SB 3rd T1 play #3 embedded; CS home T1 play #4 embedded (Flag #7); K_S T3 play #22; FC T4 play #35 (C White out at home)</t>
        </is>
      </c>
    </row>
    <row r="595">
      <c r="A595" t="inlineStr">
        <is>
          <t>2026-03-23_PTXN_at_HNTN</t>
        </is>
      </c>
      <c r="B595" s="10" t="n">
        <v>46104</v>
      </c>
      <c r="C595" t="inlineStr">
        <is>
          <t>Huntingtown Varsity Hurricanes</t>
        </is>
      </c>
      <c r="D595" t="inlineStr">
        <is>
          <t>PTXN</t>
        </is>
      </c>
      <c r="E595" t="inlineStr">
        <is>
          <t>T Lakey</t>
        </is>
      </c>
      <c r="F595" t="n">
        <v>4</v>
      </c>
      <c r="G595" t="n">
        <v>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inlineStr">
        <is>
          <t>Walk T1 play #2 (advances to 2nd on DI play #3 — not credited as SB); GO T3 play #23; HBP T4 play #36 (N Sands forced home = 1 RBI); GO T6 play #54; also PTXN pitcher B5–B6 partial (Flag #6); also credited as CF in play #18 (Flag #11)</t>
        </is>
      </c>
    </row>
    <row r="596">
      <c r="A596" t="inlineStr">
        <is>
          <t>2026-03-23_PTXN_at_HNTN</t>
        </is>
      </c>
      <c r="B596" s="10" t="n">
        <v>46104</v>
      </c>
      <c r="C596" t="inlineStr">
        <is>
          <t>Huntingtown Varsity Hurricanes</t>
        </is>
      </c>
      <c r="D596" t="inlineStr">
        <is>
          <t>PTXN</t>
        </is>
      </c>
      <c r="E596" t="inlineStr">
        <is>
          <t>L Powell</t>
        </is>
      </c>
      <c r="F596" t="n">
        <v>4</v>
      </c>
      <c r="G596" t="n">
        <v>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inlineStr">
        <is>
          <t>K_S T1 play #3; HBP T4 play #28; scores T4 on C Jones single play #31; FO T4 play #37; FO T7 play #61</t>
        </is>
      </c>
    </row>
    <row r="597">
      <c r="A597" t="inlineStr">
        <is>
          <t>2026-03-23_PTXN_at_HNTN</t>
        </is>
      </c>
      <c r="B597" s="10" t="n">
        <v>46104</v>
      </c>
      <c r="C597" t="inlineStr">
        <is>
          <t>Huntingtown Varsity Hurricanes</t>
        </is>
      </c>
      <c r="D597" t="inlineStr">
        <is>
          <t>PTXN</t>
        </is>
      </c>
      <c r="E597" t="inlineStr">
        <is>
          <t>R Whitney</t>
        </is>
      </c>
      <c r="F597" t="n">
        <v>4</v>
      </c>
      <c r="G597" t="n">
        <v>4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>
        <is>
          <t>PO T1 play #4; 2B T4 play #29 (scores on C Jones single play #31); FO T5 play #44; FO T7 play #62; also PTXN pitcher B6 partial (Flag #6)</t>
        </is>
      </c>
    </row>
    <row r="598">
      <c r="A598" t="inlineStr">
        <is>
          <t>2026-03-23_PTXN_at_HNTN</t>
        </is>
      </c>
      <c r="B598" s="10" t="n">
        <v>46104</v>
      </c>
      <c r="C598" t="inlineStr">
        <is>
          <t>Huntingtown Varsity Hurricanes</t>
        </is>
      </c>
      <c r="D598" t="inlineStr">
        <is>
          <t>PTXN</t>
        </is>
      </c>
      <c r="E598" t="inlineStr">
        <is>
          <t>N Kelly</t>
        </is>
      </c>
      <c r="F598" t="n">
        <v>4</v>
      </c>
      <c r="G598" t="n">
        <v>4</v>
      </c>
      <c r="H598" t="n">
        <v>2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inlineStr">
        <is>
          <t>K_S T2 play #11; LO T4 play #30; 1B T5 play #45; SB 2nd T5 embedded in C Jones AB play #46; advances to 3rd on WP T5 play #46 (doesn't score); 2B T7 play #63 (doesn't score — C Jones IW, C White K ends inning)</t>
        </is>
      </c>
    </row>
    <row r="599">
      <c r="A599" t="inlineStr">
        <is>
          <t>2026-03-23_PTXN_at_HNTN</t>
        </is>
      </c>
      <c r="B599" s="10" t="n">
        <v>46104</v>
      </c>
      <c r="C599" t="inlineStr">
        <is>
          <t>Huntingtown Varsity Hurricanes</t>
        </is>
      </c>
      <c r="D599" t="inlineStr">
        <is>
          <t>PTXN</t>
        </is>
      </c>
      <c r="E599" t="inlineStr">
        <is>
          <t>C Jones</t>
        </is>
      </c>
      <c r="F599" t="n">
        <v>4</v>
      </c>
      <c r="G599" t="n">
        <v>3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n">
        <v>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inlineStr">
        <is>
          <t>1B T2 play #12; 1B T4 play #31 scores R Whitney and L Powell (2 RBI); K_S T5 play #46; IW T7 play #64 (counted as BB, Flag #14); scores T4 on D Bradley single play #34</t>
        </is>
      </c>
    </row>
    <row r="600">
      <c r="A600" t="inlineStr">
        <is>
          <t>2026-03-23_PTXN_at_HNTN</t>
        </is>
      </c>
      <c r="B600" s="10" t="n">
        <v>46104</v>
      </c>
      <c r="C600" t="inlineStr">
        <is>
          <t>Huntingtown Varsity Hurricanes</t>
        </is>
      </c>
      <c r="D600" t="inlineStr">
        <is>
          <t>PTXN</t>
        </is>
      </c>
      <c r="E600" t="inlineStr">
        <is>
          <t>C White</t>
        </is>
      </c>
      <c r="F600" t="n">
        <v>4</v>
      </c>
      <c r="G600" t="n">
        <v>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3</v>
      </c>
      <c r="P600" t="n">
        <v>2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>
        <is>
          <t>K_S T2 play #13; walk T4 play #32 (out at home on B Cowan FC play #35); K_L T5 play #47; K_L T7 play #65</t>
        </is>
      </c>
    </row>
    <row r="601">
      <c r="A601" t="inlineStr">
        <is>
          <t>2026-03-23_PTXN_at_HNTN</t>
        </is>
      </c>
      <c r="B601" s="10" t="n">
        <v>46104</v>
      </c>
      <c r="C601" t="inlineStr">
        <is>
          <t>Huntingtown Varsity Hurricanes</t>
        </is>
      </c>
      <c r="D601" t="inlineStr">
        <is>
          <t>PTXN</t>
        </is>
      </c>
      <c r="E601" t="inlineStr">
        <is>
          <t>N Sands</t>
        </is>
      </c>
      <c r="F601" t="n">
        <v>3</v>
      </c>
      <c r="G601" t="n">
        <v>3</v>
      </c>
      <c r="H601" t="n">
        <v>2</v>
      </c>
      <c r="I601" t="n">
        <v>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inlineStr">
        <is>
          <t>K_S T2 play #14; 1B bunt T4 play #33; advances to 3rd on D Bradley single; scores T4 on T Lakey HBP play #36 (forced home); 1B T6 play #51 (fly ball notation, Flag #10) — advances to 3rd but doesn't score</t>
        </is>
      </c>
    </row>
    <row r="602">
      <c r="A602" t="inlineStr">
        <is>
          <t>2026-03-23_PTXN_at_HNTN</t>
        </is>
      </c>
      <c r="B602" s="10" t="n">
        <v>46104</v>
      </c>
      <c r="C602" t="inlineStr">
        <is>
          <t>Huntingtown Varsity Hurricanes</t>
        </is>
      </c>
      <c r="D602" t="inlineStr">
        <is>
          <t>PTXN</t>
        </is>
      </c>
      <c r="E602" t="inlineStr">
        <is>
          <t>D Bradley</t>
        </is>
      </c>
      <c r="F602" t="n">
        <v>3</v>
      </c>
      <c r="G602" t="n">
        <v>2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inlineStr">
        <is>
          <t>FO T3 play #21; 1B T4 play #34 scores C Jones (1 RBI); SAC bunt T6 play #52 (N Sands advances to 2nd); CR R Hawkins in for D Bradley T4 play #35 — R Hawkins does not score (stranded at 3rd); also PTXN starting pitcher B1–B4 (Flag #6 — transition to T Lakey undocumented)</t>
        </is>
      </c>
    </row>
    <row r="603">
      <c r="A603" t="inlineStr">
        <is>
          <t>2026-03-25_MCDN_at_HNTN</t>
        </is>
      </c>
      <c r="B603" s="10" t="n">
        <v>46106</v>
      </c>
      <c r="C603" t="inlineStr">
        <is>
          <t>McDonough</t>
        </is>
      </c>
      <c r="D603" t="inlineStr">
        <is>
          <t>HNTN</t>
        </is>
      </c>
      <c r="E603" t="inlineStr">
        <is>
          <t>N McMurray</t>
        </is>
      </c>
      <c r="F603" t="n">
        <v>5</v>
      </c>
      <c r="G603" t="n">
        <v>4</v>
      </c>
      <c r="H603" t="n">
        <v>3</v>
      </c>
      <c r="I603" t="n">
        <v>1</v>
      </c>
      <c r="J603" t="n">
        <v>2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2</v>
      </c>
      <c r="S603" t="n">
        <v>2</v>
      </c>
      <c r="T603" t="n">
        <v>2</v>
      </c>
      <c r="U603" t="n">
        <v>0</v>
      </c>
      <c r="V603" t="n">
        <v>0</v>
      </c>
      <c r="W603" t="n">
        <v>0</v>
      </c>
      <c r="X603" t="n">
        <v>0</v>
      </c>
      <c r="Y603" t="inlineStr">
        <is>
          <t>2B B1 play #6 (scores on J Cadden 2B play #8); 2B B2 play #24; 1B B3 play #36 scores C Wargo and B Marlowe (2 RBI) — WP pre-play advanced runners; reaches on MCDN 3B #5 error B4 play #49 (C Wargo scores on error, no RBI); walk B6 play #67; SB 2nd B3 play #37 embedded; SB 2nd B6 play #68 embedded; CR E Elliott in B6 play #69 (as CR for N McMurray) — E Elliott out at home play #70; also HNTN pitcher T6–T7</t>
        </is>
      </c>
    </row>
    <row r="604">
      <c r="A604" t="inlineStr">
        <is>
          <t>2026-03-25_MCDN_at_HNTN</t>
        </is>
      </c>
      <c r="B604" s="10" t="n">
        <v>46106</v>
      </c>
      <c r="C604" t="inlineStr">
        <is>
          <t>McDonough</t>
        </is>
      </c>
      <c r="D604" t="inlineStr">
        <is>
          <t>HNTN</t>
        </is>
      </c>
      <c r="E604" t="inlineStr">
        <is>
          <t>R Bolger</t>
        </is>
      </c>
      <c r="F604" t="n">
        <v>5</v>
      </c>
      <c r="G604" t="n">
        <v>2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3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inlineStr">
        <is>
          <t>FO B1 play #6; FC B2 play #25 (N McMurray out advancing); 3 BBs (B1, B3, B4); GO B6 play #68; scores B1 on J Hann single play #11; CR G Grimes in B2 play #26 — G Grimes does not score</t>
        </is>
      </c>
    </row>
    <row r="605">
      <c r="A605" t="inlineStr">
        <is>
          <t>2026-03-25_MCDN_at_HNTN</t>
        </is>
      </c>
      <c r="B605" s="10" t="n">
        <v>46106</v>
      </c>
      <c r="C605" t="inlineStr">
        <is>
          <t>McDonough</t>
        </is>
      </c>
      <c r="D605" t="inlineStr">
        <is>
          <t>HNTN</t>
        </is>
      </c>
      <c r="E605" t="inlineStr">
        <is>
          <t>J Cadden</t>
        </is>
      </c>
      <c r="F605" t="n">
        <v>5</v>
      </c>
      <c r="G605" t="n">
        <v>5</v>
      </c>
      <c r="H605" t="n">
        <v>3</v>
      </c>
      <c r="I605" t="n">
        <v>1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inlineStr">
        <is>
          <t>2B B1 play #8 scores N McMurray (1 RBI, via PB advance + double); doubled off 2B on J Laur GDP play #10; 2B B2 play #26 (G Grimes CR for R Bolger advances to 3rd); reaches on MCDN SS #3 error B3 play #38 (no H); FO B4 play #51; 1B B6 play #69 (pop fly to pitcher — Flag #10); SB 2nd B6 play #70 embedded</t>
        </is>
      </c>
    </row>
    <row r="606">
      <c r="A606" t="inlineStr">
        <is>
          <t>2026-03-25_MCDN_at_HNTN</t>
        </is>
      </c>
      <c r="B606" s="10" t="n">
        <v>46106</v>
      </c>
      <c r="C606" t="inlineStr">
        <is>
          <t>McDonough</t>
        </is>
      </c>
      <c r="D606" t="inlineStr">
        <is>
          <t>HNTN</t>
        </is>
      </c>
      <c r="E606" t="inlineStr">
        <is>
          <t>R Gaetano</t>
        </is>
      </c>
      <c r="F606" t="n">
        <v>5</v>
      </c>
      <c r="G606" t="n">
        <v>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inlineStr">
        <is>
          <t>Walk B1 play #9; walk B2 play #27; walk B3 play #39 (bases loaded, forces N McMurray home = 1 RBI); reaches on MCDN 3B #5 error B5 play #56 (no H); FC B6 play #70 (E Elliott out at home)</t>
        </is>
      </c>
    </row>
    <row r="607">
      <c r="A607" t="inlineStr">
        <is>
          <t>2026-03-25_MCDN_at_HNTN</t>
        </is>
      </c>
      <c r="B607" s="10" t="n">
        <v>46106</v>
      </c>
      <c r="C607" t="inlineStr">
        <is>
          <t>McDonough</t>
        </is>
      </c>
      <c r="D607" t="inlineStr">
        <is>
          <t>HNTN</t>
        </is>
      </c>
      <c r="E607" t="inlineStr">
        <is>
          <t>J Laur</t>
        </is>
      </c>
      <c r="F607" t="n">
        <v>5</v>
      </c>
      <c r="G607" t="n">
        <v>5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inlineStr">
        <is>
          <t>GDP B1 play #10 (unusual relay — Flag #9, J Cadden doubled off); K_S B2 play #28; FO B3 play #40; 1B B5 play #57; FO B6 play #71; CR E Elliott in B5 play #59 — E Elliott does not score; also HNTN pitcher T5–T6 (Flag #7)</t>
        </is>
      </c>
    </row>
    <row r="608">
      <c r="A608" t="inlineStr">
        <is>
          <t>2026-03-25_MCDN_at_HNTN</t>
        </is>
      </c>
      <c r="B608" s="10" t="n">
        <v>46106</v>
      </c>
      <c r="C608" t="inlineStr">
        <is>
          <t>McDonough</t>
        </is>
      </c>
      <c r="D608" t="inlineStr">
        <is>
          <t>HNTN</t>
        </is>
      </c>
      <c r="E608" t="inlineStr">
        <is>
          <t>J Hann</t>
        </is>
      </c>
      <c r="F608" t="n">
        <v>4</v>
      </c>
      <c r="G608" t="n">
        <v>4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>
        <is>
          <t>1B B1 play #11 scores R Bolger (1 RBI); LO B3 play #32; FO B4 play #45; K B5 play #58 — foul bunt strikeout (K_S, Flag #14); incomplete AB B7 not counted (Flag #4)</t>
        </is>
      </c>
    </row>
    <row r="609">
      <c r="A609" t="inlineStr">
        <is>
          <t>2026-03-25_MCDN_at_HNTN</t>
        </is>
      </c>
      <c r="B609" s="10" t="n">
        <v>46106</v>
      </c>
      <c r="C609" t="inlineStr">
        <is>
          <t>McDonough</t>
        </is>
      </c>
      <c r="D609" t="inlineStr">
        <is>
          <t>HNTN</t>
        </is>
      </c>
      <c r="E609" t="inlineStr">
        <is>
          <t>B Marlowe</t>
        </is>
      </c>
      <c r="F609" t="n">
        <v>4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3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>
        <is>
          <t>Walk B1 play #12; walk B3 play #33; K_S B4 play #46; walk B5 play #59; advances to 3rd on WP during N McMurray AB play #36; scores B3 on N McMurray single play #36</t>
        </is>
      </c>
    </row>
    <row r="610">
      <c r="A610" t="inlineStr">
        <is>
          <t>2026-03-25_MCDN_at_HNTN</t>
        </is>
      </c>
      <c r="B610" s="10" t="n">
        <v>46106</v>
      </c>
      <c r="C610" t="inlineStr">
        <is>
          <t>McDonough</t>
        </is>
      </c>
      <c r="D610" t="inlineStr">
        <is>
          <t>HNTN</t>
        </is>
      </c>
      <c r="E610" t="inlineStr">
        <is>
          <t>C Wargo</t>
        </is>
      </c>
      <c r="F610" t="n">
        <v>4</v>
      </c>
      <c r="G610" t="n">
        <v>4</v>
      </c>
      <c r="H610" t="n">
        <v>2</v>
      </c>
      <c r="I610" t="n">
        <v>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2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inlineStr">
        <is>
          <t>FO B1 play #13; 1B B3 play #34 (advances to 2nd on WP play #36 prior to batted ball); 1B B4 play #47; K_S B5 play #60; SB 3rd B4 play #49 embedded in N McMurray AB; scores B3 on N McMurray single play #36; scores B4 on MCDN 3B #5 error play #49 (no RBI)</t>
        </is>
      </c>
    </row>
    <row r="611">
      <c r="A611" t="inlineStr">
        <is>
          <t>2026-03-25_MCDN_at_HNTN</t>
        </is>
      </c>
      <c r="B611" s="10" t="n">
        <v>46106</v>
      </c>
      <c r="C611" t="inlineStr">
        <is>
          <t>McDonough</t>
        </is>
      </c>
      <c r="D611" t="inlineStr">
        <is>
          <t>HNTN</t>
        </is>
      </c>
      <c r="E611" t="inlineStr">
        <is>
          <t>L Montgomery</t>
        </is>
      </c>
      <c r="F611" t="n">
        <v>2</v>
      </c>
      <c r="G611" t="n">
        <v>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2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inlineStr">
        <is>
          <t>K_S B2 play #23; K_L B3 play #35; replaced by R Kessler PH B4 play #48</t>
        </is>
      </c>
    </row>
    <row r="612">
      <c r="A612" t="inlineStr">
        <is>
          <t>2026-03-25_MCDN_at_HNTN</t>
        </is>
      </c>
      <c r="B612" s="10" t="n">
        <v>46106</v>
      </c>
      <c r="C612" t="inlineStr">
        <is>
          <t>McDonough</t>
        </is>
      </c>
      <c r="D612" t="inlineStr">
        <is>
          <t>HNTN</t>
        </is>
      </c>
      <c r="E612" t="inlineStr">
        <is>
          <t>R Kessler</t>
        </is>
      </c>
      <c r="F612" t="n">
        <v>2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inlineStr">
        <is>
          <t>PH for L Montgomery B4 play #48; walk; SB 2nd B4 play #49 embedded in N McMurray AB; K_S B5 play #61; stranded at 3rd B4 (inning ends on J Cadden FO)</t>
        </is>
      </c>
    </row>
    <row r="613">
      <c r="A613" t="inlineStr">
        <is>
          <t>2026-03-25_MCDN_at_HNTN</t>
        </is>
      </c>
      <c r="B613" s="10" t="n">
        <v>46106</v>
      </c>
      <c r="C613" t="inlineStr">
        <is>
          <t>Huntingtown Varsity Hurricanes</t>
        </is>
      </c>
      <c r="D613" t="inlineStr">
        <is>
          <t>MCDN</t>
        </is>
      </c>
      <c r="E613" t="inlineStr">
        <is>
          <t>MCDN_#20</t>
        </is>
      </c>
      <c r="F613" t="n">
        <v>4</v>
      </c>
      <c r="G613" t="n">
        <v>4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inlineStr">
        <is>
          <t>GO T1 play #1; 1B T2 play #18 scores #18 (1 RBI); FO T4 play #42; FC T6 play #64 (#13 out); SB 2nd T6 play #65 embedded; stranded at 3rd T6; also MCDN starting pitcher B1–B2</t>
        </is>
      </c>
    </row>
    <row r="614">
      <c r="A614" t="inlineStr">
        <is>
          <t>2026-03-25_MCDN_at_HNTN</t>
        </is>
      </c>
      <c r="B614" s="10" t="n">
        <v>46106</v>
      </c>
      <c r="C614" t="inlineStr">
        <is>
          <t>Huntingtown Varsity Hurricanes</t>
        </is>
      </c>
      <c r="D614" t="inlineStr">
        <is>
          <t>MCDN</t>
        </is>
      </c>
      <c r="E614" t="inlineStr">
        <is>
          <t>MCDN_#16</t>
        </is>
      </c>
      <c r="F614" t="n">
        <v>4</v>
      </c>
      <c r="G614" t="n">
        <v>2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2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>
        <is>
          <t>Walk T1 play #2; 1B T2 play #19 scores #17 (1 RBI); walk T4 play #43; GO T6 play #65 scores #14/CR-#10 (1 RBI); #16 is out on the play</t>
        </is>
      </c>
    </row>
    <row r="615">
      <c r="A615" t="inlineStr">
        <is>
          <t>2026-03-25_MCDN_at_HNTN</t>
        </is>
      </c>
      <c r="B615" s="10" t="n">
        <v>46106</v>
      </c>
      <c r="C615" t="inlineStr">
        <is>
          <t>Huntingtown Varsity Hurricanes</t>
        </is>
      </c>
      <c r="D615" t="inlineStr">
        <is>
          <t>MCDN</t>
        </is>
      </c>
      <c r="E615" t="inlineStr">
        <is>
          <t>MCDN_#8</t>
        </is>
      </c>
      <c r="F615" t="n">
        <v>4</v>
      </c>
      <c r="G615" t="n">
        <v>3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inlineStr">
        <is>
          <t>1B T1 play #3 (out at 2B on #5 FC play #4); walk T2 play #20; FO T4 play #44; GO T6 play #66</t>
        </is>
      </c>
    </row>
    <row r="616">
      <c r="A616" t="inlineStr">
        <is>
          <t>2026-03-25_MCDN_at_HNTN</t>
        </is>
      </c>
      <c r="B616" s="10" t="n">
        <v>46106</v>
      </c>
      <c r="C616" t="inlineStr">
        <is>
          <t>Huntingtown Varsity Hurricanes</t>
        </is>
      </c>
      <c r="D616" t="inlineStr">
        <is>
          <t>MCDN</t>
        </is>
      </c>
      <c r="E616" t="inlineStr">
        <is>
          <t>MCDN_#5</t>
        </is>
      </c>
      <c r="F616" t="n">
        <v>4</v>
      </c>
      <c r="G616" t="n">
        <v>3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2</v>
      </c>
      <c r="P616" t="n">
        <v>0</v>
      </c>
      <c r="Q616" t="n">
        <v>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inlineStr">
        <is>
          <t>FC T1 play #4 (#8 out); K_S T2 play #21; dropped 3rd K (out at 1B) T5 play #52 (K_S); walk T7 play #72; also MCDN 3B fielder — 2 errors plays #49, #56 (Flag #13)</t>
        </is>
      </c>
    </row>
    <row r="617">
      <c r="A617" t="inlineStr">
        <is>
          <t>2026-03-25_MCDN_at_HNTN</t>
        </is>
      </c>
      <c r="B617" s="10" t="n">
        <v>46106</v>
      </c>
      <c r="C617" t="inlineStr">
        <is>
          <t>Huntingtown Varsity Hurricanes</t>
        </is>
      </c>
      <c r="D617" t="inlineStr">
        <is>
          <t>MCDN</t>
        </is>
      </c>
      <c r="E617" t="inlineStr">
        <is>
          <t>MCDN_#21</t>
        </is>
      </c>
      <c r="F617" t="n">
        <v>4</v>
      </c>
      <c r="G617" t="n">
        <v>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inlineStr">
        <is>
          <t>PO T1 play #5; FC T2 play #22 (#16 out — unusual mechanism Flag #11); LO T5 play #53; PO T7 play #73; also MCDN pitcher B4–B6 (undocumented entry, Flags #6, #8)</t>
        </is>
      </c>
    </row>
    <row r="618">
      <c r="A618" t="inlineStr">
        <is>
          <t>2026-03-25_MCDN_at_HNTN</t>
        </is>
      </c>
      <c r="B618" s="10" t="n">
        <v>46106</v>
      </c>
      <c r="C618" t="inlineStr">
        <is>
          <t>Huntingtown Varsity Hurricanes</t>
        </is>
      </c>
      <c r="D618" t="inlineStr">
        <is>
          <t>MCDN</t>
        </is>
      </c>
      <c r="E618" t="inlineStr">
        <is>
          <t>MCDN_#3</t>
        </is>
      </c>
      <c r="F618" t="n">
        <v>4</v>
      </c>
      <c r="G618" t="n">
        <v>2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>
        <is>
          <t>Walk T2 play #14; scores T2 on WP during #17 HBP AB play #17 (no RBI); GO T3 play #29; walk T5 play #54; K_L T7 play #74</t>
        </is>
      </c>
    </row>
    <row r="619">
      <c r="A619" t="inlineStr">
        <is>
          <t>2026-03-25_MCDN_at_HNTN</t>
        </is>
      </c>
      <c r="B619" s="10" t="n">
        <v>46106</v>
      </c>
      <c r="C619" t="inlineStr">
        <is>
          <t>Huntingtown Varsity Hurricanes</t>
        </is>
      </c>
      <c r="D619" t="inlineStr">
        <is>
          <t>MCDN</t>
        </is>
      </c>
      <c r="E619" t="inlineStr">
        <is>
          <t>MCDN_#18</t>
        </is>
      </c>
      <c r="F619" t="n">
        <v>3</v>
      </c>
      <c r="G619" t="n">
        <v>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inlineStr">
        <is>
          <t>HBP T2 play #15 (advances to 3rd on WP play #17); scores T2 on #20 single play #18; GO T3 play #30; K_S T5 play #55; replaced by MCDN_#4 PH T7 play #75; also MCDN pitcher B3 (non-standard entry Flag #5)</t>
        </is>
      </c>
    </row>
    <row r="620">
      <c r="A620" t="inlineStr">
        <is>
          <t>2026-03-25_MCDN_at_HNTN</t>
        </is>
      </c>
      <c r="B620" s="10" t="n">
        <v>46106</v>
      </c>
      <c r="C620" t="inlineStr">
        <is>
          <t>Huntingtown Varsity Hurricanes</t>
        </is>
      </c>
      <c r="D620" t="inlineStr">
        <is>
          <t>MCDN</t>
        </is>
      </c>
      <c r="E620" t="inlineStr">
        <is>
          <t>MCDN_#10</t>
        </is>
      </c>
      <c r="F620" t="n">
        <v>3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inlineStr">
        <is>
          <t>SAC bunt T2 play #16 (#3 to 3rd, #18 to 2nd); K_L T3 play #31; walk T6 play #62; CR MCDN_#14 in for #10 T6 play #62 — #14 scores on #16 GO play #65, R credited to #10 (Flag #15)</t>
        </is>
      </c>
    </row>
    <row r="621">
      <c r="A621" t="inlineStr">
        <is>
          <t>2026-03-25_MCDN_at_HNTN</t>
        </is>
      </c>
      <c r="B621" s="10" t="n">
        <v>46106</v>
      </c>
      <c r="C621" t="inlineStr">
        <is>
          <t>Huntingtown Varsity Hurricanes</t>
        </is>
      </c>
      <c r="D621" t="inlineStr">
        <is>
          <t>MCDN</t>
        </is>
      </c>
      <c r="E621" t="inlineStr">
        <is>
          <t>MCDN_#17</t>
        </is>
      </c>
      <c r="F621" t="n">
        <v>2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0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inlineStr">
        <is>
          <t>HBP T2 play #17 (WP during AB: #3 scores, #18 to 3rd); scores T2 on #16 single play #19; K_S T4 play #41; replaced by MCDN_#13 PH T6 play #62</t>
        </is>
      </c>
    </row>
    <row r="622">
      <c r="A622" t="inlineStr">
        <is>
          <t>2026-03-25_MCDN_at_HNTN</t>
        </is>
      </c>
      <c r="B622" s="10" t="n">
        <v>46106</v>
      </c>
      <c r="C622" t="inlineStr">
        <is>
          <t>Huntingtown Varsity Hurricanes</t>
        </is>
      </c>
      <c r="D622" t="inlineStr">
        <is>
          <t>MCDN</t>
        </is>
      </c>
      <c r="E622" t="inlineStr">
        <is>
          <t>MCDN_#13</t>
        </is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>
        <is>
          <t>PH for MCDN_#17 T6 play #62; walk; out advancing to 2nd on #20 FC play #64</t>
        </is>
      </c>
    </row>
    <row r="623">
      <c r="A623" t="inlineStr">
        <is>
          <t>2026-03-25_MCDN_at_HNTN</t>
        </is>
      </c>
      <c r="B623" s="10" t="n">
        <v>46106</v>
      </c>
      <c r="C623" t="inlineStr">
        <is>
          <t>Huntingtown Varsity Hurricanes</t>
        </is>
      </c>
      <c r="D623" t="inlineStr">
        <is>
          <t>MCDN</t>
        </is>
      </c>
      <c r="E623" t="inlineStr">
        <is>
          <t>MCDN_#4</t>
        </is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inlineStr">
        <is>
          <t>PH for MCDN_#18 T7 play #75; K_S; [#5 advances to 2nd on DI embedded]</t>
        </is>
      </c>
    </row>
    <row r="624">
      <c r="A624" t="inlineStr">
        <is>
          <t>2026-03-30_CHPT_at_HNTN</t>
        </is>
      </c>
      <c r="B624" s="10" t="n">
        <v>46111</v>
      </c>
      <c r="C624" t="inlineStr">
        <is>
          <t>Chopticon</t>
        </is>
      </c>
      <c r="D624" t="inlineStr">
        <is>
          <t>HNTN</t>
        </is>
      </c>
      <c r="E624" t="inlineStr">
        <is>
          <t>R Bolger</t>
        </is>
      </c>
      <c r="F624" t="n">
        <v>5</v>
      </c>
      <c r="G624" t="n">
        <v>4</v>
      </c>
      <c r="H624" t="n">
        <v>2</v>
      </c>
      <c r="I624" t="n">
        <v>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inlineStr">
        <is>
          <t>FO B1 play #5; FO B2 play #18; SAC bunt B4 play #38 (B Marlowe to 3rd, G Grimes to 2nd); 1B B5 play #50; 1B B6 play #64 scores J Walter (1 RBI); incomplete B6 AB play #65 not counted (Flag #4)</t>
        </is>
      </c>
    </row>
    <row r="625">
      <c r="A625" t="inlineStr">
        <is>
          <t>2026-03-30_CHPT_at_HNTN</t>
        </is>
      </c>
      <c r="B625" s="10" t="n">
        <v>46111</v>
      </c>
      <c r="C625" t="inlineStr">
        <is>
          <t>Chopticon</t>
        </is>
      </c>
      <c r="D625" t="inlineStr">
        <is>
          <t>HNTN</t>
        </is>
      </c>
      <c r="E625" t="inlineStr">
        <is>
          <t>J Hann</t>
        </is>
      </c>
      <c r="F625" t="n">
        <v>4</v>
      </c>
      <c r="G625" t="n">
        <v>4</v>
      </c>
      <c r="H625" t="n">
        <v>2</v>
      </c>
      <c r="I625" t="n">
        <v>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inlineStr">
        <is>
          <t>1B B1 play #6 (advances to 2nd on CHPT RF error); scores B1 on J Cadden single play #7; FO B2 play #19; 1B B4 play #39 scores G Grimes and B Marlowe (2 RBI); scores B4 on N McMurray HR play #41; GO B5 play #51</t>
        </is>
      </c>
    </row>
    <row r="626">
      <c r="A626" t="inlineStr">
        <is>
          <t>2026-03-30_CHPT_at_HNTN</t>
        </is>
      </c>
      <c r="B626" s="10" t="n">
        <v>46111</v>
      </c>
      <c r="C626" t="inlineStr">
        <is>
          <t>Chopticon</t>
        </is>
      </c>
      <c r="D626" t="inlineStr">
        <is>
          <t>HNTN</t>
        </is>
      </c>
      <c r="E626" t="inlineStr">
        <is>
          <t>J Cadden</t>
        </is>
      </c>
      <c r="F626" t="n">
        <v>4</v>
      </c>
      <c r="G626" t="n">
        <v>4</v>
      </c>
      <c r="H626" t="n">
        <v>4</v>
      </c>
      <c r="I626" t="n">
        <v>2</v>
      </c>
      <c r="J626" t="n">
        <v>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inlineStr">
        <is>
          <t>1B B1 play #7 scores J Hann (1 RBI); 2B B3 play #24; scores B3 on N McMurray HR play #25; 1B B4 play #40 (J Hann advances to 2nd); scores B4 on N McMurray HR play #41; 2B B6 play #57; SB 3rd B6 play #58 embedded in N McMurray AB; scores B6 on N McMurray HR play #58</t>
        </is>
      </c>
    </row>
    <row r="627">
      <c r="A627" t="inlineStr">
        <is>
          <t>2026-03-30_CHPT_at_HNTN</t>
        </is>
      </c>
      <c r="B627" s="10" t="n">
        <v>46111</v>
      </c>
      <c r="C627" t="inlineStr">
        <is>
          <t>Chopticon</t>
        </is>
      </c>
      <c r="D627" t="inlineStr">
        <is>
          <t>HNTN</t>
        </is>
      </c>
      <c r="E627" t="inlineStr">
        <is>
          <t>N McMurray</t>
        </is>
      </c>
      <c r="F627" t="n">
        <v>4</v>
      </c>
      <c r="G627" t="n">
        <v>4</v>
      </c>
      <c r="H627" t="n">
        <v>3</v>
      </c>
      <c r="I627" t="n">
        <v>0</v>
      </c>
      <c r="J627" t="n">
        <v>0</v>
      </c>
      <c r="K627" t="n">
        <v>0</v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</v>
      </c>
      <c r="S627" t="n">
        <v>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inlineStr">
        <is>
          <t>Reaches on CHPT CF error B1 play #8 (no H); CR R Kessler in play #9 — R Kessler does not score (Flag #12); HR B3 play #25 (J Cadden scores, N McMurray scores — 2 RBI); HR B4 play #41 (J Hann, J Cadden, N McMurray score — 3 RBI); HR B6 play #58 (J Cadden scores, N McMurray scores — 2 RBI); 3 HRs 7 RBI total (Flag #11)</t>
        </is>
      </c>
    </row>
    <row r="628">
      <c r="A628" t="inlineStr">
        <is>
          <t>2026-03-30_CHPT_at_HNTN</t>
        </is>
      </c>
      <c r="B628" s="10" t="n">
        <v>46111</v>
      </c>
      <c r="C628" t="inlineStr">
        <is>
          <t>Chopticon</t>
        </is>
      </c>
      <c r="D628" t="inlineStr">
        <is>
          <t>HNTN</t>
        </is>
      </c>
      <c r="E628" t="inlineStr">
        <is>
          <t>R Gaetano</t>
        </is>
      </c>
      <c r="F628" t="n">
        <v>4</v>
      </c>
      <c r="G628" t="n">
        <v>3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inlineStr">
        <is>
          <t>HBP B1 play #9; FO B3 play #26; 2B B4 play #42; FO B6 play #59</t>
        </is>
      </c>
    </row>
    <row r="629">
      <c r="A629" t="inlineStr">
        <is>
          <t>2026-03-30_CHPT_at_HNTN</t>
        </is>
      </c>
      <c r="B629" s="10" t="n">
        <v>46111</v>
      </c>
      <c r="C629" t="inlineStr">
        <is>
          <t>Chopticon</t>
        </is>
      </c>
      <c r="D629" t="inlineStr">
        <is>
          <t>HNTN</t>
        </is>
      </c>
      <c r="E629" t="inlineStr">
        <is>
          <t>J Laur</t>
        </is>
      </c>
      <c r="F629" t="n">
        <v>4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inlineStr">
        <is>
          <t>FC B1 play #10 (J Cadden out at home); PO B3 play #27; SAC bunt B4 play #43 (R Gaetano to 3rd); HBP B6 play #60; WP advances J Laur to 2nd play #61 embedded; advances to 3rd on J Walter FC play #62; scores B6 on CHPT SS #6 error (embedded play #63 — no RBI)</t>
        </is>
      </c>
    </row>
    <row r="630">
      <c r="A630" t="inlineStr">
        <is>
          <t>2026-03-30_CHPT_at_HNTN</t>
        </is>
      </c>
      <c r="B630" s="10" t="n">
        <v>46111</v>
      </c>
      <c r="C630" t="inlineStr">
        <is>
          <t>Chopticon</t>
        </is>
      </c>
      <c r="D630" t="inlineStr">
        <is>
          <t>HNTN</t>
        </is>
      </c>
      <c r="E630" t="inlineStr">
        <is>
          <t>C Wargo</t>
        </is>
      </c>
      <c r="F630" t="n">
        <v>4</v>
      </c>
      <c r="G630" t="n">
        <v>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>
        <is>
          <t>FO B1 play #11; LO B3 play #28; FO B4 play #44; walk B6 play #61; out advancing to 2nd on J Walter FC play #62</t>
        </is>
      </c>
    </row>
    <row r="631">
      <c r="A631" t="inlineStr">
        <is>
          <t>2026-03-30_CHPT_at_HNTN</t>
        </is>
      </c>
      <c r="B631" s="10" t="n">
        <v>46111</v>
      </c>
      <c r="C631" t="inlineStr">
        <is>
          <t>Chopticon</t>
        </is>
      </c>
      <c r="D631" t="inlineStr">
        <is>
          <t>HNTN</t>
        </is>
      </c>
      <c r="E631" t="inlineStr">
        <is>
          <t>B Marlowe</t>
        </is>
      </c>
      <c r="F631" t="n">
        <v>3</v>
      </c>
      <c r="G631" t="n">
        <v>3</v>
      </c>
      <c r="H631" t="n">
        <v>2</v>
      </c>
      <c r="I631" t="n">
        <v>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>
        <is>
          <t>1B B2 play #16; 1B B4 play #36; scores B4 on J Hann single play #39; GO B5 play #48; replaced by J Walter mid-AB B6 play #62 (Flag #10) — no PA from that AB</t>
        </is>
      </c>
    </row>
    <row r="632">
      <c r="A632" t="inlineStr">
        <is>
          <t>2026-03-30_CHPT_at_HNTN</t>
        </is>
      </c>
      <c r="B632" s="10" t="n">
        <v>46111</v>
      </c>
      <c r="C632" t="inlineStr">
        <is>
          <t>Chopticon</t>
        </is>
      </c>
      <c r="D632" t="inlineStr">
        <is>
          <t>HNTN</t>
        </is>
      </c>
      <c r="E632" t="inlineStr">
        <is>
          <t>G Grimes</t>
        </is>
      </c>
      <c r="F632" t="n">
        <v>2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>
        <is>
          <t>K_S B2 play #17; HBP B4 play #37; scores B4 on J Hann single play #39; mid-AB substitution by T Burghard B5 play #49 (inherits 2-1 count, Flag #10) — T Burghard gets that PA</t>
        </is>
      </c>
    </row>
    <row r="633">
      <c r="A633" t="inlineStr">
        <is>
          <t>2026-03-30_CHPT_at_HNTN</t>
        </is>
      </c>
      <c r="B633" s="10" t="n">
        <v>46111</v>
      </c>
      <c r="C633" t="inlineStr">
        <is>
          <t>Chopticon</t>
        </is>
      </c>
      <c r="D633" t="inlineStr">
        <is>
          <t>HNTN</t>
        </is>
      </c>
      <c r="E633" t="inlineStr">
        <is>
          <t>T Burghard</t>
        </is>
      </c>
      <c r="F633" t="n">
        <v>2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inlineStr">
        <is>
          <t>Mid-AB PH for G Grimes B5 play #49 (inherits 2-1 count, Flag #10) — PO; HBP B6 play #63; T Burghard advances to 2nd on R Bolger single play #64 but game ends</t>
        </is>
      </c>
    </row>
    <row r="634">
      <c r="A634" t="inlineStr">
        <is>
          <t>2026-03-30_CHPT_at_HNTN</t>
        </is>
      </c>
      <c r="B634" s="10" t="n">
        <v>46111</v>
      </c>
      <c r="C634" t="inlineStr">
        <is>
          <t>Chopticon</t>
        </is>
      </c>
      <c r="D634" t="inlineStr">
        <is>
          <t>HNTN</t>
        </is>
      </c>
      <c r="E634" t="inlineStr">
        <is>
          <t>J Walter</t>
        </is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inlineStr">
        <is>
          <t>Mid-AB PH for B Marlowe B6 play #62 (Flag #10); FC (C Wargo out advancing to 2nd, J Laur to 3rd); SB 2nd B6 play #63 embedded in T Burghard HBP AB; scores B6 on R Bolger single play #64</t>
        </is>
      </c>
    </row>
    <row r="635">
      <c r="A635" t="inlineStr">
        <is>
          <t>2026-03-30_CHPT_at_HNTN</t>
        </is>
      </c>
      <c r="B635" s="10" t="n">
        <v>46111</v>
      </c>
      <c r="C635" t="inlineStr">
        <is>
          <t>Huntingtown Varsity Hurricanes</t>
        </is>
      </c>
      <c r="D635" t="inlineStr">
        <is>
          <t>CHPT</t>
        </is>
      </c>
      <c r="E635" t="inlineStr">
        <is>
          <t>CHPT_#6</t>
        </is>
      </c>
      <c r="F635" t="n">
        <v>3</v>
      </c>
      <c r="G635" t="n">
        <v>3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2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inlineStr">
        <is>
          <t>K_L T1 play #1; K_S T3 play #22; GO T5 play #45</t>
        </is>
      </c>
    </row>
    <row r="636">
      <c r="A636" t="inlineStr">
        <is>
          <t>2026-03-30_CHPT_at_HNTN</t>
        </is>
      </c>
      <c r="B636" s="10" t="n">
        <v>46111</v>
      </c>
      <c r="C636" t="inlineStr">
        <is>
          <t>Huntingtown Varsity Hurricanes</t>
        </is>
      </c>
      <c r="D636" t="inlineStr">
        <is>
          <t>CHPT</t>
        </is>
      </c>
      <c r="E636" t="inlineStr">
        <is>
          <t>CHPT_#2</t>
        </is>
      </c>
      <c r="F636" t="n">
        <v>3</v>
      </c>
      <c r="G636" t="n">
        <v>3</v>
      </c>
      <c r="H636" t="n">
        <v>2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inlineStr">
        <is>
          <t>1B T1 play #2; SB 2nd T1 play #3 embedded in #21 AB; GO T3 play #23; 1B T5 play #46; out on DP play #47</t>
        </is>
      </c>
    </row>
    <row r="637">
      <c r="A637" t="inlineStr">
        <is>
          <t>2026-03-30_CHPT_at_HNTN</t>
        </is>
      </c>
      <c r="B637" s="10" t="n">
        <v>46111</v>
      </c>
      <c r="C637" t="inlineStr">
        <is>
          <t>Huntingtown Varsity Hurricanes</t>
        </is>
      </c>
      <c r="D637" t="inlineStr">
        <is>
          <t>CHPT</t>
        </is>
      </c>
      <c r="E637" t="inlineStr">
        <is>
          <t>CHPT_#21</t>
        </is>
      </c>
      <c r="F637" t="n">
        <v>3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inlineStr">
        <is>
          <t>GO T1 play #3; LO T4 play #29; GDP T5 play #47 (#2 out advancing to 2nd, #21 out at 1B)</t>
        </is>
      </c>
    </row>
    <row r="638">
      <c r="A638" t="inlineStr">
        <is>
          <t>2026-03-30_CHPT_at_HNTN</t>
        </is>
      </c>
      <c r="B638" s="10" t="n">
        <v>46111</v>
      </c>
      <c r="C638" t="inlineStr">
        <is>
          <t>Huntingtown Varsity Hurricanes</t>
        </is>
      </c>
      <c r="D638" t="inlineStr">
        <is>
          <t>CHPT</t>
        </is>
      </c>
      <c r="E638" t="inlineStr">
        <is>
          <t>CHPT_#9</t>
        </is>
      </c>
      <c r="F638" t="n">
        <v>3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inlineStr">
        <is>
          <t>FO T1 play #4; walk T4 play #30 (CR #13 enters play #31 — #13 scores on #1 walk play #34, R credited to #9, Flag #13); walk T6 play #52 (CR #13 enters — #13 stranded at 3rd, Flag #13)</t>
        </is>
      </c>
    </row>
    <row r="639">
      <c r="A639" t="inlineStr">
        <is>
          <t>2026-03-30_CHPT_at_HNTN</t>
        </is>
      </c>
      <c r="B639" s="10" t="n">
        <v>46111</v>
      </c>
      <c r="C639" t="inlineStr">
        <is>
          <t>Huntingtown Varsity Hurricanes</t>
        </is>
      </c>
      <c r="D639" t="inlineStr">
        <is>
          <t>CHPT</t>
        </is>
      </c>
      <c r="E639" t="inlineStr">
        <is>
          <t>CHPT_#10</t>
        </is>
      </c>
      <c r="F639" t="n">
        <v>3</v>
      </c>
      <c r="G639" t="n">
        <v>3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>
        <is>
          <t>FO T2 play #12; 2B T4 play #31 (CR #13 for #9 advances to 3rd); FO T6 play #53</t>
        </is>
      </c>
    </row>
    <row r="640">
      <c r="A640" t="inlineStr">
        <is>
          <t>2026-03-30_CHPT_at_HNTN</t>
        </is>
      </c>
      <c r="B640" s="10" t="n">
        <v>46111</v>
      </c>
      <c r="C640" t="inlineStr">
        <is>
          <t>Huntingtown Varsity Hurricanes</t>
        </is>
      </c>
      <c r="D640" t="inlineStr">
        <is>
          <t>CHPT</t>
        </is>
      </c>
      <c r="E640" t="inlineStr">
        <is>
          <t>CHPT_#8</t>
        </is>
      </c>
      <c r="F640" t="n">
        <v>3</v>
      </c>
      <c r="G640" t="n">
        <v>3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>
        <is>
          <t>PO T2 play #13; K_S T4 play #32; 2B T6 play #54 (CR #13 advances to 3rd)</t>
        </is>
      </c>
    </row>
    <row r="641">
      <c r="A641" t="inlineStr">
        <is>
          <t>2026-03-30_CHPT_at_HNTN</t>
        </is>
      </c>
      <c r="B641" s="10" t="n">
        <v>46111</v>
      </c>
      <c r="C641" t="inlineStr">
        <is>
          <t>Huntingtown Varsity Hurricanes</t>
        </is>
      </c>
      <c r="D641" t="inlineStr">
        <is>
          <t>CHPT</t>
        </is>
      </c>
      <c r="E641" t="inlineStr">
        <is>
          <t>CHPT_#11</t>
        </is>
      </c>
      <c r="F641" t="n">
        <v>2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inlineStr">
        <is>
          <t>1B T2 play #14 (CR #7 enters — #7 picked off play #15, Flag #6); walk T4 play #33</t>
        </is>
      </c>
    </row>
    <row r="642">
      <c r="A642" t="inlineStr">
        <is>
          <t>2026-03-30_CHPT_at_HNTN</t>
        </is>
      </c>
      <c r="B642" s="10" t="n">
        <v>46111</v>
      </c>
      <c r="C642" t="inlineStr">
        <is>
          <t>Huntingtown Varsity Hurricanes</t>
        </is>
      </c>
      <c r="D642" t="inlineStr">
        <is>
          <t>CHPT</t>
        </is>
      </c>
      <c r="E642" t="inlineStr">
        <is>
          <t>CHPT_#1</t>
        </is>
      </c>
      <c r="F642" t="n">
        <v>3</v>
      </c>
      <c r="G642" t="n">
        <v>2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2</v>
      </c>
      <c r="P642" t="n">
        <v>0</v>
      </c>
      <c r="Q642" t="n">
        <v>2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inlineStr">
        <is>
          <t>K_S T3 play #20; walk T4 play #34 (bases loaded, forces in CR #13/#9 from 3rd = 1 RBI); dropped 3rd K T6 play #56 (K_S — batter out at 1B)</t>
        </is>
      </c>
    </row>
    <row r="643">
      <c r="A643" t="inlineStr">
        <is>
          <t>2026-03-30_CHPT_at_HNTN</t>
        </is>
      </c>
      <c r="B643" s="10" t="n">
        <v>46111</v>
      </c>
      <c r="C643" t="inlineStr">
        <is>
          <t>Huntingtown Varsity Hurricanes</t>
        </is>
      </c>
      <c r="D643" t="inlineStr">
        <is>
          <t>CHPT</t>
        </is>
      </c>
      <c r="E643" t="inlineStr">
        <is>
          <t>CHPT_#3</t>
        </is>
      </c>
      <c r="F643" t="n">
        <v>2</v>
      </c>
      <c r="G643" t="n">
        <v>2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>
        <is>
          <t>HR T3 play #21 (solo); K_S T4 play #35</t>
        </is>
      </c>
    </row>
    <row r="644">
      <c r="A644" t="inlineStr">
        <is>
          <t>2026-03-30_CHPT_at_HNTN</t>
        </is>
      </c>
      <c r="B644" s="10" t="n">
        <v>46111</v>
      </c>
      <c r="C644" t="inlineStr">
        <is>
          <t>Huntingtown Varsity Hurricanes</t>
        </is>
      </c>
      <c r="D644" t="inlineStr">
        <is>
          <t>CHPT</t>
        </is>
      </c>
      <c r="E644" t="inlineStr">
        <is>
          <t>CHPT_#15</t>
        </is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inlineStr">
        <is>
          <t>K_S T6 play #55; also CHPT pitcher B4 partial–B6 partial (Flag #14)</t>
        </is>
      </c>
    </row>
    <row r="645">
      <c r="A645" t="inlineStr">
        <is>
          <t>2026-04-01_RVRH_at_NRTH</t>
        </is>
      </c>
      <c r="B645" s="10" t="n">
        <v>46113</v>
      </c>
      <c r="C645" t="inlineStr">
        <is>
          <t>North Point Varsity Eagles</t>
        </is>
      </c>
      <c r="D645" t="inlineStr">
        <is>
          <t>RVRH</t>
        </is>
      </c>
      <c r="E645" t="inlineStr">
        <is>
          <t>R Walsh</t>
        </is>
      </c>
      <c r="F645" t="n">
        <v>4</v>
      </c>
      <c r="G645" t="n">
        <v>4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>
        <is>
          <t>RBI on T6 Single (play #53, C Nichols scores); also pitches B1-B3 (entry inferred, Flag #1)</t>
        </is>
      </c>
    </row>
    <row r="646">
      <c r="A646" t="inlineStr">
        <is>
          <t>2026-04-01_RVRH_at_NRTH</t>
        </is>
      </c>
      <c r="B646" s="10" t="n">
        <v>46113</v>
      </c>
      <c r="C646" t="inlineStr">
        <is>
          <t>North Point Varsity Eagles</t>
        </is>
      </c>
      <c r="D646" t="inlineStr">
        <is>
          <t>RVRH</t>
        </is>
      </c>
      <c r="E646" t="inlineStr">
        <is>
          <t>C Reis</t>
        </is>
      </c>
      <c r="F646" t="n">
        <v>3</v>
      </c>
      <c r="G646" t="n">
        <v>3</v>
      </c>
      <c r="H646" t="n">
        <v>2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inlineStr">
        <is>
          <t>Scores T1 (play #5) and T3 (play #22)</t>
        </is>
      </c>
    </row>
    <row r="647">
      <c r="A647" t="inlineStr">
        <is>
          <t>2026-04-01_RVRH_at_NRTH</t>
        </is>
      </c>
      <c r="B647" s="10" t="n">
        <v>46113</v>
      </c>
      <c r="C647" t="inlineStr">
        <is>
          <t>North Point Varsity Eagles</t>
        </is>
      </c>
      <c r="D647" t="inlineStr">
        <is>
          <t>RVRH</t>
        </is>
      </c>
      <c r="E647" t="inlineStr">
        <is>
          <t>J Norwood</t>
        </is>
      </c>
      <c r="F647" t="n">
        <v>3</v>
      </c>
      <c r="G647" t="n">
        <v>2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2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>
        <is>
          <t>HBP T1 (play #3); scores T1 (play #5) and T3 steal of home (embedded, play #25); RBI on T3 Double (play #22, C Reis scores)</t>
        </is>
      </c>
    </row>
    <row r="648">
      <c r="A648" t="inlineStr">
        <is>
          <t>2026-04-01_RVRH_at_NRTH</t>
        </is>
      </c>
      <c r="B648" s="10" t="n">
        <v>46113</v>
      </c>
      <c r="C648" t="inlineStr">
        <is>
          <t>North Point Varsity Eagles</t>
        </is>
      </c>
      <c r="D648" t="inlineStr">
        <is>
          <t>RVRH</t>
        </is>
      </c>
      <c r="E648" t="inlineStr">
        <is>
          <t>H Zhang</t>
        </is>
      </c>
      <c r="F648" t="n">
        <v>3</v>
      </c>
      <c r="G648" t="n">
        <v>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inlineStr">
        <is>
          <t>HBP T1 (play #4); out advancing to 3rd on base paths (embedded in play #5, C Naecker's AB)</t>
        </is>
      </c>
    </row>
    <row r="649">
      <c r="A649" t="inlineStr">
        <is>
          <t>2026-04-01_RVRH_at_NRTH</t>
        </is>
      </c>
      <c r="B649" s="10" t="n">
        <v>46113</v>
      </c>
      <c r="C649" t="inlineStr">
        <is>
          <t>North Point Varsity Eagles</t>
        </is>
      </c>
      <c r="D649" t="inlineStr">
        <is>
          <t>RVRH</t>
        </is>
      </c>
      <c r="E649" t="inlineStr">
        <is>
          <t>C Naecker</t>
        </is>
      </c>
      <c r="F649" t="n">
        <v>4</v>
      </c>
      <c r="G649" t="n">
        <v>4</v>
      </c>
      <c r="H649" t="n">
        <v>2</v>
      </c>
      <c r="I649" t="n">
        <v>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2</v>
      </c>
      <c r="T649" t="n">
        <v>2</v>
      </c>
      <c r="U649" t="n">
        <v>0</v>
      </c>
      <c r="V649" t="n">
        <v>0</v>
      </c>
      <c r="W649" t="n">
        <v>0</v>
      </c>
      <c r="X649" t="n">
        <v>0</v>
      </c>
      <c r="Y649" t="inlineStr">
        <is>
          <t>2 RBI on T1 Single (play #5, J Norwood + C Reis score); 2 SB (T1 embedded play #6, T3 embedded play #25); scores T3 on G Dang Single (play #25)</t>
        </is>
      </c>
    </row>
    <row r="650">
      <c r="A650" t="inlineStr">
        <is>
          <t>2026-04-01_RVRH_at_NRTH</t>
        </is>
      </c>
      <c r="B650" s="10" t="n">
        <v>46113</v>
      </c>
      <c r="C650" t="inlineStr">
        <is>
          <t>North Point Varsity Eagles</t>
        </is>
      </c>
      <c r="D650" t="inlineStr">
        <is>
          <t>RVRH</t>
        </is>
      </c>
      <c r="E650" t="inlineStr">
        <is>
          <t>G Dang</t>
        </is>
      </c>
      <c r="F650" t="n">
        <v>2</v>
      </c>
      <c r="G650" t="n">
        <v>2</v>
      </c>
      <c r="H650" t="n">
        <v>2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>
        <is>
          <t>Replaced by CR C McClellan (T1 play #7, T3 play #26); RBI on T3 Single (play #25, C Naecker scores on throw); does not score — CR used both stints</t>
        </is>
      </c>
    </row>
    <row r="651">
      <c r="A651" t="inlineStr">
        <is>
          <t>2026-04-01_RVRH_at_NRTH</t>
        </is>
      </c>
      <c r="B651" s="10" t="n">
        <v>46113</v>
      </c>
      <c r="C651" t="inlineStr">
        <is>
          <t>North Point Varsity Eagles</t>
        </is>
      </c>
      <c r="D651" t="inlineStr">
        <is>
          <t>RVRH</t>
        </is>
      </c>
      <c r="E651" t="inlineStr">
        <is>
          <t>A Fields</t>
        </is>
      </c>
      <c r="F651" t="n">
        <v>3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2026-04-01_RVRH_at_NRTH</t>
        </is>
      </c>
      <c r="B652" s="10" t="n">
        <v>46113</v>
      </c>
      <c r="C652" t="inlineStr">
        <is>
          <t>North Point Varsity Eagles</t>
        </is>
      </c>
      <c r="D652" t="inlineStr">
        <is>
          <t>RVRH</t>
        </is>
      </c>
      <c r="E652" t="inlineStr">
        <is>
          <t>C Nichols</t>
        </is>
      </c>
      <c r="F652" t="n">
        <v>3</v>
      </c>
      <c r="G652" t="n">
        <v>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2</v>
      </c>
      <c r="P652" t="n">
        <v>1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inlineStr">
        <is>
          <t>K_L T2 (play #13); K_S T4 (play #33); scores T6 (play #53, R Walsh Single); also commits E SS (play #38, see Fielding)</t>
        </is>
      </c>
    </row>
    <row r="653">
      <c r="A653" t="inlineStr">
        <is>
          <t>2026-04-01_RVRH_at_NRTH</t>
        </is>
      </c>
      <c r="B653" s="10" t="n">
        <v>46113</v>
      </c>
      <c r="C653" t="inlineStr">
        <is>
          <t>North Point Varsity Eagles</t>
        </is>
      </c>
      <c r="D653" t="inlineStr">
        <is>
          <t>RVRH</t>
        </is>
      </c>
      <c r="E653" t="inlineStr">
        <is>
          <t>A Contreras</t>
        </is>
      </c>
      <c r="F653" t="n">
        <v>3</v>
      </c>
      <c r="G653" t="n">
        <v>2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inlineStr">
        <is>
          <t>CS T2 (play #16, caught stealing home by A Williams to A Espejo); K_S T4 (play #34)</t>
        </is>
      </c>
    </row>
    <row r="654">
      <c r="A654" t="inlineStr">
        <is>
          <t>2026-04-01_RVRH_at_NRTH</t>
        </is>
      </c>
      <c r="B654" s="10" t="n">
        <v>46113</v>
      </c>
      <c r="C654" t="inlineStr">
        <is>
          <t>North Point Varsity Eagles</t>
        </is>
      </c>
      <c r="D654" t="inlineStr">
        <is>
          <t>RVRH</t>
        </is>
      </c>
      <c r="E654" t="inlineStr">
        <is>
          <t>R Ronayne</t>
        </is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inlineStr">
        <is>
          <t>K_S T6 (play #49); T8 entry (play #68) incomplete/no outcome — not counted per Flag #5</t>
        </is>
      </c>
    </row>
    <row r="655">
      <c r="A655" t="inlineStr">
        <is>
          <t>2026-04-01_RVRH_at_NRTH</t>
        </is>
      </c>
      <c r="B655" s="10" t="n">
        <v>46113</v>
      </c>
      <c r="C655" t="inlineStr">
        <is>
          <t>North Point Varsity Eagles</t>
        </is>
      </c>
      <c r="D655" t="inlineStr">
        <is>
          <t>RVRH</t>
        </is>
      </c>
      <c r="E655" t="inlineStr">
        <is>
          <t>C McClellan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inlineStr">
        <is>
          <t>Courtesy runner for G Dang (T1 play #7, T3 play #26); SB T1 (embedded play #7); CS T3 (play #27, caught stealing 3rd)</t>
        </is>
      </c>
    </row>
    <row r="656">
      <c r="A656" t="inlineStr">
        <is>
          <t>2026-04-01_RVRH_at_NRTH</t>
        </is>
      </c>
      <c r="B656" s="10" t="n">
        <v>46113</v>
      </c>
      <c r="C656" t="inlineStr">
        <is>
          <t>North Point Varsity Eagles</t>
        </is>
      </c>
      <c r="D656" t="inlineStr">
        <is>
          <t>NRTH</t>
        </is>
      </c>
      <c r="E656" t="inlineStr">
        <is>
          <t>A Espejo</t>
        </is>
      </c>
      <c r="F656" t="n">
        <v>4</v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2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inlineStr">
        <is>
          <t>Also pitches T1-T7 (all innings, entry documented play #1); SB B7 (embedded play #64); scores B7 (play #65, A Harding Triple)</t>
        </is>
      </c>
    </row>
    <row r="657">
      <c r="A657" t="inlineStr">
        <is>
          <t>2026-04-01_RVRH_at_NRTH</t>
        </is>
      </c>
      <c r="B657" s="10" t="n">
        <v>46113</v>
      </c>
      <c r="C657" t="inlineStr">
        <is>
          <t>North Point Varsity Eagles</t>
        </is>
      </c>
      <c r="D657" t="inlineStr">
        <is>
          <t>NRTH</t>
        </is>
      </c>
      <c r="E657" t="inlineStr">
        <is>
          <t>A Thomas</t>
        </is>
      </c>
      <c r="F657" t="n">
        <v>4</v>
      </c>
      <c r="G657" t="n">
        <v>2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inlineStr">
        <is>
          <t>SAC bunt B3 (play #30); scores B7 (play #65, A Harding Triple)</t>
        </is>
      </c>
    </row>
    <row r="658">
      <c r="A658" t="inlineStr">
        <is>
          <t>2026-04-01_RVRH_at_NRTH</t>
        </is>
      </c>
      <c r="B658" s="10" t="n">
        <v>46113</v>
      </c>
      <c r="C658" t="inlineStr">
        <is>
          <t>North Point Varsity Eagles</t>
        </is>
      </c>
      <c r="D658" t="inlineStr">
        <is>
          <t>NRTH</t>
        </is>
      </c>
      <c r="E658" t="inlineStr">
        <is>
          <t>A Harding</t>
        </is>
      </c>
      <c r="F658" t="n">
        <v>4</v>
      </c>
      <c r="G658" t="n">
        <v>2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3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inlineStr">
        <is>
          <t>SB B1 (embedded play #11); CS B1 (play #12, caught stealing 3rd); 1 RBI B3 (play #31, productive GO, T Roy scores); 2 RBI B7 (play #65 Triple, A Espejo + A Thomas score)</t>
        </is>
      </c>
    </row>
    <row r="659">
      <c r="A659" t="inlineStr">
        <is>
          <t>2026-04-01_RVRH_at_NRTH</t>
        </is>
      </c>
      <c r="B659" s="10" t="n">
        <v>46113</v>
      </c>
      <c r="C659" t="inlineStr">
        <is>
          <t>North Point Varsity Eagles</t>
        </is>
      </c>
      <c r="D659" t="inlineStr">
        <is>
          <t>NRTH</t>
        </is>
      </c>
      <c r="E659" t="inlineStr">
        <is>
          <t>Z Bowman</t>
        </is>
      </c>
      <c r="F659" t="n">
        <v>4</v>
      </c>
      <c r="G659" t="n">
        <v>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inlineStr">
        <is>
          <t>HBP B1 (play #11)</t>
        </is>
      </c>
    </row>
    <row r="660">
      <c r="A660" t="inlineStr">
        <is>
          <t>2026-04-01_RVRH_at_NRTH</t>
        </is>
      </c>
      <c r="B660" s="10" t="n">
        <v>46113</v>
      </c>
      <c r="C660" t="inlineStr">
        <is>
          <t>North Point Varsity Eagles</t>
        </is>
      </c>
      <c r="D660" t="inlineStr">
        <is>
          <t>NRTH</t>
        </is>
      </c>
      <c r="E660" t="inlineStr">
        <is>
          <t>E Zimmerman</t>
        </is>
      </c>
      <c r="F660" t="n">
        <v>4</v>
      </c>
      <c r="G660" t="n">
        <v>4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</v>
      </c>
      <c r="P660" t="n">
        <v>1</v>
      </c>
      <c r="Q660" t="n">
        <v>2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inlineStr">
        <is>
          <t>K_S B2 (play #17); K_L B4 (play #36); K_S B7 (play #67); scores B6 (play #57, S Dixon SAC fly); advanced to 2nd on WP (embedded play #56)</t>
        </is>
      </c>
    </row>
    <row r="661">
      <c r="A661" t="inlineStr">
        <is>
          <t>2026-04-01_RVRH_at_NRTH</t>
        </is>
      </c>
      <c r="B661" s="10" t="n">
        <v>46113</v>
      </c>
      <c r="C661" t="inlineStr">
        <is>
          <t>North Point Varsity Eagles</t>
        </is>
      </c>
      <c r="D661" t="inlineStr">
        <is>
          <t>NRTH</t>
        </is>
      </c>
      <c r="E661" t="inlineStr">
        <is>
          <t>Pettro</t>
        </is>
      </c>
      <c r="F661" t="n">
        <v>3</v>
      </c>
      <c r="G661" t="n">
        <v>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inlineStr">
        <is>
          <t>SB B2 (embedded play #19)</t>
        </is>
      </c>
    </row>
    <row r="662">
      <c r="A662" t="inlineStr">
        <is>
          <t>2026-04-01_RVRH_at_NRTH</t>
        </is>
      </c>
      <c r="B662" s="10" t="n">
        <v>46113</v>
      </c>
      <c r="C662" t="inlineStr">
        <is>
          <t>North Point Varsity Eagles</t>
        </is>
      </c>
      <c r="D662" t="inlineStr">
        <is>
          <t>NRTH</t>
        </is>
      </c>
      <c r="E662" t="inlineStr">
        <is>
          <t>S Dixon</t>
        </is>
      </c>
      <c r="F662" t="n">
        <v>3</v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inlineStr">
        <is>
          <t>Reaches on error B4 (play #38, not a hit, AB only); SB B4 (embedded play #39); K_S B2 (play #19); RBI on SAC fly B6 (play #57, E Zimmerman scores)</t>
        </is>
      </c>
    </row>
    <row r="663">
      <c r="A663" t="inlineStr">
        <is>
          <t>2026-04-01_RVRH_at_NRTH</t>
        </is>
      </c>
      <c r="B663" s="10" t="n">
        <v>46113</v>
      </c>
      <c r="C663" t="inlineStr">
        <is>
          <t>North Point Varsity Eagles</t>
        </is>
      </c>
      <c r="D663" t="inlineStr">
        <is>
          <t>NRTH</t>
        </is>
      </c>
      <c r="E663" t="inlineStr">
        <is>
          <t>C Harrigan</t>
        </is>
      </c>
      <c r="F663" t="n">
        <v>3</v>
      </c>
      <c r="G663" t="n">
        <v>3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>
        <is>
          <t>K_L B2 (play #20); K_S B6 (play #58, foul tip)</t>
        </is>
      </c>
    </row>
    <row r="664">
      <c r="A664" t="inlineStr">
        <is>
          <t>2026-04-01_RVRH_at_NRTH</t>
        </is>
      </c>
      <c r="B664" s="10" t="n">
        <v>46113</v>
      </c>
      <c r="C664" t="inlineStr">
        <is>
          <t>North Point Varsity Eagles</t>
        </is>
      </c>
      <c r="D664" t="inlineStr">
        <is>
          <t>NRTH</t>
        </is>
      </c>
      <c r="E664" t="inlineStr">
        <is>
          <t>T Roy</t>
        </is>
      </c>
      <c r="F664" t="n">
        <v>3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>
        <is>
          <t>Scores B3 (play #31, A Harding productive GO)</t>
        </is>
      </c>
    </row>
    <row r="665">
      <c r="A665" t="inlineStr">
        <is>
          <t>2026-04-01_OLDM_at_RVRH</t>
        </is>
      </c>
      <c r="B665" s="10" t="n">
        <v>46113</v>
      </c>
      <c r="C665" t="inlineStr">
        <is>
          <t>Old Mill Varsity Patriots</t>
        </is>
      </c>
      <c r="D665" t="inlineStr">
        <is>
          <t>OLDM</t>
        </is>
      </c>
      <c r="E665" t="inlineStr">
        <is>
          <t>T Martini</t>
        </is>
      </c>
      <c r="F665" t="n">
        <v>5</v>
      </c>
      <c r="G665" t="n">
        <v>4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inlineStr">
        <is>
          <t>RBI on T7 Walk (play #68, C Bonner scores); scores T7 (play #70, B Rzepkoski Single); also pitches B1-B3 (entry inferred, Flag #1)</t>
        </is>
      </c>
    </row>
    <row r="666">
      <c r="A666" t="inlineStr">
        <is>
          <t>2026-04-01_OLDM_at_RVRH</t>
        </is>
      </c>
      <c r="B666" s="10" t="n">
        <v>46113</v>
      </c>
      <c r="C666" t="inlineStr">
        <is>
          <t>Old Mill Varsity Patriots</t>
        </is>
      </c>
      <c r="D666" t="inlineStr">
        <is>
          <t>OLDM</t>
        </is>
      </c>
      <c r="E666" t="inlineStr">
        <is>
          <t>C Koreck</t>
        </is>
      </c>
      <c r="F666" t="n">
        <v>6</v>
      </c>
      <c r="G666" t="n">
        <v>5</v>
      </c>
      <c r="H666" t="n">
        <v>2</v>
      </c>
      <c r="I666" t="n">
        <v>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</v>
      </c>
      <c r="S666" t="n">
        <v>2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inlineStr">
        <is>
          <t>GDP T3 (play #19); RBI on SAC fly T6 (play #53, T Richmond scores); RBI on T7 Single (play #69, T Richmond scores); scores T5 (play #43) and T7 (play #71); also pitches B7 (entry inferred, Flag #5)</t>
        </is>
      </c>
    </row>
    <row r="667">
      <c r="A667" t="inlineStr">
        <is>
          <t>2026-04-01_OLDM_at_RVRH</t>
        </is>
      </c>
      <c r="B667" s="10" t="n">
        <v>46113</v>
      </c>
      <c r="C667" t="inlineStr">
        <is>
          <t>Old Mill Varsity Patriots</t>
        </is>
      </c>
      <c r="D667" t="inlineStr">
        <is>
          <t>OLDM</t>
        </is>
      </c>
      <c r="E667" t="inlineStr">
        <is>
          <t>B Rzepkoski</t>
        </is>
      </c>
      <c r="F667" t="n">
        <v>5</v>
      </c>
      <c r="G667" t="n">
        <v>3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2</v>
      </c>
      <c r="N667" t="n">
        <v>0</v>
      </c>
      <c r="O667" t="n">
        <v>1</v>
      </c>
      <c r="P667" t="n">
        <v>0</v>
      </c>
      <c r="Q667" t="n">
        <v>1</v>
      </c>
      <c r="R667" t="n">
        <v>3</v>
      </c>
      <c r="S667" t="n">
        <v>2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inlineStr">
        <is>
          <t>Reaches on error T1 (play #3, not a hit); SB T4 (embedded play #27); 2 RBI on T7 Single (play #70, T Martini + S Perron score); scores T4 (play #30), T5 (play #43), T7 (play #72); also pitches B7 (entry inferred, Flag #6)</t>
        </is>
      </c>
    </row>
    <row r="668">
      <c r="A668" t="inlineStr">
        <is>
          <t>2026-04-01_OLDM_at_RVRH</t>
        </is>
      </c>
      <c r="B668" s="10" t="n">
        <v>46113</v>
      </c>
      <c r="C668" t="inlineStr">
        <is>
          <t>Old Mill Varsity Patriots</t>
        </is>
      </c>
      <c r="D668" t="inlineStr">
        <is>
          <t>OLDM</t>
        </is>
      </c>
      <c r="E668" t="inlineStr">
        <is>
          <t>T Thompson</t>
        </is>
      </c>
      <c r="F668" t="n">
        <v>6</v>
      </c>
      <c r="G668" t="n">
        <v>4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2</v>
      </c>
      <c r="N668" t="n">
        <v>0</v>
      </c>
      <c r="O668" t="n">
        <v>2</v>
      </c>
      <c r="P668" t="n">
        <v>1</v>
      </c>
      <c r="Q668" t="n">
        <v>1</v>
      </c>
      <c r="R668" t="n">
        <v>2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>
        <is>
          <t>K_L T1 (play #4); K_S T5 (play #55); RBI on T7 Single (play #71, C Koreck scores); scores T4 (play #31) and T7 (play #73)</t>
        </is>
      </c>
    </row>
    <row r="669">
      <c r="A669" t="inlineStr">
        <is>
          <t>2026-04-01_OLDM_at_RVRH</t>
        </is>
      </c>
      <c r="B669" s="10" t="n">
        <v>46113</v>
      </c>
      <c r="C669" t="inlineStr">
        <is>
          <t>Old Mill Varsity Patriots</t>
        </is>
      </c>
      <c r="D669" t="inlineStr">
        <is>
          <t>OLDM</t>
        </is>
      </c>
      <c r="E669" t="inlineStr">
        <is>
          <t>K Poucher</t>
        </is>
      </c>
      <c r="F669" t="n">
        <v>5</v>
      </c>
      <c r="G669" t="n">
        <v>4</v>
      </c>
      <c r="H669" t="n">
        <v>3</v>
      </c>
      <c r="I669" t="n">
        <v>2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inlineStr">
        <is>
          <t>2 RBI on T5 Single (play #43, B Rzepkoski + C Koreck score); 1 RBI on T7 Double (play #72, B Rzepkoski scores); CS T7 (embedded play #64, caught stealing 2nd by SS A Jensen)</t>
        </is>
      </c>
    </row>
    <row r="670">
      <c r="A670" t="inlineStr">
        <is>
          <t>2026-04-01_OLDM_at_RVRH</t>
        </is>
      </c>
      <c r="B670" s="10" t="n">
        <v>46113</v>
      </c>
      <c r="C670" t="inlineStr">
        <is>
          <t>Old Mill Varsity Patriots</t>
        </is>
      </c>
      <c r="D670" t="inlineStr">
        <is>
          <t>OLDM</t>
        </is>
      </c>
      <c r="E670" t="inlineStr">
        <is>
          <t>L McConville</t>
        </is>
      </c>
      <c r="F670" t="n">
        <v>4</v>
      </c>
      <c r="G670" t="n">
        <v>2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2</v>
      </c>
      <c r="N670" t="n">
        <v>0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inlineStr">
        <is>
          <t>Out on base paths at play #11 (part of T Richmond DP, not a new PA); K_S T4 (play #29); enters as sub for M Dauer-McGarrett T7 (play #64 lineup note); scores T7 (play #67); RBI on T7 productive GO (play #73, T Thompson scores)</t>
        </is>
      </c>
    </row>
    <row r="671">
      <c r="A671" t="inlineStr">
        <is>
          <t>2026-04-01_OLDM_at_RVRH</t>
        </is>
      </c>
      <c r="B671" s="10" t="n">
        <v>46113</v>
      </c>
      <c r="C671" t="inlineStr">
        <is>
          <t>Old Mill Varsity Patriots</t>
        </is>
      </c>
      <c r="D671" t="inlineStr">
        <is>
          <t>OLDM</t>
        </is>
      </c>
      <c r="E671" t="inlineStr">
        <is>
          <t>C Bonner</t>
        </is>
      </c>
      <c r="F671" t="n">
        <v>5</v>
      </c>
      <c r="G671" t="n">
        <v>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2</v>
      </c>
      <c r="N671" t="n">
        <v>1</v>
      </c>
      <c r="O671" t="n">
        <v>2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inlineStr">
        <is>
          <t>BB T4 forces in B Rzepkoski (play #30, RBI+1); HBP T7 (play #65); scores T7 (play #68, T Martini BB); K_S T5 (play #45); K_L T7 (play #74)</t>
        </is>
      </c>
    </row>
    <row r="672">
      <c r="A672" t="inlineStr">
        <is>
          <t>2026-04-01_OLDM_at_RVRH</t>
        </is>
      </c>
      <c r="B672" s="10" t="n">
        <v>46113</v>
      </c>
      <c r="C672" t="inlineStr">
        <is>
          <t>Old Mill Varsity Patriots</t>
        </is>
      </c>
      <c r="D672" t="inlineStr">
        <is>
          <t>OLDM</t>
        </is>
      </c>
      <c r="E672" t="inlineStr">
        <is>
          <t>T Richmond</t>
        </is>
      </c>
      <c r="F672" t="n">
        <v>5</v>
      </c>
      <c r="G672" t="n">
        <v>3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2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inlineStr">
        <is>
          <t>GDP T2 (play #11); RBI on T4 productive GO (play #31, T Thompson scores); HBP T7 (play #66); scores T6 (play #53) and T7 (play #69); also pitches B6 (entry inferred, Flag #2)</t>
        </is>
      </c>
    </row>
    <row r="673">
      <c r="A673" t="inlineStr">
        <is>
          <t>2026-04-01_OLDM_at_RVRH</t>
        </is>
      </c>
      <c r="B673" s="10" t="n">
        <v>46113</v>
      </c>
      <c r="C673" t="inlineStr">
        <is>
          <t>Old Mill Varsity Patriots</t>
        </is>
      </c>
      <c r="D673" t="inlineStr">
        <is>
          <t>OLDM</t>
        </is>
      </c>
      <c r="E673" t="inlineStr">
        <is>
          <t>S Perron</t>
        </is>
      </c>
      <c r="F673" t="n">
        <v>3</v>
      </c>
      <c r="G673" t="n">
        <v>2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inlineStr">
        <is>
          <t>K_S T4 (play #32); removed T6 (C Hairston PH, play #51 note); re-enters T7 for J Wilbon (play #67, Flag #8 potential illegal re-entry); BB T7 forces in L McConville (play #67, RBI+1); scores T7 (play #70)</t>
        </is>
      </c>
    </row>
    <row r="674">
      <c r="A674" t="inlineStr">
        <is>
          <t>2026-04-01_OLDM_at_RVRH</t>
        </is>
      </c>
      <c r="B674" s="10" t="n">
        <v>46113</v>
      </c>
      <c r="C674" t="inlineStr">
        <is>
          <t>Old Mill Varsity Patriots</t>
        </is>
      </c>
      <c r="D674" t="inlineStr">
        <is>
          <t>OLDM</t>
        </is>
      </c>
      <c r="E674" t="inlineStr">
        <is>
          <t>M Dauer-McGarrett</t>
        </is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inlineStr">
        <is>
          <t>Subs for L McConville T5 (play #44 lineup note); K_S T5 (play #44); removed T7 (L McConville re-enters, play #64 lineup note)</t>
        </is>
      </c>
    </row>
    <row r="675">
      <c r="A675" t="inlineStr">
        <is>
          <t>2026-04-01_OLDM_at_RVRH</t>
        </is>
      </c>
      <c r="B675" s="10" t="n">
        <v>46113</v>
      </c>
      <c r="C675" t="inlineStr">
        <is>
          <t>Old Mill Varsity Patriots</t>
        </is>
      </c>
      <c r="D675" t="inlineStr">
        <is>
          <t>OLDM</t>
        </is>
      </c>
      <c r="E675" t="inlineStr">
        <is>
          <t>C Hairston</t>
        </is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inlineStr">
        <is>
          <t>PH for S Perron T6 (play #51 lineup note); reaches on error by LF A Contreras (play #51, not a hit); replaced by PR J Wilbon (play #54 lineup note)</t>
        </is>
      </c>
    </row>
    <row r="676">
      <c r="A676" t="inlineStr">
        <is>
          <t>2026-04-01_OLDM_at_RVRH</t>
        </is>
      </c>
      <c r="B676" s="10" t="n">
        <v>46113</v>
      </c>
      <c r="C676" t="inlineStr">
        <is>
          <t>Old Mill Varsity Patriots</t>
        </is>
      </c>
      <c r="D676" t="inlineStr">
        <is>
          <t>OLDM</t>
        </is>
      </c>
      <c r="E676" t="inlineStr">
        <is>
          <t>J Wilbon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>
        <is>
          <t>PR (standard sub) for C Hairston T6 (play #54 note); removed T7 (S Perron bats, play #67 lineup note); no baserunning events</t>
        </is>
      </c>
    </row>
    <row r="677">
      <c r="A677" t="inlineStr">
        <is>
          <t>2026-04-01_OLDM_at_RVRH</t>
        </is>
      </c>
      <c r="B677" s="10" t="n">
        <v>46113</v>
      </c>
      <c r="C677" t="inlineStr">
        <is>
          <t>Old Mill Varsity Patriots</t>
        </is>
      </c>
      <c r="D677" t="inlineStr">
        <is>
          <t>RVRH</t>
        </is>
      </c>
      <c r="E677" t="inlineStr">
        <is>
          <t>R Walsh</t>
        </is>
      </c>
      <c r="F677" t="n">
        <v>5</v>
      </c>
      <c r="G677" t="n">
        <v>4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inlineStr">
        <is>
          <t>RBI on B4 Single (play #37, E McCoy scores); stranded on 2nd end of B7 (after WP advancement, play #81)</t>
        </is>
      </c>
    </row>
    <row r="678">
      <c r="A678" t="inlineStr">
        <is>
          <t>2026-04-01_OLDM_at_RVRH</t>
        </is>
      </c>
      <c r="B678" s="10" t="n">
        <v>46113</v>
      </c>
      <c r="C678" t="inlineStr">
        <is>
          <t>Old Mill Varsity Patriots</t>
        </is>
      </c>
      <c r="D678" t="inlineStr">
        <is>
          <t>RVRH</t>
        </is>
      </c>
      <c r="E678" t="inlineStr">
        <is>
          <t>C McClellan</t>
        </is>
      </c>
      <c r="F678" t="n">
        <v>3</v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inlineStr">
        <is>
          <t>Reaches on error B3 (play #22, not a hit); SB B3 (embedded play #23); scores B3 (play #24, H Zhang Single)</t>
        </is>
      </c>
    </row>
    <row r="679">
      <c r="A679" t="inlineStr">
        <is>
          <t>2026-04-01_OLDM_at_RVRH</t>
        </is>
      </c>
      <c r="B679" s="10" t="n">
        <v>46113</v>
      </c>
      <c r="C679" t="inlineStr">
        <is>
          <t>Old Mill Varsity Patriots</t>
        </is>
      </c>
      <c r="D679" t="inlineStr">
        <is>
          <t>RVRH</t>
        </is>
      </c>
      <c r="E679" t="inlineStr">
        <is>
          <t>J Norwood</t>
        </is>
      </c>
      <c r="F679" t="n">
        <v>5</v>
      </c>
      <c r="G679" t="n">
        <v>2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3</v>
      </c>
      <c r="N679" t="n">
        <v>0</v>
      </c>
      <c r="O679" t="n">
        <v>0</v>
      </c>
      <c r="P679" t="n">
        <v>0</v>
      </c>
      <c r="Q679" t="n">
        <v>0</v>
      </c>
      <c r="R679" t="n">
        <v>2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>
        <is>
          <t>Scores B3 (play #24) and B5 (play #48, SAC fly); RBI on B6 BB (play #61, A Jensen scores); also pitches T7 plays #64-67 (entry inferred, Flag #3)</t>
        </is>
      </c>
    </row>
    <row r="680">
      <c r="A680" t="inlineStr">
        <is>
          <t>2026-04-01_OLDM_at_RVRH</t>
        </is>
      </c>
      <c r="B680" s="10" t="n">
        <v>46113</v>
      </c>
      <c r="C680" t="inlineStr">
        <is>
          <t>Old Mill Varsity Patriots</t>
        </is>
      </c>
      <c r="D680" t="inlineStr">
        <is>
          <t>RVRH</t>
        </is>
      </c>
      <c r="E680" t="inlineStr">
        <is>
          <t>H Zhang</t>
        </is>
      </c>
      <c r="F680" t="n">
        <v>3</v>
      </c>
      <c r="G680" t="n">
        <v>3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inlineStr">
        <is>
          <t>2 RBI on B3 Single (play #24, J Norwood + C McClellan score); also pitches T1-T4 (documented entry play #1); enters B7 as sub for C Reis (play #83 lineup note)</t>
        </is>
      </c>
    </row>
    <row r="681">
      <c r="A681" t="inlineStr">
        <is>
          <t>2026-04-01_OLDM_at_RVRH</t>
        </is>
      </c>
      <c r="B681" s="10" t="n">
        <v>46113</v>
      </c>
      <c r="C681" t="inlineStr">
        <is>
          <t>Old Mill Varsity Patriots</t>
        </is>
      </c>
      <c r="D681" t="inlineStr">
        <is>
          <t>RVRH</t>
        </is>
      </c>
      <c r="E681" t="inlineStr">
        <is>
          <t>C Naecker</t>
        </is>
      </c>
      <c r="F681" t="n">
        <v>4</v>
      </c>
      <c r="G681" t="n">
        <v>2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2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inlineStr">
        <is>
          <t>SAC fly B5 (play #48, J Norwood scores, RBI+1); scores B2 (play #15, A Fields Single) and B7 (play #76, R Ronayne Triple); advanced to 2nd on WP B2 (during play #14)</t>
        </is>
      </c>
    </row>
    <row r="682">
      <c r="A682" t="inlineStr">
        <is>
          <t>2026-04-01_OLDM_at_RVRH</t>
        </is>
      </c>
      <c r="B682" s="10" t="n">
        <v>46113</v>
      </c>
      <c r="C682" t="inlineStr">
        <is>
          <t>Old Mill Varsity Patriots</t>
        </is>
      </c>
      <c r="D682" t="inlineStr">
        <is>
          <t>RVRH</t>
        </is>
      </c>
      <c r="E682" t="inlineStr">
        <is>
          <t>R Ronayne</t>
        </is>
      </c>
      <c r="F682" t="n">
        <v>3</v>
      </c>
      <c r="G682" t="n">
        <v>3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inlineStr">
        <is>
          <t>K_L B2 (play #14); RBI on B7 Triple (play #76, C Naecker scores); scores B7 (play #77, A Fields Single)</t>
        </is>
      </c>
    </row>
    <row r="683">
      <c r="A683" t="inlineStr">
        <is>
          <t>2026-04-01_OLDM_at_RVRH</t>
        </is>
      </c>
      <c r="B683" s="10" t="n">
        <v>46113</v>
      </c>
      <c r="C683" t="inlineStr">
        <is>
          <t>Old Mill Varsity Patriots</t>
        </is>
      </c>
      <c r="D683" t="inlineStr">
        <is>
          <t>RVRH</t>
        </is>
      </c>
      <c r="E683" t="inlineStr">
        <is>
          <t>A Fields</t>
        </is>
      </c>
      <c r="F683" t="n">
        <v>5</v>
      </c>
      <c r="G683" t="n">
        <v>5</v>
      </c>
      <c r="H683" t="n">
        <v>2</v>
      </c>
      <c r="I683" t="n">
        <v>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n">
        <v>2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inlineStr">
        <is>
          <t>RBI on B2 Single (play #15, C Naecker scores); SB B2 (embedded play #16); RBI on B7 Single (play #77, R Ronayne scores); scores B7 on WP (embedded play #81, no RBI)</t>
        </is>
      </c>
    </row>
    <row r="684">
      <c r="A684" t="inlineStr">
        <is>
          <t>2026-04-01_OLDM_at_RVRH</t>
        </is>
      </c>
      <c r="B684" s="10" t="n">
        <v>46113</v>
      </c>
      <c r="C684" t="inlineStr">
        <is>
          <t>Old Mill Varsity Patriots</t>
        </is>
      </c>
      <c r="D684" t="inlineStr">
        <is>
          <t>RVRH</t>
        </is>
      </c>
      <c r="E684" t="inlineStr">
        <is>
          <t>C Nichols</t>
        </is>
      </c>
      <c r="F684" t="n">
        <v>3</v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2</v>
      </c>
      <c r="P684" t="n">
        <v>0</v>
      </c>
      <c r="Q684" t="n">
        <v>2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>
        <is>
          <t>HBP B4 (play #35); scores B4 (play #36, E McCoy Triple); K_S B2 (play #16); K_S B7 (play #78); removed B6 (B Mougey PH, play #57); also pitches T7 plays #68-74 (entry inferred, Flag #4)</t>
        </is>
      </c>
    </row>
    <row r="685">
      <c r="A685" t="inlineStr">
        <is>
          <t>2026-04-01_OLDM_at_RVRH</t>
        </is>
      </c>
      <c r="B685" s="10" t="n">
        <v>46113</v>
      </c>
      <c r="C685" t="inlineStr">
        <is>
          <t>Old Mill Varsity Patriots</t>
        </is>
      </c>
      <c r="D685" t="inlineStr">
        <is>
          <t>RVRH</t>
        </is>
      </c>
      <c r="E685" t="inlineStr">
        <is>
          <t>E McCoy</t>
        </is>
      </c>
      <c r="F685" t="n">
        <v>4</v>
      </c>
      <c r="G685" t="n">
        <v>4</v>
      </c>
      <c r="H685" t="n">
        <v>3</v>
      </c>
      <c r="I685" t="n">
        <v>2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inlineStr">
        <is>
          <t>RBI on B4 Triple (play #36, C Nichols scores); scores B4 (play #37, R Walsh Single); stranded on 3rd end of B7 (after WP advancement)</t>
        </is>
      </c>
    </row>
    <row r="686">
      <c r="A686" t="inlineStr">
        <is>
          <t>2026-04-01_OLDM_at_RVRH</t>
        </is>
      </c>
      <c r="B686" s="10" t="n">
        <v>46113</v>
      </c>
      <c r="C686" t="inlineStr">
        <is>
          <t>Old Mill Varsity Patriots</t>
        </is>
      </c>
      <c r="D686" t="inlineStr">
        <is>
          <t>RVRH</t>
        </is>
      </c>
      <c r="E686" t="inlineStr">
        <is>
          <t>L Kreisl</t>
        </is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2026-04-01_OLDM_at_RVRH</t>
        </is>
      </c>
      <c r="B687" s="10" t="n">
        <v>46113</v>
      </c>
      <c r="C687" t="inlineStr">
        <is>
          <t>Old Mill Varsity Patriots</t>
        </is>
      </c>
      <c r="D687" t="inlineStr">
        <is>
          <t>RVRH</t>
        </is>
      </c>
      <c r="E687" t="inlineStr">
        <is>
          <t>C Reis</t>
        </is>
      </c>
      <c r="F687" t="n">
        <v>2</v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inlineStr">
        <is>
          <t>Also pitches T5 (mid-AB play #43) through T6 + K Poucher BB T7 (play #63); exits when J Norwood inferred (Flag #3); removed B7 (H Zhang subs in, play #83)</t>
        </is>
      </c>
    </row>
    <row r="688">
      <c r="A688" t="inlineStr">
        <is>
          <t>2026-04-01_OLDM_at_RVRH</t>
        </is>
      </c>
      <c r="B688" s="10" t="n">
        <v>46113</v>
      </c>
      <c r="C688" t="inlineStr">
        <is>
          <t>Old Mill Varsity Patriots</t>
        </is>
      </c>
      <c r="D688" t="inlineStr">
        <is>
          <t>RVRH</t>
        </is>
      </c>
      <c r="E688" t="inlineStr">
        <is>
          <t>B Bixby</t>
        </is>
      </c>
      <c r="F688" t="n">
        <v>2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inlineStr">
        <is>
          <t>K_S B7 (play #81)</t>
        </is>
      </c>
    </row>
    <row r="689">
      <c r="A689" t="inlineStr">
        <is>
          <t>2026-04-01_OLDM_at_RVRH</t>
        </is>
      </c>
      <c r="B689" s="10" t="n">
        <v>46113</v>
      </c>
      <c r="C689" t="inlineStr">
        <is>
          <t>Old Mill Varsity Patriots</t>
        </is>
      </c>
      <c r="D689" t="inlineStr">
        <is>
          <t>RVRH</t>
        </is>
      </c>
      <c r="E689" t="inlineStr">
        <is>
          <t>B Mougey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inlineStr">
        <is>
          <t>PH for C Nichols B6 (play #57 lineup note); HBP (play #57); replaced by PR A Jensen (play #58 lineup note, standard sub)</t>
        </is>
      </c>
    </row>
    <row r="690">
      <c r="A690" t="inlineStr">
        <is>
          <t>2026-04-01_OLDM_at_RVRH</t>
        </is>
      </c>
      <c r="B690" s="10" t="n">
        <v>46113</v>
      </c>
      <c r="C690" t="inlineStr">
        <is>
          <t>Old Mill Varsity Patriots</t>
        </is>
      </c>
      <c r="D690" t="inlineStr">
        <is>
          <t>RVRH</t>
        </is>
      </c>
      <c r="E690" t="inlineStr">
        <is>
          <t>A Jensen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inlineStr">
        <is>
          <t>PR (standard sub) for B Mougey B6 (play #58 note); scores B6 on J Norwood BB (play #61, bases loaded); advanced to 3rd on PB (embedded play #60); R credited to A Jensen (standard sub)</t>
        </is>
      </c>
    </row>
    <row r="691">
      <c r="A691" t="inlineStr">
        <is>
          <t>2026-04-01_OLDM_at_RVRH</t>
        </is>
      </c>
      <c r="B691" s="10" t="n">
        <v>46113</v>
      </c>
      <c r="C691" t="inlineStr">
        <is>
          <t>Old Mill Varsity Patriots</t>
        </is>
      </c>
      <c r="D691" t="inlineStr">
        <is>
          <t>RVRH</t>
        </is>
      </c>
      <c r="E691" t="inlineStr">
        <is>
          <t>E Skolkin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inlineStr">
        <is>
          <t>Courtesy runner for H Zhang B3 (play #25 note); SB B3 (embedded play #25); does not score — inning ends on C Naecker GO</t>
        </is>
      </c>
    </row>
    <row r="692">
      <c r="A692" t="inlineStr">
        <is>
          <t>2026-03-31_DMSC_at_HWRD</t>
        </is>
      </c>
      <c r="B692" s="10" t="n">
        <v>46112</v>
      </c>
      <c r="C692" t="inlineStr">
        <is>
          <t>Howard Varsity Lions</t>
        </is>
      </c>
      <c r="D692" t="inlineStr">
        <is>
          <t>DMSC</t>
        </is>
      </c>
      <c r="E692" t="inlineStr">
        <is>
          <t>G Iorio</t>
        </is>
      </c>
      <c r="F692" t="n">
        <v>4</v>
      </c>
      <c r="G692" t="n">
        <v>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R692" t="n">
        <v>2</v>
      </c>
      <c r="S692" t="n">
        <v>0</v>
      </c>
      <c r="T692" t="n">
        <v>4</v>
      </c>
      <c r="U692" t="n">
        <v>0</v>
      </c>
      <c r="W692" t="n">
        <v>0</v>
      </c>
      <c r="Y692" t="inlineStr">
        <is>
          <t>Name in source: Giac Iorio</t>
        </is>
      </c>
    </row>
    <row r="693">
      <c r="A693" t="inlineStr">
        <is>
          <t>2026-03-31_DMSC_at_HWRD</t>
        </is>
      </c>
      <c r="B693" s="10" t="n">
        <v>46112</v>
      </c>
      <c r="C693" t="inlineStr">
        <is>
          <t>Howard Varsity Lions</t>
        </is>
      </c>
      <c r="D693" t="inlineStr">
        <is>
          <t>DMSC</t>
        </is>
      </c>
      <c r="E693" t="inlineStr">
        <is>
          <t>Holden</t>
        </is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R693" t="n">
        <v>1</v>
      </c>
      <c r="S693" t="n">
        <v>0</v>
      </c>
      <c r="T693" t="n">
        <v>0</v>
      </c>
      <c r="U693" t="n">
        <v>0</v>
      </c>
      <c r="W693" t="n">
        <v>0</v>
      </c>
      <c r="Y693" t="inlineStr">
        <is>
          <t>[AMBIGUOUS] Single name visible in box score; last name not captured. Flagged for review.</t>
        </is>
      </c>
    </row>
    <row r="694">
      <c r="A694" t="inlineStr">
        <is>
          <t>2026-03-31_DMSC_at_HWRD</t>
        </is>
      </c>
      <c r="B694" s="10" t="n">
        <v>46112</v>
      </c>
      <c r="C694" t="inlineStr">
        <is>
          <t>Howard Varsity Lions</t>
        </is>
      </c>
      <c r="D694" t="inlineStr">
        <is>
          <t>DMSC</t>
        </is>
      </c>
      <c r="E694" t="inlineStr">
        <is>
          <t>J Witmer</t>
        </is>
      </c>
      <c r="F694" t="n">
        <v>4</v>
      </c>
      <c r="G694" t="n">
        <v>3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R694" t="n">
        <v>0</v>
      </c>
      <c r="S694" t="n">
        <v>0</v>
      </c>
      <c r="T694" t="n">
        <v>0</v>
      </c>
      <c r="U694" t="n">
        <v>0</v>
      </c>
      <c r="W694" t="n">
        <v>0</v>
      </c>
      <c r="Y694" t="inlineStr">
        <is>
          <t>Name in source: Justin Witmer</t>
        </is>
      </c>
    </row>
    <row r="695">
      <c r="A695" t="inlineStr">
        <is>
          <t>2026-03-31_DMSC_at_HWRD</t>
        </is>
      </c>
      <c r="B695" s="10" t="n">
        <v>46112</v>
      </c>
      <c r="C695" t="inlineStr">
        <is>
          <t>Howard Varsity Lions</t>
        </is>
      </c>
      <c r="D695" t="inlineStr">
        <is>
          <t>DMSC</t>
        </is>
      </c>
      <c r="E695" t="inlineStr">
        <is>
          <t>Colton Dewing</t>
        </is>
      </c>
      <c r="F695" t="n">
        <v>3</v>
      </c>
      <c r="G695" t="n">
        <v>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2</v>
      </c>
      <c r="R695" t="n">
        <v>2</v>
      </c>
      <c r="S695" t="n">
        <v>0</v>
      </c>
      <c r="T695" t="n">
        <v>0</v>
      </c>
      <c r="U695" t="n">
        <v>0</v>
      </c>
      <c r="W695" t="n">
        <v>0</v>
      </c>
    </row>
    <row r="696">
      <c r="A696" t="inlineStr">
        <is>
          <t>2026-03-31_DMSC_at_HWRD</t>
        </is>
      </c>
      <c r="B696" s="10" t="n">
        <v>46112</v>
      </c>
      <c r="C696" t="inlineStr">
        <is>
          <t>Howard Varsity Lions</t>
        </is>
      </c>
      <c r="D696" t="inlineStr">
        <is>
          <t>DMSC</t>
        </is>
      </c>
      <c r="E696" t="inlineStr">
        <is>
          <t>Ethan Nguyen</t>
        </is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R696" t="n">
        <v>0</v>
      </c>
      <c r="S696" t="n">
        <v>0</v>
      </c>
      <c r="T696" t="n">
        <v>1</v>
      </c>
      <c r="U696" t="n">
        <v>0</v>
      </c>
      <c r="W696" t="n">
        <v>0</v>
      </c>
    </row>
    <row r="697">
      <c r="A697" t="inlineStr">
        <is>
          <t>2026-03-31_DMSC_at_HWRD</t>
        </is>
      </c>
      <c r="B697" s="10" t="n">
        <v>46112</v>
      </c>
      <c r="C697" t="inlineStr">
        <is>
          <t>Howard Varsity Lions</t>
        </is>
      </c>
      <c r="D697" t="inlineStr">
        <is>
          <t>DMSC</t>
        </is>
      </c>
      <c r="E697" t="inlineStr">
        <is>
          <t>Tyler Luskey</t>
        </is>
      </c>
      <c r="F697" t="n">
        <v>3</v>
      </c>
      <c r="G697" t="n">
        <v>3</v>
      </c>
      <c r="H697" t="n">
        <v>2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R697" t="n">
        <v>0</v>
      </c>
      <c r="S697" t="n">
        <v>1</v>
      </c>
      <c r="T697" t="n">
        <v>0</v>
      </c>
      <c r="U697" t="n">
        <v>0</v>
      </c>
      <c r="W697" t="n">
        <v>0</v>
      </c>
    </row>
    <row r="698">
      <c r="A698" t="inlineStr">
        <is>
          <t>2026-03-31_DMSC_at_HWRD</t>
        </is>
      </c>
      <c r="B698" s="10" t="n">
        <v>46112</v>
      </c>
      <c r="C698" t="inlineStr">
        <is>
          <t>Howard Varsity Lions</t>
        </is>
      </c>
      <c r="D698" t="inlineStr">
        <is>
          <t>DMSC</t>
        </is>
      </c>
      <c r="E698" t="inlineStr">
        <is>
          <t>C Holland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R698" t="n">
        <v>1</v>
      </c>
      <c r="S698" t="n">
        <v>0</v>
      </c>
      <c r="T698" t="n">
        <v>0</v>
      </c>
      <c r="U698" t="n">
        <v>0</v>
      </c>
      <c r="W698" t="n">
        <v>0</v>
      </c>
      <c r="Y698" t="inlineStr">
        <is>
          <t>Name in source: CJ Holland</t>
        </is>
      </c>
    </row>
    <row r="699">
      <c r="A699" t="inlineStr">
        <is>
          <t>2026-03-31_DMSC_at_HWRD</t>
        </is>
      </c>
      <c r="B699" s="10" t="n">
        <v>46112</v>
      </c>
      <c r="C699" t="inlineStr">
        <is>
          <t>Howard Varsity Lions</t>
        </is>
      </c>
      <c r="D699" t="inlineStr">
        <is>
          <t>DMSC</t>
        </is>
      </c>
      <c r="E699" t="inlineStr">
        <is>
          <t>J Reyes</t>
        </is>
      </c>
      <c r="F699" t="n">
        <v>4</v>
      </c>
      <c r="G699" t="n">
        <v>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</v>
      </c>
      <c r="R699" t="n">
        <v>0</v>
      </c>
      <c r="S699" t="n">
        <v>0</v>
      </c>
      <c r="T699" t="n">
        <v>0</v>
      </c>
      <c r="U699" t="n">
        <v>0</v>
      </c>
      <c r="W699" t="n">
        <v>0</v>
      </c>
      <c r="Y699" t="inlineStr">
        <is>
          <t>Name in source: Jheremy Reyes</t>
        </is>
      </c>
    </row>
    <row r="700">
      <c r="A700" t="inlineStr">
        <is>
          <t>2026-03-31_DMSC_at_HWRD</t>
        </is>
      </c>
      <c r="B700" s="10" t="n">
        <v>46112</v>
      </c>
      <c r="C700" t="inlineStr">
        <is>
          <t>Howard Varsity Lions</t>
        </is>
      </c>
      <c r="D700" t="inlineStr">
        <is>
          <t>DMSC</t>
        </is>
      </c>
      <c r="E700" t="inlineStr">
        <is>
          <t>N Cooley</t>
        </is>
      </c>
      <c r="F700" t="n">
        <v>4</v>
      </c>
      <c r="G700" t="n">
        <v>3</v>
      </c>
      <c r="H700" t="n">
        <v>2</v>
      </c>
      <c r="I700" t="n">
        <v>2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R700" t="n">
        <v>2</v>
      </c>
      <c r="S700" t="n">
        <v>0</v>
      </c>
      <c r="T700" t="n">
        <v>3</v>
      </c>
      <c r="U700" t="n">
        <v>0</v>
      </c>
      <c r="W700" t="n">
        <v>0</v>
      </c>
      <c r="Y700" t="inlineStr">
        <is>
          <t>Name in source: Nolan Cooley</t>
        </is>
      </c>
    </row>
    <row r="701">
      <c r="A701" t="inlineStr">
        <is>
          <t>2026-03-31_DMSC_at_HWRD</t>
        </is>
      </c>
      <c r="B701" s="10" t="n">
        <v>46112</v>
      </c>
      <c r="C701" t="inlineStr">
        <is>
          <t>Howard Varsity Lions</t>
        </is>
      </c>
      <c r="D701" t="inlineStr">
        <is>
          <t>DMSC</t>
        </is>
      </c>
      <c r="E701" t="inlineStr">
        <is>
          <t>K Childers</t>
        </is>
      </c>
      <c r="F701" t="n">
        <v>3</v>
      </c>
      <c r="G701" t="n">
        <v>3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2</v>
      </c>
      <c r="R701" t="n">
        <v>0</v>
      </c>
      <c r="S701" t="n">
        <v>0</v>
      </c>
      <c r="T701" t="n">
        <v>0</v>
      </c>
      <c r="U701" t="n">
        <v>0</v>
      </c>
      <c r="W701" t="n">
        <v>0</v>
      </c>
      <c r="Y701" t="inlineStr">
        <is>
          <t>Name in source: Kody Childers</t>
        </is>
      </c>
    </row>
    <row r="702">
      <c r="A702" t="inlineStr">
        <is>
          <t>2026-03-31_DMSC_at_HWRD</t>
        </is>
      </c>
      <c r="B702" s="10" t="n">
        <v>46112</v>
      </c>
      <c r="C702" t="inlineStr">
        <is>
          <t>Howard Varsity Lions</t>
        </is>
      </c>
      <c r="D702" t="inlineStr">
        <is>
          <t>DMSC</t>
        </is>
      </c>
      <c r="E702" t="inlineStr">
        <is>
          <t>R Chidakel</t>
        </is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R702" t="n">
        <v>1</v>
      </c>
      <c r="S702" t="n">
        <v>2</v>
      </c>
      <c r="T702" t="n">
        <v>0</v>
      </c>
      <c r="U702" t="n">
        <v>0</v>
      </c>
      <c r="W702" t="n">
        <v>0</v>
      </c>
      <c r="Y702" t="inlineStr">
        <is>
          <t>Name in source: Ryan Chidakel</t>
        </is>
      </c>
    </row>
    <row r="703">
      <c r="A703" t="inlineStr">
        <is>
          <t>2026-03-31_DMSC_at_HWRD</t>
        </is>
      </c>
      <c r="B703" s="10" t="n">
        <v>46112</v>
      </c>
      <c r="C703" t="inlineStr">
        <is>
          <t>Howard Varsity Lions</t>
        </is>
      </c>
      <c r="D703" t="inlineStr">
        <is>
          <t>DMSC</t>
        </is>
      </c>
      <c r="E703" t="inlineStr">
        <is>
          <t>Zach Westbrooks</t>
        </is>
      </c>
      <c r="F703" t="n">
        <v>4</v>
      </c>
      <c r="G703" t="n">
        <v>2</v>
      </c>
      <c r="H703" t="n">
        <v>2</v>
      </c>
      <c r="I703" t="n">
        <v>2</v>
      </c>
      <c r="J703" t="n">
        <v>0</v>
      </c>
      <c r="K703" t="n">
        <v>0</v>
      </c>
      <c r="L703" t="n">
        <v>0</v>
      </c>
      <c r="M703" t="n">
        <v>2</v>
      </c>
      <c r="N703" t="n">
        <v>0</v>
      </c>
      <c r="O703" t="n">
        <v>0</v>
      </c>
      <c r="R703" t="n">
        <v>3</v>
      </c>
      <c r="S703" t="n">
        <v>1</v>
      </c>
      <c r="T703" t="n">
        <v>2</v>
      </c>
      <c r="U703" t="n">
        <v>0</v>
      </c>
      <c r="W703" t="n">
        <v>0</v>
      </c>
    </row>
    <row r="704">
      <c r="A704" t="inlineStr">
        <is>
          <t>2026-03-31_DMSC_at_HWRD</t>
        </is>
      </c>
      <c r="B704" s="10" t="n">
        <v>46112</v>
      </c>
      <c r="C704" t="inlineStr">
        <is>
          <t>Howard Varsity Lions</t>
        </is>
      </c>
      <c r="D704" t="inlineStr">
        <is>
          <t>DMSC</t>
        </is>
      </c>
      <c r="E704" t="inlineStr">
        <is>
          <t>Brady Stewart</t>
        </is>
      </c>
      <c r="F704" t="n">
        <v>2</v>
      </c>
      <c r="G704" t="n">
        <v>2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R704" t="n">
        <v>0</v>
      </c>
      <c r="S704" t="n">
        <v>1</v>
      </c>
      <c r="T704" t="n">
        <v>1</v>
      </c>
      <c r="U704" t="n">
        <v>0</v>
      </c>
      <c r="W704" t="n">
        <v>0</v>
      </c>
    </row>
    <row r="705">
      <c r="A705" t="inlineStr">
        <is>
          <t>2026-03-31_DMSC_at_HWRD</t>
        </is>
      </c>
      <c r="B705" s="10" t="n">
        <v>46112</v>
      </c>
      <c r="C705" t="inlineStr">
        <is>
          <t>Howard Varsity Lions</t>
        </is>
      </c>
      <c r="D705" t="inlineStr">
        <is>
          <t>DMSC</t>
        </is>
      </c>
      <c r="E705" t="inlineStr">
        <is>
          <t>L Curtin</t>
        </is>
      </c>
      <c r="F705" t="n">
        <v>2</v>
      </c>
      <c r="G705" t="n">
        <v>2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R705" t="n">
        <v>0</v>
      </c>
      <c r="S705" t="n">
        <v>0</v>
      </c>
      <c r="T705" t="n">
        <v>1</v>
      </c>
      <c r="U705" t="n">
        <v>0</v>
      </c>
      <c r="W705" t="n">
        <v>0</v>
      </c>
      <c r="Y705" t="inlineStr">
        <is>
          <t>Name in source: Liam Curtin</t>
        </is>
      </c>
    </row>
    <row r="706">
      <c r="A706" t="inlineStr">
        <is>
          <t>2026-03-31_DMSC_at_HWRD</t>
        </is>
      </c>
      <c r="B706" s="10" t="n">
        <v>46112</v>
      </c>
      <c r="C706" t="inlineStr">
        <is>
          <t>Damascus Varsity Hornets</t>
        </is>
      </c>
      <c r="D706" t="inlineStr">
        <is>
          <t>HWRD</t>
        </is>
      </c>
      <c r="E706" t="inlineStr">
        <is>
          <t>C Parise</t>
        </is>
      </c>
      <c r="F706" t="n">
        <v>2</v>
      </c>
      <c r="G706" t="n">
        <v>2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R706" t="n">
        <v>0</v>
      </c>
      <c r="S706" t="n">
        <v>0</v>
      </c>
      <c r="T706" t="n">
        <v>0</v>
      </c>
      <c r="U706" t="n">
        <v>1</v>
      </c>
      <c r="W706" t="n">
        <v>0</v>
      </c>
      <c r="Y706" t="inlineStr">
        <is>
          <t>Name in source: Carter Parise</t>
        </is>
      </c>
    </row>
    <row r="707">
      <c r="A707" t="inlineStr">
        <is>
          <t>2026-03-31_DMSC_at_HWRD</t>
        </is>
      </c>
      <c r="B707" s="10" t="n">
        <v>46112</v>
      </c>
      <c r="C707" t="inlineStr">
        <is>
          <t>Damascus Varsity Hornets</t>
        </is>
      </c>
      <c r="D707" t="inlineStr">
        <is>
          <t>HWRD</t>
        </is>
      </c>
      <c r="E707" t="inlineStr">
        <is>
          <t>Ryan Song</t>
        </is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R707" t="n">
        <v>0</v>
      </c>
      <c r="S707" t="n">
        <v>0</v>
      </c>
      <c r="T707" t="n">
        <v>0</v>
      </c>
      <c r="U707" t="n">
        <v>0</v>
      </c>
      <c r="W707" t="n">
        <v>0</v>
      </c>
    </row>
    <row r="708">
      <c r="A708" t="inlineStr">
        <is>
          <t>2026-03-31_DMSC_at_HWRD</t>
        </is>
      </c>
      <c r="B708" s="10" t="n">
        <v>46112</v>
      </c>
      <c r="C708" t="inlineStr">
        <is>
          <t>Damascus Varsity Hornets</t>
        </is>
      </c>
      <c r="D708" t="inlineStr">
        <is>
          <t>HWRD</t>
        </is>
      </c>
      <c r="E708" t="inlineStr">
        <is>
          <t>B Giangrasso</t>
        </is>
      </c>
      <c r="F708" t="n">
        <v>2</v>
      </c>
      <c r="G708" t="n">
        <v>2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R708" t="n">
        <v>0</v>
      </c>
      <c r="S708" t="n">
        <v>0</v>
      </c>
      <c r="T708" t="n">
        <v>0</v>
      </c>
      <c r="U708" t="n">
        <v>0</v>
      </c>
      <c r="W708" t="n">
        <v>0</v>
      </c>
      <c r="Y708" t="inlineStr">
        <is>
          <t>Name in source: Brennan Giangrasso</t>
        </is>
      </c>
    </row>
    <row r="709">
      <c r="A709" t="inlineStr">
        <is>
          <t>2026-03-31_DMSC_at_HWRD</t>
        </is>
      </c>
      <c r="B709" s="10" t="n">
        <v>46112</v>
      </c>
      <c r="C709" t="inlineStr">
        <is>
          <t>Damascus Varsity Hornets</t>
        </is>
      </c>
      <c r="D709" t="inlineStr">
        <is>
          <t>HWRD</t>
        </is>
      </c>
      <c r="E709" t="inlineStr">
        <is>
          <t>Nick Davis</t>
        </is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R709" t="n">
        <v>0</v>
      </c>
      <c r="S709" t="n">
        <v>0</v>
      </c>
      <c r="T709" t="n">
        <v>0</v>
      </c>
      <c r="U709" t="n">
        <v>0</v>
      </c>
      <c r="W709" t="n">
        <v>0</v>
      </c>
    </row>
    <row r="710">
      <c r="A710" t="inlineStr">
        <is>
          <t>2026-03-31_DMSC_at_HWRD</t>
        </is>
      </c>
      <c r="B710" s="10" t="n">
        <v>46112</v>
      </c>
      <c r="C710" t="inlineStr">
        <is>
          <t>Damascus Varsity Hornets</t>
        </is>
      </c>
      <c r="D710" t="inlineStr">
        <is>
          <t>HWRD</t>
        </is>
      </c>
      <c r="E710" t="inlineStr">
        <is>
          <t>G Nystrom</t>
        </is>
      </c>
      <c r="F710" t="n">
        <v>2</v>
      </c>
      <c r="G710" t="n">
        <v>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R710" t="n">
        <v>0</v>
      </c>
      <c r="S710" t="n">
        <v>0</v>
      </c>
      <c r="T710" t="n">
        <v>0</v>
      </c>
      <c r="U710" t="n">
        <v>0</v>
      </c>
      <c r="W710" t="n">
        <v>0</v>
      </c>
      <c r="Y710" t="inlineStr">
        <is>
          <t>Name in source: Gavin Nystrom</t>
        </is>
      </c>
    </row>
    <row r="711">
      <c r="A711" t="inlineStr">
        <is>
          <t>2026-03-31_DMSC_at_HWRD</t>
        </is>
      </c>
      <c r="B711" s="10" t="n">
        <v>46112</v>
      </c>
      <c r="C711" t="inlineStr">
        <is>
          <t>Damascus Varsity Hornets</t>
        </is>
      </c>
      <c r="D711" t="inlineStr">
        <is>
          <t>HWRD</t>
        </is>
      </c>
      <c r="E711" t="inlineStr">
        <is>
          <t>Gibson Martin</t>
        </is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R711" t="n">
        <v>0</v>
      </c>
      <c r="S711" t="n">
        <v>0</v>
      </c>
      <c r="T711" t="n">
        <v>0</v>
      </c>
      <c r="U711" t="n">
        <v>0</v>
      </c>
      <c r="W711" t="n">
        <v>0</v>
      </c>
    </row>
    <row r="712">
      <c r="A712" t="inlineStr">
        <is>
          <t>2026-03-31_DMSC_at_HWRD</t>
        </is>
      </c>
      <c r="B712" s="10" t="n">
        <v>46112</v>
      </c>
      <c r="C712" t="inlineStr">
        <is>
          <t>Damascus Varsity Hornets</t>
        </is>
      </c>
      <c r="D712" t="inlineStr">
        <is>
          <t>HWRD</t>
        </is>
      </c>
      <c r="E712" t="inlineStr">
        <is>
          <t>A Proescher</t>
        </is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R712" t="n">
        <v>0</v>
      </c>
      <c r="S712" t="n">
        <v>0</v>
      </c>
      <c r="T712" t="n">
        <v>0</v>
      </c>
      <c r="U712" t="n">
        <v>0</v>
      </c>
      <c r="W712" t="n">
        <v>0</v>
      </c>
      <c r="Y712" t="inlineStr">
        <is>
          <t>Name in source: Austin Proescher</t>
        </is>
      </c>
    </row>
    <row r="713">
      <c r="A713" t="inlineStr">
        <is>
          <t>2026-03-31_DMSC_at_HWRD</t>
        </is>
      </c>
      <c r="B713" s="10" t="n">
        <v>46112</v>
      </c>
      <c r="C713" t="inlineStr">
        <is>
          <t>Damascus Varsity Hornets</t>
        </is>
      </c>
      <c r="D713" t="inlineStr">
        <is>
          <t>HWRD</t>
        </is>
      </c>
      <c r="E713" t="inlineStr">
        <is>
          <t>C Hudson</t>
        </is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R713" t="n">
        <v>0</v>
      </c>
      <c r="S713" t="n">
        <v>0</v>
      </c>
      <c r="T713" t="n">
        <v>0</v>
      </c>
      <c r="U713" t="n">
        <v>0</v>
      </c>
      <c r="W713" t="n">
        <v>0</v>
      </c>
      <c r="Y713" t="inlineStr">
        <is>
          <t>Name in source: Carter Hudson</t>
        </is>
      </c>
    </row>
    <row r="714">
      <c r="A714" t="inlineStr">
        <is>
          <t>2026-03-31_DMSC_at_HWRD</t>
        </is>
      </c>
      <c r="B714" s="10" t="n">
        <v>46112</v>
      </c>
      <c r="C714" t="inlineStr">
        <is>
          <t>Damascus Varsity Hornets</t>
        </is>
      </c>
      <c r="D714" t="inlineStr">
        <is>
          <t>HWRD</t>
        </is>
      </c>
      <c r="E714" t="inlineStr">
        <is>
          <t>D Heim</t>
        </is>
      </c>
      <c r="F714" t="n">
        <v>2</v>
      </c>
      <c r="G714" t="n">
        <v>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2</v>
      </c>
      <c r="R714" t="n">
        <v>0</v>
      </c>
      <c r="S714" t="n">
        <v>0</v>
      </c>
      <c r="T714" t="n">
        <v>0</v>
      </c>
      <c r="U714" t="n">
        <v>0</v>
      </c>
      <c r="W714" t="n">
        <v>0</v>
      </c>
      <c r="Y714" t="inlineStr">
        <is>
          <t>Name in source: Darren Heim</t>
        </is>
      </c>
    </row>
    <row r="715">
      <c r="A715" t="inlineStr">
        <is>
          <t>2026-03-31_DMSC_at_HWRD</t>
        </is>
      </c>
      <c r="B715" s="10" t="n">
        <v>46112</v>
      </c>
      <c r="C715" t="inlineStr">
        <is>
          <t>Damascus Varsity Hornets</t>
        </is>
      </c>
      <c r="D715" t="inlineStr">
        <is>
          <t>HWRD</t>
        </is>
      </c>
      <c r="E715" t="inlineStr">
        <is>
          <t>B Sawyer</t>
        </is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R715" t="n">
        <v>0</v>
      </c>
      <c r="S715" t="n">
        <v>0</v>
      </c>
      <c r="T715" t="n">
        <v>0</v>
      </c>
      <c r="U715" t="n">
        <v>0</v>
      </c>
      <c r="W715" t="n">
        <v>0</v>
      </c>
      <c r="Y715" t="inlineStr">
        <is>
          <t>Name in source: Brady Sawyer</t>
        </is>
      </c>
    </row>
    <row r="716">
      <c r="A716" t="inlineStr">
        <is>
          <t>2026-03-31_DMSC_at_HWRD</t>
        </is>
      </c>
      <c r="B716" s="10" t="n">
        <v>46112</v>
      </c>
      <c r="C716" t="inlineStr">
        <is>
          <t>Damascus Varsity Hornets</t>
        </is>
      </c>
      <c r="D716" t="inlineStr">
        <is>
          <t>HWRD</t>
        </is>
      </c>
      <c r="E716" t="inlineStr">
        <is>
          <t>Z Blair</t>
        </is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R716" t="n">
        <v>0</v>
      </c>
      <c r="S716" t="n">
        <v>0</v>
      </c>
      <c r="T716" t="n">
        <v>0</v>
      </c>
      <c r="U716" t="n">
        <v>0</v>
      </c>
      <c r="W716" t="n">
        <v>0</v>
      </c>
      <c r="Y716" t="inlineStr">
        <is>
          <t>Name in source: Zach Blair</t>
        </is>
      </c>
    </row>
    <row r="717">
      <c r="A717" t="inlineStr">
        <is>
          <t>2026-03-31_DMSC_at_HWRD</t>
        </is>
      </c>
      <c r="B717" s="10" t="n">
        <v>46112</v>
      </c>
      <c r="C717" t="inlineStr">
        <is>
          <t>Damascus Varsity Hornets</t>
        </is>
      </c>
      <c r="D717" t="inlineStr">
        <is>
          <t>HWRD</t>
        </is>
      </c>
      <c r="E717" t="inlineStr">
        <is>
          <t>D Alves</t>
        </is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R717" t="n">
        <v>0</v>
      </c>
      <c r="S717" t="n">
        <v>0</v>
      </c>
      <c r="T717" t="n">
        <v>0</v>
      </c>
      <c r="U717" t="n">
        <v>0</v>
      </c>
      <c r="W717" t="n">
        <v>0</v>
      </c>
      <c r="Y717" t="inlineStr">
        <is>
          <t>Name in source: Dominic Alves</t>
        </is>
      </c>
    </row>
    <row r="718">
      <c r="A718" t="inlineStr">
        <is>
          <t>2026-03-31_DMSC_at_HWRD</t>
        </is>
      </c>
      <c r="B718" s="10" t="n">
        <v>46112</v>
      </c>
      <c r="C718" t="inlineStr">
        <is>
          <t>Damascus Varsity Hornets</t>
        </is>
      </c>
      <c r="D718" t="inlineStr">
        <is>
          <t>HWRD</t>
        </is>
      </c>
      <c r="E718" t="inlineStr">
        <is>
          <t>Creighton Lombardi-Gerber</t>
        </is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R718" t="n">
        <v>0</v>
      </c>
      <c r="S718" t="n">
        <v>0</v>
      </c>
      <c r="T718" t="n">
        <v>0</v>
      </c>
      <c r="U718" t="n">
        <v>0</v>
      </c>
      <c r="W718" t="n">
        <v>0</v>
      </c>
    </row>
    <row r="719">
      <c r="A719" t="inlineStr">
        <is>
          <t>2026-03-31_DMSC_at_HWRD</t>
        </is>
      </c>
      <c r="B719" s="10" t="n">
        <v>46112</v>
      </c>
      <c r="C719" t="inlineStr">
        <is>
          <t>Damascus Varsity Hornets</t>
        </is>
      </c>
      <c r="D719" t="inlineStr">
        <is>
          <t>HWRD</t>
        </is>
      </c>
      <c r="E719" t="inlineStr">
        <is>
          <t>N Hegedus</t>
        </is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R719" t="n">
        <v>0</v>
      </c>
      <c r="S719" t="n">
        <v>0</v>
      </c>
      <c r="T719" t="n">
        <v>0</v>
      </c>
      <c r="U719" t="n">
        <v>0</v>
      </c>
      <c r="W719" t="n">
        <v>0</v>
      </c>
      <c r="Y719" t="inlineStr">
        <is>
          <t>Name in source: Nate Hegedus</t>
        </is>
      </c>
    </row>
    <row r="720">
      <c r="A720" t="inlineStr">
        <is>
          <t>2026-03-31_DMSC_at_HWRD</t>
        </is>
      </c>
      <c r="B720" s="10" t="n">
        <v>46112</v>
      </c>
      <c r="C720" t="inlineStr">
        <is>
          <t>Damascus Varsity Hornets</t>
        </is>
      </c>
      <c r="D720" t="inlineStr">
        <is>
          <t>HWRD</t>
        </is>
      </c>
      <c r="E720" t="inlineStr">
        <is>
          <t>Ryan Su</t>
        </is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R720" t="n">
        <v>0</v>
      </c>
      <c r="S720" t="n">
        <v>0</v>
      </c>
      <c r="T720" t="n">
        <v>0</v>
      </c>
      <c r="U720" t="n">
        <v>0</v>
      </c>
      <c r="W720" t="n">
        <v>0</v>
      </c>
    </row>
    <row r="721">
      <c r="A721" t="inlineStr">
        <is>
          <t>2026-03-31_DMSC_at_HWRD</t>
        </is>
      </c>
      <c r="B721" s="10" t="n">
        <v>46112</v>
      </c>
      <c r="C721" t="inlineStr">
        <is>
          <t>Damascus Varsity Hornets</t>
        </is>
      </c>
      <c r="D721" t="inlineStr">
        <is>
          <t>HWRD</t>
        </is>
      </c>
      <c r="E721" t="inlineStr">
        <is>
          <t>Max Parise</t>
        </is>
      </c>
      <c r="F721" t="n">
        <v>2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R721" t="n">
        <v>0</v>
      </c>
      <c r="S721" t="n">
        <v>0</v>
      </c>
      <c r="T721" t="n">
        <v>0</v>
      </c>
      <c r="U721" t="n">
        <v>0</v>
      </c>
      <c r="W721" t="n">
        <v>0</v>
      </c>
    </row>
    <row r="722">
      <c r="A722" t="inlineStr">
        <is>
          <t>2026-03-21_HWRD_at_HMMN</t>
        </is>
      </c>
      <c r="B722" s="10" t="n">
        <v>46102</v>
      </c>
      <c r="C722" t="inlineStr">
        <is>
          <t>Hammond Varsity Bears</t>
        </is>
      </c>
      <c r="D722" t="inlineStr">
        <is>
          <t>HWRD</t>
        </is>
      </c>
      <c r="E722" t="inlineStr">
        <is>
          <t>B Giangrasso</t>
        </is>
      </c>
      <c r="F722" t="n">
        <v>5</v>
      </c>
      <c r="G722" t="n">
        <v>5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R722" t="n">
        <v>0</v>
      </c>
      <c r="S722" t="n">
        <v>0</v>
      </c>
      <c r="T722" t="n">
        <v>0</v>
      </c>
      <c r="U722" t="n">
        <v>0</v>
      </c>
      <c r="W722" t="n">
        <v>0</v>
      </c>
      <c r="Y722" t="inlineStr">
        <is>
          <t>Name in source: Brennan Giangrasso</t>
        </is>
      </c>
    </row>
    <row r="723">
      <c r="A723" t="inlineStr">
        <is>
          <t>2026-03-21_HWRD_at_HMMN</t>
        </is>
      </c>
      <c r="B723" s="10" t="n">
        <v>46102</v>
      </c>
      <c r="C723" t="inlineStr">
        <is>
          <t>Hammond Varsity Bears</t>
        </is>
      </c>
      <c r="D723" t="inlineStr">
        <is>
          <t>HWRD</t>
        </is>
      </c>
      <c r="E723" t="inlineStr">
        <is>
          <t>G Nystrom</t>
        </is>
      </c>
      <c r="F723" t="n">
        <v>4</v>
      </c>
      <c r="G723" t="n">
        <v>2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R723" t="n">
        <v>2</v>
      </c>
      <c r="S723" t="n">
        <v>0</v>
      </c>
      <c r="T723" t="n">
        <v>0</v>
      </c>
      <c r="U723" t="n">
        <v>0</v>
      </c>
      <c r="W723" t="n">
        <v>0</v>
      </c>
      <c r="Y723" t="inlineStr">
        <is>
          <t>Name in source: Gavin Nystrom</t>
        </is>
      </c>
    </row>
    <row r="724">
      <c r="A724" t="inlineStr">
        <is>
          <t>2026-03-21_HWRD_at_HMMN</t>
        </is>
      </c>
      <c r="B724" s="10" t="n">
        <v>46102</v>
      </c>
      <c r="C724" t="inlineStr">
        <is>
          <t>Hammond Varsity Bears</t>
        </is>
      </c>
      <c r="D724" t="inlineStr">
        <is>
          <t>HWRD</t>
        </is>
      </c>
      <c r="E724" t="inlineStr">
        <is>
          <t>C Hudson</t>
        </is>
      </c>
      <c r="F724" t="n">
        <v>4</v>
      </c>
      <c r="G724" t="n">
        <v>4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R724" t="n">
        <v>2</v>
      </c>
      <c r="S724" t="n">
        <v>1</v>
      </c>
      <c r="T724" t="n">
        <v>0</v>
      </c>
      <c r="U724" t="n">
        <v>0</v>
      </c>
      <c r="W724" t="n">
        <v>0</v>
      </c>
      <c r="Y724" t="inlineStr">
        <is>
          <t>Name in source: Carter Hudson</t>
        </is>
      </c>
    </row>
    <row r="725">
      <c r="A725" t="inlineStr">
        <is>
          <t>2026-03-21_HWRD_at_HMMN</t>
        </is>
      </c>
      <c r="B725" s="10" t="n">
        <v>46102</v>
      </c>
      <c r="C725" t="inlineStr">
        <is>
          <t>Hammond Varsity Bears</t>
        </is>
      </c>
      <c r="D725" t="inlineStr">
        <is>
          <t>HWRD</t>
        </is>
      </c>
      <c r="E725" t="inlineStr">
        <is>
          <t>D Heim</t>
        </is>
      </c>
      <c r="F725" t="n">
        <v>4</v>
      </c>
      <c r="G725" t="n">
        <v>2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2</v>
      </c>
      <c r="O725" t="n">
        <v>1</v>
      </c>
      <c r="R725" t="n">
        <v>1</v>
      </c>
      <c r="S725" t="n">
        <v>3</v>
      </c>
      <c r="T725" t="n">
        <v>1</v>
      </c>
      <c r="U725" t="n">
        <v>0</v>
      </c>
      <c r="W725" t="n">
        <v>0</v>
      </c>
      <c r="Y725" t="inlineStr">
        <is>
          <t>Name in source: Darren Heim</t>
        </is>
      </c>
    </row>
    <row r="726">
      <c r="A726" t="inlineStr">
        <is>
          <t>2026-03-21_HWRD_at_HMMN</t>
        </is>
      </c>
      <c r="B726" s="10" t="n">
        <v>46102</v>
      </c>
      <c r="C726" t="inlineStr">
        <is>
          <t>Hammond Varsity Bears</t>
        </is>
      </c>
      <c r="D726" t="inlineStr">
        <is>
          <t>HWRD</t>
        </is>
      </c>
      <c r="E726" t="inlineStr">
        <is>
          <t>Gibson Martin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R726" t="n">
        <v>0</v>
      </c>
      <c r="S726" t="n">
        <v>0</v>
      </c>
      <c r="T726" t="n">
        <v>0</v>
      </c>
      <c r="U726" t="n">
        <v>1</v>
      </c>
      <c r="W726" t="n">
        <v>0</v>
      </c>
      <c r="Y726" t="inlineStr">
        <is>
          <t>Zero-PA player; appears in batting table. CS=1 per batting notes; likely courtesy runner.</t>
        </is>
      </c>
    </row>
    <row r="727">
      <c r="A727" t="inlineStr">
        <is>
          <t>2026-03-21_HWRD_at_HMMN</t>
        </is>
      </c>
      <c r="B727" s="10" t="n">
        <v>46102</v>
      </c>
      <c r="C727" t="inlineStr">
        <is>
          <t>Hammond Varsity Bears</t>
        </is>
      </c>
      <c r="D727" t="inlineStr">
        <is>
          <t>HWRD</t>
        </is>
      </c>
      <c r="E727" t="inlineStr">
        <is>
          <t>B Sawyer</t>
        </is>
      </c>
      <c r="F727" t="n">
        <v>4</v>
      </c>
      <c r="G727" t="n">
        <v>4</v>
      </c>
      <c r="H727" t="n">
        <v>2</v>
      </c>
      <c r="I727" t="n">
        <v>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R727" t="n">
        <v>2</v>
      </c>
      <c r="S727" t="n">
        <v>0</v>
      </c>
      <c r="T727" t="n">
        <v>0</v>
      </c>
      <c r="U727" t="n">
        <v>0</v>
      </c>
      <c r="W727" t="n">
        <v>0</v>
      </c>
      <c r="Y727" t="inlineStr">
        <is>
          <t>Name in source: Brady Sawyer</t>
        </is>
      </c>
    </row>
    <row r="728">
      <c r="A728" t="inlineStr">
        <is>
          <t>2026-03-21_HWRD_at_HMMN</t>
        </is>
      </c>
      <c r="B728" s="10" t="n">
        <v>46102</v>
      </c>
      <c r="C728" t="inlineStr">
        <is>
          <t>Hammond Varsity Bears</t>
        </is>
      </c>
      <c r="D728" t="inlineStr">
        <is>
          <t>HWRD</t>
        </is>
      </c>
      <c r="E728" t="inlineStr">
        <is>
          <t>D Alves</t>
        </is>
      </c>
      <c r="F728" t="n">
        <v>4</v>
      </c>
      <c r="G728" t="n">
        <v>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2</v>
      </c>
      <c r="R728" t="n">
        <v>1</v>
      </c>
      <c r="S728" t="n">
        <v>0</v>
      </c>
      <c r="T728" t="n">
        <v>0</v>
      </c>
      <c r="U728" t="n">
        <v>0</v>
      </c>
      <c r="W728" t="n">
        <v>0</v>
      </c>
      <c r="Y728" t="inlineStr">
        <is>
          <t>Name in source: Dominic Alves</t>
        </is>
      </c>
    </row>
    <row r="729">
      <c r="A729" t="inlineStr">
        <is>
          <t>2026-03-21_HWRD_at_HMMN</t>
        </is>
      </c>
      <c r="B729" s="10" t="n">
        <v>46102</v>
      </c>
      <c r="C729" t="inlineStr">
        <is>
          <t>Hammond Varsity Bears</t>
        </is>
      </c>
      <c r="D729" t="inlineStr">
        <is>
          <t>HWRD</t>
        </is>
      </c>
      <c r="E729" t="inlineStr">
        <is>
          <t>N Hegedus</t>
        </is>
      </c>
      <c r="F729" t="n">
        <v>3</v>
      </c>
      <c r="G729" t="n">
        <v>3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</v>
      </c>
      <c r="R729" t="n">
        <v>0</v>
      </c>
      <c r="S729" t="n">
        <v>0</v>
      </c>
      <c r="T729" t="n">
        <v>0</v>
      </c>
      <c r="U729" t="n">
        <v>0</v>
      </c>
      <c r="W729" t="n">
        <v>0</v>
      </c>
      <c r="Y729" t="inlineStr">
        <is>
          <t>Name in source: Nate Hegedus</t>
        </is>
      </c>
    </row>
    <row r="730">
      <c r="A730" t="inlineStr">
        <is>
          <t>2026-03-21_HWRD_at_HMMN</t>
        </is>
      </c>
      <c r="B730" s="10" t="n">
        <v>46102</v>
      </c>
      <c r="C730" t="inlineStr">
        <is>
          <t>Hammond Varsity Bears</t>
        </is>
      </c>
      <c r="D730" t="inlineStr">
        <is>
          <t>HWRD</t>
        </is>
      </c>
      <c r="E730" t="inlineStr">
        <is>
          <t>A Proescher</t>
        </is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R730" t="n">
        <v>0</v>
      </c>
      <c r="S730" t="n">
        <v>1</v>
      </c>
      <c r="T730" t="n">
        <v>1</v>
      </c>
      <c r="U730" t="n">
        <v>0</v>
      </c>
      <c r="W730" t="n">
        <v>0</v>
      </c>
      <c r="Y730" t="inlineStr">
        <is>
          <t>Name in source: Austin Proescher</t>
        </is>
      </c>
    </row>
    <row r="731">
      <c r="A731" t="inlineStr">
        <is>
          <t>2026-03-21_HWRD_at_HMMN</t>
        </is>
      </c>
      <c r="B731" s="10" t="n">
        <v>46102</v>
      </c>
      <c r="C731" t="inlineStr">
        <is>
          <t>Hammond Varsity Bears</t>
        </is>
      </c>
      <c r="D731" t="inlineStr">
        <is>
          <t>HWRD</t>
        </is>
      </c>
      <c r="E731" t="inlineStr">
        <is>
          <t>Jimmy Spitz</t>
        </is>
      </c>
      <c r="F731" t="n">
        <v>2</v>
      </c>
      <c r="G731" t="n">
        <v>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R731" t="n">
        <v>0</v>
      </c>
      <c r="S731" t="n">
        <v>1</v>
      </c>
      <c r="T731" t="n">
        <v>0</v>
      </c>
      <c r="U731" t="n">
        <v>0</v>
      </c>
      <c r="W731" t="n">
        <v>0</v>
      </c>
    </row>
    <row r="732">
      <c r="A732" t="inlineStr">
        <is>
          <t>2026-03-21_HWRD_at_HMMN</t>
        </is>
      </c>
      <c r="B732" s="10" t="n">
        <v>46102</v>
      </c>
      <c r="C732" t="inlineStr">
        <is>
          <t>Hammond Varsity Bears</t>
        </is>
      </c>
      <c r="D732" t="inlineStr">
        <is>
          <t>HWRD</t>
        </is>
      </c>
      <c r="E732" t="inlineStr">
        <is>
          <t>Ryan Su</t>
        </is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R732" t="n">
        <v>0</v>
      </c>
      <c r="S732" t="n">
        <v>0</v>
      </c>
      <c r="T732" t="n">
        <v>0</v>
      </c>
      <c r="U732" t="n">
        <v>0</v>
      </c>
      <c r="W732" t="n">
        <v>0</v>
      </c>
    </row>
    <row r="733">
      <c r="A733" t="inlineStr">
        <is>
          <t>2026-03-21_HWRD_at_HMMN</t>
        </is>
      </c>
      <c r="B733" s="10" t="n">
        <v>46102</v>
      </c>
      <c r="C733" t="inlineStr">
        <is>
          <t>Hammond Varsity Bears</t>
        </is>
      </c>
      <c r="D733" t="inlineStr">
        <is>
          <t>HWRD</t>
        </is>
      </c>
      <c r="E733" t="inlineStr">
        <is>
          <t>Z Blair</t>
        </is>
      </c>
      <c r="F733" t="n">
        <v>4</v>
      </c>
      <c r="G733" t="n">
        <v>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2</v>
      </c>
      <c r="R733" t="n">
        <v>0</v>
      </c>
      <c r="S733" t="n">
        <v>0</v>
      </c>
      <c r="T733" t="n">
        <v>0</v>
      </c>
      <c r="U733" t="n">
        <v>0</v>
      </c>
      <c r="W733" t="n">
        <v>0</v>
      </c>
      <c r="Y733" t="inlineStr">
        <is>
          <t>Name in source: Zach Blair</t>
        </is>
      </c>
    </row>
    <row r="734">
      <c r="A734" t="inlineStr">
        <is>
          <t>2026-03-21_HWRD_at_HMMN</t>
        </is>
      </c>
      <c r="B734" s="10" t="n">
        <v>46102</v>
      </c>
      <c r="C734" t="inlineStr">
        <is>
          <t>Howard Varsity Lions</t>
        </is>
      </c>
      <c r="D734" t="inlineStr">
        <is>
          <t>HMMN</t>
        </is>
      </c>
      <c r="E734" t="inlineStr">
        <is>
          <t>Y Rivera</t>
        </is>
      </c>
      <c r="F734" t="n">
        <v>3</v>
      </c>
      <c r="G734" t="n">
        <v>3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R734" t="n">
        <v>0</v>
      </c>
      <c r="S734" t="n">
        <v>0</v>
      </c>
      <c r="T734" t="n">
        <v>0</v>
      </c>
      <c r="U734" t="n">
        <v>0</v>
      </c>
      <c r="W734" t="n">
        <v>0</v>
      </c>
      <c r="Y734" t="inlineStr">
        <is>
          <t>Name in source: Yaxiel Rivera</t>
        </is>
      </c>
    </row>
    <row r="735">
      <c r="A735" t="inlineStr">
        <is>
          <t>2026-03-21_HWRD_at_HMMN</t>
        </is>
      </c>
      <c r="B735" s="10" t="n">
        <v>46102</v>
      </c>
      <c r="C735" t="inlineStr">
        <is>
          <t>Howard Varsity Lions</t>
        </is>
      </c>
      <c r="D735" t="inlineStr">
        <is>
          <t>HMMN</t>
        </is>
      </c>
      <c r="E735" t="inlineStr">
        <is>
          <t>J Willis</t>
        </is>
      </c>
      <c r="F735" t="n">
        <v>3</v>
      </c>
      <c r="G735" t="n">
        <v>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3</v>
      </c>
      <c r="R735" t="n">
        <v>0</v>
      </c>
      <c r="S735" t="n">
        <v>0</v>
      </c>
      <c r="T735" t="n">
        <v>0</v>
      </c>
      <c r="U735" t="n">
        <v>0</v>
      </c>
      <c r="W735" t="n">
        <v>0</v>
      </c>
      <c r="Y735" t="inlineStr">
        <is>
          <t>Name in source: Jax Willis</t>
        </is>
      </c>
    </row>
    <row r="736">
      <c r="A736" t="inlineStr">
        <is>
          <t>2026-03-21_HWRD_at_HMMN</t>
        </is>
      </c>
      <c r="B736" s="10" t="n">
        <v>46102</v>
      </c>
      <c r="C736" t="inlineStr">
        <is>
          <t>Howard Varsity Lions</t>
        </is>
      </c>
      <c r="D736" t="inlineStr">
        <is>
          <t>HMMN</t>
        </is>
      </c>
      <c r="E736" t="inlineStr">
        <is>
          <t>P Yarnell</t>
        </is>
      </c>
      <c r="F736" t="n">
        <v>3</v>
      </c>
      <c r="G736" t="n">
        <v>3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R736" t="n">
        <v>0</v>
      </c>
      <c r="S736" t="n">
        <v>0</v>
      </c>
      <c r="T736" t="n">
        <v>0</v>
      </c>
      <c r="U736" t="n">
        <v>0</v>
      </c>
      <c r="W736" t="n">
        <v>0</v>
      </c>
      <c r="Y736" t="inlineStr">
        <is>
          <t>Name in source: Peter Yarnell</t>
        </is>
      </c>
    </row>
    <row r="737">
      <c r="A737" t="inlineStr">
        <is>
          <t>2026-03-21_HWRD_at_HMMN</t>
        </is>
      </c>
      <c r="B737" s="10" t="n">
        <v>46102</v>
      </c>
      <c r="C737" t="inlineStr">
        <is>
          <t>Howard Varsity Lions</t>
        </is>
      </c>
      <c r="D737" t="inlineStr">
        <is>
          <t>HMMN</t>
        </is>
      </c>
      <c r="E737" t="inlineStr">
        <is>
          <t>C Stryker</t>
        </is>
      </c>
      <c r="F737" t="n">
        <v>3</v>
      </c>
      <c r="G737" t="n">
        <v>3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R737" t="n">
        <v>0</v>
      </c>
      <c r="S737" t="n">
        <v>0</v>
      </c>
      <c r="T737" t="n">
        <v>0</v>
      </c>
      <c r="U737" t="n">
        <v>0</v>
      </c>
      <c r="W737" t="n">
        <v>0</v>
      </c>
      <c r="Y737" t="inlineStr">
        <is>
          <t>Name in source: Collin Stryker</t>
        </is>
      </c>
    </row>
    <row r="738">
      <c r="A738" t="inlineStr">
        <is>
          <t>2026-03-21_HWRD_at_HMMN</t>
        </is>
      </c>
      <c r="B738" s="10" t="n">
        <v>46102</v>
      </c>
      <c r="C738" t="inlineStr">
        <is>
          <t>Howard Varsity Lions</t>
        </is>
      </c>
      <c r="D738" t="inlineStr">
        <is>
          <t>HMMN</t>
        </is>
      </c>
      <c r="E738" t="inlineStr">
        <is>
          <t>L Tordella</t>
        </is>
      </c>
      <c r="F738" t="n">
        <v>3</v>
      </c>
      <c r="G738" t="n">
        <v>3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2</v>
      </c>
      <c r="R738" t="n">
        <v>0</v>
      </c>
      <c r="S738" t="n">
        <v>0</v>
      </c>
      <c r="T738" t="n">
        <v>0</v>
      </c>
      <c r="U738" t="n">
        <v>0</v>
      </c>
      <c r="W738" t="n">
        <v>0</v>
      </c>
      <c r="Y738" t="inlineStr">
        <is>
          <t>Name in source: Lucas Tordella</t>
        </is>
      </c>
    </row>
    <row r="739">
      <c r="A739" t="inlineStr">
        <is>
          <t>2026-03-21_HWRD_at_HMMN</t>
        </is>
      </c>
      <c r="B739" s="10" t="n">
        <v>46102</v>
      </c>
      <c r="C739" t="inlineStr">
        <is>
          <t>Howard Varsity Lions</t>
        </is>
      </c>
      <c r="D739" t="inlineStr">
        <is>
          <t>HMMN</t>
        </is>
      </c>
      <c r="E739" t="inlineStr">
        <is>
          <t>G Draminski</t>
        </is>
      </c>
      <c r="F739" t="n">
        <v>3</v>
      </c>
      <c r="G739" t="n">
        <v>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2</v>
      </c>
      <c r="R739" t="n">
        <v>0</v>
      </c>
      <c r="S739" t="n">
        <v>0</v>
      </c>
      <c r="T739" t="n">
        <v>0</v>
      </c>
      <c r="U739" t="n">
        <v>0</v>
      </c>
      <c r="W739" t="n">
        <v>0</v>
      </c>
      <c r="Y739" t="inlineStr">
        <is>
          <t>Name in source: Gavin Draminski</t>
        </is>
      </c>
    </row>
    <row r="740">
      <c r="A740" t="inlineStr">
        <is>
          <t>2026-03-21_HWRD_at_HMMN</t>
        </is>
      </c>
      <c r="B740" s="10" t="n">
        <v>46102</v>
      </c>
      <c r="C740" t="inlineStr">
        <is>
          <t>Howard Varsity Lions</t>
        </is>
      </c>
      <c r="D740" t="inlineStr">
        <is>
          <t>HMMN</t>
        </is>
      </c>
      <c r="E740" t="inlineStr">
        <is>
          <t>G Garris</t>
        </is>
      </c>
      <c r="F740" t="n">
        <v>3</v>
      </c>
      <c r="G740" t="n">
        <v>3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2</v>
      </c>
      <c r="R740" t="n">
        <v>1</v>
      </c>
      <c r="S740" t="n">
        <v>0</v>
      </c>
      <c r="T740" t="n">
        <v>1</v>
      </c>
      <c r="U740" t="n">
        <v>0</v>
      </c>
      <c r="W740" t="n">
        <v>0</v>
      </c>
      <c r="Y740" t="inlineStr">
        <is>
          <t>Name in source: Griffin Garris</t>
        </is>
      </c>
    </row>
    <row r="741">
      <c r="A741" t="inlineStr">
        <is>
          <t>2026-03-21_HWRD_at_HMMN</t>
        </is>
      </c>
      <c r="B741" s="10" t="n">
        <v>46102</v>
      </c>
      <c r="C741" t="inlineStr">
        <is>
          <t>Howard Varsity Lions</t>
        </is>
      </c>
      <c r="D741" t="inlineStr">
        <is>
          <t>HMMN</t>
        </is>
      </c>
      <c r="E741" t="inlineStr">
        <is>
          <t>K Gardner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R741" t="n">
        <v>0</v>
      </c>
      <c r="S741" t="n">
        <v>0</v>
      </c>
      <c r="T741" t="n">
        <v>0</v>
      </c>
      <c r="U741" t="n">
        <v>0</v>
      </c>
      <c r="W741" t="n">
        <v>0</v>
      </c>
      <c r="Y741" t="inlineStr">
        <is>
          <t>Name in source: Kaz Gardner. Zero-PA player.</t>
        </is>
      </c>
    </row>
    <row r="742">
      <c r="A742" t="inlineStr">
        <is>
          <t>2026-03-21_HWRD_at_HMMN</t>
        </is>
      </c>
      <c r="B742" s="10" t="n">
        <v>46102</v>
      </c>
      <c r="C742" t="inlineStr">
        <is>
          <t>Howard Varsity Lions</t>
        </is>
      </c>
      <c r="D742" t="inlineStr">
        <is>
          <t>HMMN</t>
        </is>
      </c>
      <c r="E742" t="inlineStr">
        <is>
          <t>B Garris</t>
        </is>
      </c>
      <c r="F742" t="n">
        <v>2</v>
      </c>
      <c r="G742" t="n">
        <v>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R742" t="n">
        <v>0</v>
      </c>
      <c r="S742" t="n">
        <v>0</v>
      </c>
      <c r="T742" t="n">
        <v>0</v>
      </c>
      <c r="U742" t="n">
        <v>0</v>
      </c>
      <c r="W742" t="n">
        <v>0</v>
      </c>
      <c r="Y742" t="inlineStr">
        <is>
          <t>Name in source: Braeden Garris</t>
        </is>
      </c>
    </row>
    <row r="743">
      <c r="A743" t="inlineStr">
        <is>
          <t>2026-03-21_HWRD_at_HMMN</t>
        </is>
      </c>
      <c r="B743" s="10" t="n">
        <v>46102</v>
      </c>
      <c r="C743" t="inlineStr">
        <is>
          <t>Howard Varsity Lions</t>
        </is>
      </c>
      <c r="D743" t="inlineStr">
        <is>
          <t>HMMN</t>
        </is>
      </c>
      <c r="E743" t="inlineStr">
        <is>
          <t>N Macomber</t>
        </is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R743" t="n">
        <v>0</v>
      </c>
      <c r="S743" t="n">
        <v>0</v>
      </c>
      <c r="T743" t="n">
        <v>0</v>
      </c>
      <c r="U743" t="n">
        <v>0</v>
      </c>
      <c r="W743" t="n">
        <v>0</v>
      </c>
      <c r="Y743" t="inlineStr">
        <is>
          <t>Name in source: Noah Macomber</t>
        </is>
      </c>
    </row>
    <row r="744">
      <c r="A744" t="inlineStr">
        <is>
          <t>2026-03-21_HWRD_at_HMMN</t>
        </is>
      </c>
      <c r="B744" s="10" t="n">
        <v>46102</v>
      </c>
      <c r="C744" t="inlineStr">
        <is>
          <t>Howard Varsity Lions</t>
        </is>
      </c>
      <c r="D744" t="inlineStr">
        <is>
          <t>HMMN</t>
        </is>
      </c>
      <c r="E744" t="inlineStr">
        <is>
          <t>L Duckworth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R744" t="n">
        <v>1</v>
      </c>
      <c r="S744" t="n">
        <v>0</v>
      </c>
      <c r="T744" t="n">
        <v>1</v>
      </c>
      <c r="U744" t="n">
        <v>0</v>
      </c>
      <c r="W744" t="n">
        <v>0</v>
      </c>
      <c r="Y744" t="inlineStr">
        <is>
          <t>Name in source: Luke Duckworth. AB=0, R=1 — pinch runner/courtesy runner; SB=1 credited per box score notes.</t>
        </is>
      </c>
    </row>
    <row r="745">
      <c r="A745" t="inlineStr">
        <is>
          <t>2026-03-21_HWRD_at_HMMN</t>
        </is>
      </c>
      <c r="B745" s="10" t="n">
        <v>46102</v>
      </c>
      <c r="C745" t="inlineStr">
        <is>
          <t>Howard Varsity Lions</t>
        </is>
      </c>
      <c r="D745" t="inlineStr">
        <is>
          <t>HMMN</t>
        </is>
      </c>
      <c r="E745" t="inlineStr">
        <is>
          <t>Darsh Bhatt</t>
        </is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R745" t="n">
        <v>0</v>
      </c>
      <c r="S745" t="n">
        <v>0</v>
      </c>
      <c r="T745" t="n">
        <v>0</v>
      </c>
      <c r="U745" t="n">
        <v>0</v>
      </c>
      <c r="W745" t="n">
        <v>0</v>
      </c>
    </row>
    <row r="746">
      <c r="A746" t="inlineStr">
        <is>
          <t>2026-03-31_HWRD_at_CRFT</t>
        </is>
      </c>
      <c r="B746" s="10" t="n">
        <v>46112</v>
      </c>
      <c r="C746" t="inlineStr">
        <is>
          <t>Crofton Varsity Cardinals</t>
        </is>
      </c>
      <c r="D746" t="inlineStr">
        <is>
          <t>HWRD</t>
        </is>
      </c>
      <c r="E746" t="inlineStr">
        <is>
          <t>C Parise</t>
        </is>
      </c>
      <c r="F746" t="n">
        <v>4</v>
      </c>
      <c r="G746" t="n">
        <v>3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R746" t="n">
        <v>0</v>
      </c>
      <c r="S746" t="n">
        <v>1</v>
      </c>
      <c r="T746" t="n">
        <v>0</v>
      </c>
      <c r="U746" t="n">
        <v>0</v>
      </c>
      <c r="W746" t="n">
        <v>0</v>
      </c>
      <c r="Y746" t="inlineStr">
        <is>
          <t>Name in source: Carter Parise</t>
        </is>
      </c>
    </row>
    <row r="747">
      <c r="A747" t="inlineStr">
        <is>
          <t>2026-03-31_HWRD_at_CRFT</t>
        </is>
      </c>
      <c r="B747" s="10" t="n">
        <v>46112</v>
      </c>
      <c r="C747" t="inlineStr">
        <is>
          <t>Crofton Varsity Cardinals</t>
        </is>
      </c>
      <c r="D747" t="inlineStr">
        <is>
          <t>HWRD</t>
        </is>
      </c>
      <c r="E747" t="inlineStr">
        <is>
          <t>B Giangrasso</t>
        </is>
      </c>
      <c r="F747" t="n">
        <v>4</v>
      </c>
      <c r="G747" t="n">
        <v>3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R747" t="n">
        <v>0</v>
      </c>
      <c r="S747" t="n">
        <v>2</v>
      </c>
      <c r="T747" t="n">
        <v>0</v>
      </c>
      <c r="U747" t="n">
        <v>0</v>
      </c>
      <c r="W747" t="n">
        <v>0</v>
      </c>
      <c r="Y747" t="inlineStr">
        <is>
          <t>Name in source: Brennan Giangrasso</t>
        </is>
      </c>
    </row>
    <row r="748">
      <c r="A748" t="inlineStr">
        <is>
          <t>2026-03-31_HWRD_at_CRFT</t>
        </is>
      </c>
      <c r="B748" s="10" t="n">
        <v>46112</v>
      </c>
      <c r="C748" t="inlineStr">
        <is>
          <t>Crofton Varsity Cardinals</t>
        </is>
      </c>
      <c r="D748" t="inlineStr">
        <is>
          <t>HWRD</t>
        </is>
      </c>
      <c r="E748" t="inlineStr">
        <is>
          <t>G Nystrom</t>
        </is>
      </c>
      <c r="F748" t="n">
        <v>4</v>
      </c>
      <c r="G748" t="n">
        <v>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R748" t="n">
        <v>1</v>
      </c>
      <c r="S748" t="n">
        <v>0</v>
      </c>
      <c r="T748" t="n">
        <v>0</v>
      </c>
      <c r="U748" t="n">
        <v>0</v>
      </c>
      <c r="W748" t="n">
        <v>0</v>
      </c>
      <c r="Y748" t="inlineStr">
        <is>
          <t>Name in source: Gavin Nystrom</t>
        </is>
      </c>
    </row>
    <row r="749">
      <c r="A749" t="inlineStr">
        <is>
          <t>2026-03-31_HWRD_at_CRFT</t>
        </is>
      </c>
      <c r="B749" s="10" t="n">
        <v>46112</v>
      </c>
      <c r="C749" t="inlineStr">
        <is>
          <t>Crofton Varsity Cardinals</t>
        </is>
      </c>
      <c r="D749" t="inlineStr">
        <is>
          <t>HWRD</t>
        </is>
      </c>
      <c r="E749" t="inlineStr">
        <is>
          <t>A Proescher</t>
        </is>
      </c>
      <c r="F749" t="n">
        <v>4</v>
      </c>
      <c r="G749" t="n">
        <v>2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2</v>
      </c>
      <c r="N749" t="n">
        <v>0</v>
      </c>
      <c r="O749" t="n">
        <v>1</v>
      </c>
      <c r="R749" t="n">
        <v>3</v>
      </c>
      <c r="S749" t="n">
        <v>0</v>
      </c>
      <c r="T749" t="n">
        <v>0</v>
      </c>
      <c r="U749" t="n">
        <v>0</v>
      </c>
      <c r="W749" t="n">
        <v>0</v>
      </c>
      <c r="Y749" t="inlineStr">
        <is>
          <t>Name in source: Austin Proescher</t>
        </is>
      </c>
    </row>
    <row r="750">
      <c r="A750" t="inlineStr">
        <is>
          <t>2026-03-31_HWRD_at_CRFT</t>
        </is>
      </c>
      <c r="B750" s="10" t="n">
        <v>46112</v>
      </c>
      <c r="C750" t="inlineStr">
        <is>
          <t>Crofton Varsity Cardinals</t>
        </is>
      </c>
      <c r="D750" t="inlineStr">
        <is>
          <t>HWRD</t>
        </is>
      </c>
      <c r="E750" t="inlineStr">
        <is>
          <t>D Heim</t>
        </is>
      </c>
      <c r="F750" t="n">
        <v>4</v>
      </c>
      <c r="G750" t="n">
        <v>3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R750" t="n">
        <v>2</v>
      </c>
      <c r="S750" t="n">
        <v>0</v>
      </c>
      <c r="T750" t="n">
        <v>0</v>
      </c>
      <c r="U750" t="n">
        <v>0</v>
      </c>
      <c r="W750" t="n">
        <v>0</v>
      </c>
      <c r="Y750" t="inlineStr">
        <is>
          <t>Name in source: Darren Heim</t>
        </is>
      </c>
    </row>
    <row r="751">
      <c r="A751" t="inlineStr">
        <is>
          <t>2026-03-31_HWRD_at_CRFT</t>
        </is>
      </c>
      <c r="B751" s="10" t="n">
        <v>46112</v>
      </c>
      <c r="C751" t="inlineStr">
        <is>
          <t>Crofton Varsity Cardinals</t>
        </is>
      </c>
      <c r="D751" t="inlineStr">
        <is>
          <t>HWRD</t>
        </is>
      </c>
      <c r="E751" t="inlineStr">
        <is>
          <t>B Sawyer</t>
        </is>
      </c>
      <c r="F751" t="n">
        <v>4</v>
      </c>
      <c r="G751" t="n">
        <v>3</v>
      </c>
      <c r="H751" t="n">
        <v>2</v>
      </c>
      <c r="I751" t="n">
        <v>2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R751" t="n">
        <v>2</v>
      </c>
      <c r="S751" t="n">
        <v>1</v>
      </c>
      <c r="T751" t="n">
        <v>0</v>
      </c>
      <c r="U751" t="n">
        <v>0</v>
      </c>
      <c r="W751" t="n">
        <v>0</v>
      </c>
      <c r="Y751" t="inlineStr">
        <is>
          <t>Name in source: Brady Sawyer</t>
        </is>
      </c>
    </row>
    <row r="752">
      <c r="A752" t="inlineStr">
        <is>
          <t>2026-03-31_HWRD_at_CRFT</t>
        </is>
      </c>
      <c r="B752" s="10" t="n">
        <v>46112</v>
      </c>
      <c r="C752" t="inlineStr">
        <is>
          <t>Crofton Varsity Cardinals</t>
        </is>
      </c>
      <c r="D752" t="inlineStr">
        <is>
          <t>HWRD</t>
        </is>
      </c>
      <c r="E752" t="inlineStr">
        <is>
          <t>D Alves</t>
        </is>
      </c>
      <c r="F752" t="n">
        <v>4</v>
      </c>
      <c r="G752" t="n">
        <v>2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R752" t="n">
        <v>2</v>
      </c>
      <c r="S752" t="n">
        <v>2</v>
      </c>
      <c r="T752" t="n">
        <v>1</v>
      </c>
      <c r="U752" t="n">
        <v>0</v>
      </c>
      <c r="W752" t="n">
        <v>0</v>
      </c>
      <c r="Y752" t="inlineStr">
        <is>
          <t>Name in source: Dominic Alves. SF counted in PA (SF=1).</t>
        </is>
      </c>
    </row>
    <row r="753">
      <c r="A753" t="inlineStr">
        <is>
          <t>2026-03-31_HWRD_at_CRFT</t>
        </is>
      </c>
      <c r="B753" s="10" t="n">
        <v>46112</v>
      </c>
      <c r="C753" t="inlineStr">
        <is>
          <t>Crofton Varsity Cardinals</t>
        </is>
      </c>
      <c r="D753" t="inlineStr">
        <is>
          <t>HWRD</t>
        </is>
      </c>
      <c r="E753" t="inlineStr">
        <is>
          <t>N Hegedus</t>
        </is>
      </c>
      <c r="F753" t="n">
        <v>4</v>
      </c>
      <c r="G753" t="n">
        <v>4</v>
      </c>
      <c r="H753" t="n">
        <v>2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R753" t="n">
        <v>1</v>
      </c>
      <c r="S753" t="n">
        <v>0</v>
      </c>
      <c r="T753" t="n">
        <v>0</v>
      </c>
      <c r="U753" t="n">
        <v>0</v>
      </c>
      <c r="W753" t="n">
        <v>0</v>
      </c>
      <c r="Y753" t="inlineStr">
        <is>
          <t>Name in source: Nate Hegedus</t>
        </is>
      </c>
    </row>
    <row r="754">
      <c r="A754" t="inlineStr">
        <is>
          <t>2026-03-31_HWRD_at_CRFT</t>
        </is>
      </c>
      <c r="B754" s="10" t="n">
        <v>46112</v>
      </c>
      <c r="C754" t="inlineStr">
        <is>
          <t>Crofton Varsity Cardinals</t>
        </is>
      </c>
      <c r="D754" t="inlineStr">
        <is>
          <t>HWRD</t>
        </is>
      </c>
      <c r="E754" t="inlineStr">
        <is>
          <t>Max Parise</t>
        </is>
      </c>
      <c r="F754" t="n">
        <v>3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R754" t="n">
        <v>1</v>
      </c>
      <c r="S754" t="n">
        <v>3</v>
      </c>
      <c r="T754" t="n">
        <v>0</v>
      </c>
      <c r="U754" t="n">
        <v>0</v>
      </c>
      <c r="W754" t="n">
        <v>0</v>
      </c>
      <c r="Y754" t="inlineStr">
        <is>
          <t>SF counted in PA (SF=1). Bases-loaded single (RBI=3).</t>
        </is>
      </c>
    </row>
    <row r="755">
      <c r="A755" t="inlineStr">
        <is>
          <t>2026-03-31_HWRD_at_CRFT</t>
        </is>
      </c>
      <c r="B755" s="10" t="n">
        <v>46112</v>
      </c>
      <c r="C755" t="inlineStr">
        <is>
          <t>Howard Varsity Lions</t>
        </is>
      </c>
      <c r="D755" t="inlineStr">
        <is>
          <t>CRFT</t>
        </is>
      </c>
      <c r="E755" t="inlineStr">
        <is>
          <t>Marcell Brown-Mitchell</t>
        </is>
      </c>
      <c r="F755" t="n">
        <v>4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2</v>
      </c>
      <c r="N755" t="n">
        <v>1</v>
      </c>
      <c r="O755" t="n">
        <v>0</v>
      </c>
      <c r="R755" t="n">
        <v>2</v>
      </c>
      <c r="S755" t="n">
        <v>0</v>
      </c>
      <c r="T755" t="n">
        <v>2</v>
      </c>
      <c r="U755" t="n">
        <v>1</v>
      </c>
      <c r="W755" t="n">
        <v>0</v>
      </c>
    </row>
    <row r="756">
      <c r="A756" t="inlineStr">
        <is>
          <t>2026-03-31_HWRD_at_CRFT</t>
        </is>
      </c>
      <c r="B756" s="10" t="n">
        <v>46112</v>
      </c>
      <c r="C756" t="inlineStr">
        <is>
          <t>Howard Varsity Lions</t>
        </is>
      </c>
      <c r="D756" t="inlineStr">
        <is>
          <t>CRFT</t>
        </is>
      </c>
      <c r="E756" t="inlineStr">
        <is>
          <t>Billy White</t>
        </is>
      </c>
      <c r="F756" t="n">
        <v>4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n">
        <v>0</v>
      </c>
      <c r="R756" t="n">
        <v>3</v>
      </c>
      <c r="S756" t="n">
        <v>0</v>
      </c>
      <c r="T756" t="n">
        <v>2</v>
      </c>
      <c r="U756" t="n">
        <v>0</v>
      </c>
      <c r="W756" t="n">
        <v>0</v>
      </c>
    </row>
    <row r="757">
      <c r="A757" t="inlineStr">
        <is>
          <t>2026-03-31_HWRD_at_CRFT</t>
        </is>
      </c>
      <c r="B757" s="10" t="n">
        <v>46112</v>
      </c>
      <c r="C757" t="inlineStr">
        <is>
          <t>Howard Varsity Lions</t>
        </is>
      </c>
      <c r="D757" t="inlineStr">
        <is>
          <t>CRFT</t>
        </is>
      </c>
      <c r="E757" t="inlineStr">
        <is>
          <t>Jason Gifford</t>
        </is>
      </c>
      <c r="F757" t="n">
        <v>4</v>
      </c>
      <c r="G757" t="n">
        <v>3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R757" t="n">
        <v>2</v>
      </c>
      <c r="S757" t="n">
        <v>2</v>
      </c>
      <c r="T757" t="n">
        <v>0</v>
      </c>
      <c r="U757" t="n">
        <v>0</v>
      </c>
      <c r="W757" t="n">
        <v>0</v>
      </c>
    </row>
    <row r="758">
      <c r="A758" t="inlineStr">
        <is>
          <t>2026-03-31_HWRD_at_CRFT</t>
        </is>
      </c>
      <c r="B758" s="10" t="n">
        <v>46112</v>
      </c>
      <c r="C758" t="inlineStr">
        <is>
          <t>Howard Varsity Lions</t>
        </is>
      </c>
      <c r="D758" t="inlineStr">
        <is>
          <t>CRFT</t>
        </is>
      </c>
      <c r="E758" t="inlineStr">
        <is>
          <t>Evan Colgan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R758" t="n">
        <v>0</v>
      </c>
      <c r="S758" t="n">
        <v>0</v>
      </c>
      <c r="T758" t="n">
        <v>0</v>
      </c>
      <c r="U758" t="n">
        <v>0</v>
      </c>
      <c r="W758" t="n">
        <v>0</v>
      </c>
      <c r="Y758" t="inlineStr">
        <is>
          <t>PA=0 — write all zeros per zero-PA rule.</t>
        </is>
      </c>
    </row>
    <row r="759">
      <c r="A759" t="inlineStr">
        <is>
          <t>2026-03-31_HWRD_at_CRFT</t>
        </is>
      </c>
      <c r="B759" s="10" t="n">
        <v>46112</v>
      </c>
      <c r="C759" t="inlineStr">
        <is>
          <t>Howard Varsity Lions</t>
        </is>
      </c>
      <c r="D759" t="inlineStr">
        <is>
          <t>CRFT</t>
        </is>
      </c>
      <c r="E759" t="inlineStr">
        <is>
          <t>Nathan Truman</t>
        </is>
      </c>
      <c r="F759" t="n">
        <v>4</v>
      </c>
      <c r="G759" t="n">
        <v>2</v>
      </c>
      <c r="H759" t="n">
        <v>2</v>
      </c>
      <c r="I759" t="n">
        <v>2</v>
      </c>
      <c r="J759" t="n">
        <v>0</v>
      </c>
      <c r="K759" t="n">
        <v>0</v>
      </c>
      <c r="L759" t="n">
        <v>0</v>
      </c>
      <c r="M759" t="n">
        <v>2</v>
      </c>
      <c r="N759" t="n">
        <v>0</v>
      </c>
      <c r="O759" t="n">
        <v>0</v>
      </c>
      <c r="R759" t="n">
        <v>2</v>
      </c>
      <c r="S759" t="n">
        <v>0</v>
      </c>
      <c r="T759" t="n">
        <v>1</v>
      </c>
      <c r="U759" t="n">
        <v>0</v>
      </c>
      <c r="W759" t="n">
        <v>0</v>
      </c>
    </row>
    <row r="760">
      <c r="A760" t="inlineStr">
        <is>
          <t>2026-03-31_HWRD_at_CRFT</t>
        </is>
      </c>
      <c r="B760" s="10" t="n">
        <v>46112</v>
      </c>
      <c r="C760" t="inlineStr">
        <is>
          <t>Howard Varsity Lions</t>
        </is>
      </c>
      <c r="D760" t="inlineStr">
        <is>
          <t>CRFT</t>
        </is>
      </c>
      <c r="E760" t="inlineStr">
        <is>
          <t>Xander Bejar</t>
        </is>
      </c>
      <c r="F760" t="n">
        <v>2</v>
      </c>
      <c r="G760" t="n">
        <v>1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R760" t="n">
        <v>1</v>
      </c>
      <c r="S760" t="n">
        <v>2</v>
      </c>
      <c r="T760" t="n">
        <v>0</v>
      </c>
      <c r="U760" t="n">
        <v>0</v>
      </c>
      <c r="W760" t="n">
        <v>0</v>
      </c>
      <c r="Y760" t="inlineStr">
        <is>
          <t>Also pitches for CRFT.</t>
        </is>
      </c>
    </row>
    <row r="761">
      <c r="A761" t="inlineStr">
        <is>
          <t>2026-03-31_HWRD_at_CRFT</t>
        </is>
      </c>
      <c r="B761" s="10" t="n">
        <v>46112</v>
      </c>
      <c r="C761" t="inlineStr">
        <is>
          <t>Howard Varsity Lions</t>
        </is>
      </c>
      <c r="D761" t="inlineStr">
        <is>
          <t>CRFT</t>
        </is>
      </c>
      <c r="E761" t="inlineStr">
        <is>
          <t>CRFT_#10</t>
        </is>
      </c>
      <c r="F761" t="n">
        <v>3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R761" t="n">
        <v>0</v>
      </c>
      <c r="S761" t="n">
        <v>0</v>
      </c>
      <c r="T761" t="n">
        <v>0</v>
      </c>
      <c r="U761" t="n">
        <v>0</v>
      </c>
      <c r="W761" t="n">
        <v>0</v>
      </c>
      <c r="Y761" t="inlineStr">
        <is>
          <t>SF counted in PA (SF=1). RBI=0 per table; advisory: SF should give RBI=1 — team RBI total discrepancy noted. Also pitches for CRFT.</t>
        </is>
      </c>
    </row>
    <row r="762">
      <c r="A762" t="inlineStr">
        <is>
          <t>2026-03-31_HWRD_at_CRFT</t>
        </is>
      </c>
      <c r="B762" s="10" t="n">
        <v>46112</v>
      </c>
      <c r="C762" t="inlineStr">
        <is>
          <t>Howard Varsity Lions</t>
        </is>
      </c>
      <c r="D762" t="inlineStr">
        <is>
          <t>CRFT</t>
        </is>
      </c>
      <c r="E762" t="inlineStr">
        <is>
          <t>Kaleb Willis</t>
        </is>
      </c>
      <c r="F762" t="n">
        <v>4</v>
      </c>
      <c r="G762" t="n">
        <v>4</v>
      </c>
      <c r="H762" t="n">
        <v>3</v>
      </c>
      <c r="I762" t="n">
        <v>1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R762" t="n">
        <v>1</v>
      </c>
      <c r="S762" t="n">
        <v>3</v>
      </c>
      <c r="T762" t="n">
        <v>0</v>
      </c>
      <c r="U762" t="n">
        <v>0</v>
      </c>
      <c r="W762" t="n">
        <v>0</v>
      </c>
    </row>
    <row r="763">
      <c r="A763" t="inlineStr">
        <is>
          <t>2026-03-31_HWRD_at_CRFT</t>
        </is>
      </c>
      <c r="B763" s="10" t="n">
        <v>46112</v>
      </c>
      <c r="C763" t="inlineStr">
        <is>
          <t>Howard Varsity Lions</t>
        </is>
      </c>
      <c r="D763" t="inlineStr">
        <is>
          <t>CRFT</t>
        </is>
      </c>
      <c r="E763" t="inlineStr">
        <is>
          <t>Logan Davis</t>
        </is>
      </c>
      <c r="F763" t="n">
        <v>4</v>
      </c>
      <c r="G763" t="n">
        <v>4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R763" t="n">
        <v>0</v>
      </c>
      <c r="S763" t="n">
        <v>1</v>
      </c>
      <c r="T763" t="n">
        <v>0</v>
      </c>
      <c r="U763" t="n">
        <v>0</v>
      </c>
      <c r="W763" t="n">
        <v>0</v>
      </c>
    </row>
    <row r="764">
      <c r="A764" t="inlineStr">
        <is>
          <t>2026-03-31_HWRD_at_CRFT</t>
        </is>
      </c>
      <c r="B764" s="10" t="n">
        <v>46112</v>
      </c>
      <c r="C764" t="inlineStr">
        <is>
          <t>Howard Varsity Lions</t>
        </is>
      </c>
      <c r="D764" t="inlineStr">
        <is>
          <t>CRFT</t>
        </is>
      </c>
      <c r="E764" t="inlineStr">
        <is>
          <t>Joe Hammock</t>
        </is>
      </c>
      <c r="F764" t="n">
        <v>3</v>
      </c>
      <c r="G764" t="n">
        <v>3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R764" t="n">
        <v>0</v>
      </c>
      <c r="S764" t="n">
        <v>0</v>
      </c>
      <c r="T764" t="n">
        <v>0</v>
      </c>
      <c r="U764" t="n">
        <v>0</v>
      </c>
      <c r="W764" t="n">
        <v>0</v>
      </c>
    </row>
    <row r="765">
      <c r="A765" t="inlineStr">
        <is>
          <t>2026-03-31_HWRD_at_CRFT</t>
        </is>
      </c>
      <c r="B765" s="10" t="n">
        <v>46112</v>
      </c>
      <c r="C765" t="inlineStr">
        <is>
          <t>Howard Varsity Lions</t>
        </is>
      </c>
      <c r="D765" t="inlineStr">
        <is>
          <t>CRFT</t>
        </is>
      </c>
      <c r="E765" t="inlineStr">
        <is>
          <t>Aaron Weber</t>
        </is>
      </c>
      <c r="F765" t="n">
        <v>3</v>
      </c>
      <c r="G765" t="n">
        <v>3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R765" t="n">
        <v>0</v>
      </c>
      <c r="S765" t="n">
        <v>0</v>
      </c>
      <c r="T765" t="n">
        <v>0</v>
      </c>
      <c r="U765" t="n">
        <v>1</v>
      </c>
      <c r="W765" t="n">
        <v>0</v>
      </c>
    </row>
    <row r="766">
      <c r="A766" t="inlineStr">
        <is>
          <t>2026-03-30_HWRD_at_MRRT</t>
        </is>
      </c>
      <c r="B766" s="10" t="n">
        <v>46111</v>
      </c>
      <c r="C766" t="inlineStr">
        <is>
          <t>Marriotts Ridge Varsity Mustangs</t>
        </is>
      </c>
      <c r="D766" t="inlineStr">
        <is>
          <t>HWRD</t>
        </is>
      </c>
      <c r="E766" t="inlineStr">
        <is>
          <t>C Parise</t>
        </is>
      </c>
      <c r="F766" t="n">
        <v>3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2</v>
      </c>
      <c r="N766" t="n">
        <v>0</v>
      </c>
      <c r="O766" t="n">
        <v>0</v>
      </c>
      <c r="R766" t="n">
        <v>2</v>
      </c>
      <c r="S766" t="n">
        <v>0</v>
      </c>
      <c r="T766" t="n">
        <v>0</v>
      </c>
      <c r="U766" t="n">
        <v>0</v>
      </c>
      <c r="W766" t="n">
        <v>0</v>
      </c>
      <c r="Y766" t="inlineStr">
        <is>
          <t>Name in source: Carter Parise</t>
        </is>
      </c>
    </row>
    <row r="767">
      <c r="A767" t="inlineStr">
        <is>
          <t>2026-03-30_HWRD_at_MRRT</t>
        </is>
      </c>
      <c r="B767" s="10" t="n">
        <v>46111</v>
      </c>
      <c r="C767" t="inlineStr">
        <is>
          <t>Marriotts Ridge Varsity Mustangs</t>
        </is>
      </c>
      <c r="D767" t="inlineStr">
        <is>
          <t>HWRD</t>
        </is>
      </c>
      <c r="E767" t="inlineStr">
        <is>
          <t>B Giangrasso</t>
        </is>
      </c>
      <c r="F767" t="n">
        <v>3</v>
      </c>
      <c r="G767" t="n">
        <v>2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R767" t="n">
        <v>0</v>
      </c>
      <c r="S767" t="n">
        <v>1</v>
      </c>
      <c r="T767" t="n">
        <v>0</v>
      </c>
      <c r="U767" t="n">
        <v>0</v>
      </c>
      <c r="W767" t="n">
        <v>0</v>
      </c>
      <c r="Y767" t="inlineStr">
        <is>
          <t>Name in source: Brennan Giangrasso</t>
        </is>
      </c>
    </row>
    <row r="768">
      <c r="A768" t="inlineStr">
        <is>
          <t>2026-03-30_HWRD_at_MRRT</t>
        </is>
      </c>
      <c r="B768" s="10" t="n">
        <v>46111</v>
      </c>
      <c r="C768" t="inlineStr">
        <is>
          <t>Marriotts Ridge Varsity Mustangs</t>
        </is>
      </c>
      <c r="D768" t="inlineStr">
        <is>
          <t>HWRD</t>
        </is>
      </c>
      <c r="E768" t="inlineStr">
        <is>
          <t>G Nystrom</t>
        </is>
      </c>
      <c r="F768" t="n">
        <v>3</v>
      </c>
      <c r="G768" t="n">
        <v>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R768" t="n">
        <v>0</v>
      </c>
      <c r="S768" t="n">
        <v>0</v>
      </c>
      <c r="T768" t="n">
        <v>0</v>
      </c>
      <c r="U768" t="n">
        <v>0</v>
      </c>
      <c r="W768" t="n">
        <v>0</v>
      </c>
      <c r="Y768" t="inlineStr">
        <is>
          <t>Name in source: Gavin Nystrom</t>
        </is>
      </c>
    </row>
    <row r="769">
      <c r="A769" t="inlineStr">
        <is>
          <t>2026-03-30_HWRD_at_MRRT</t>
        </is>
      </c>
      <c r="B769" s="10" t="n">
        <v>46111</v>
      </c>
      <c r="C769" t="inlineStr">
        <is>
          <t>Marriotts Ridge Varsity Mustangs</t>
        </is>
      </c>
      <c r="D769" t="inlineStr">
        <is>
          <t>HWRD</t>
        </is>
      </c>
      <c r="E769" t="inlineStr">
        <is>
          <t>A Proescher</t>
        </is>
      </c>
      <c r="F769" t="n">
        <v>3</v>
      </c>
      <c r="G769" t="n">
        <v>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R769" t="n">
        <v>0</v>
      </c>
      <c r="S769" t="n">
        <v>0</v>
      </c>
      <c r="T769" t="n">
        <v>0</v>
      </c>
      <c r="U769" t="n">
        <v>0</v>
      </c>
      <c r="W769" t="n">
        <v>0</v>
      </c>
      <c r="Y769" t="inlineStr">
        <is>
          <t>Name in source: Austin Proescher</t>
        </is>
      </c>
    </row>
    <row r="770">
      <c r="A770" t="inlineStr">
        <is>
          <t>2026-03-30_HWRD_at_MRRT</t>
        </is>
      </c>
      <c r="B770" s="10" t="n">
        <v>46111</v>
      </c>
      <c r="C770" t="inlineStr">
        <is>
          <t>Marriotts Ridge Varsity Mustangs</t>
        </is>
      </c>
      <c r="D770" t="inlineStr">
        <is>
          <t>HWRD</t>
        </is>
      </c>
      <c r="E770" t="inlineStr">
        <is>
          <t>D Heim</t>
        </is>
      </c>
      <c r="F770" t="n">
        <v>3</v>
      </c>
      <c r="G770" t="n">
        <v>2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R770" t="n">
        <v>0</v>
      </c>
      <c r="S770" t="n">
        <v>0</v>
      </c>
      <c r="T770" t="n">
        <v>0</v>
      </c>
      <c r="U770" t="n">
        <v>0</v>
      </c>
      <c r="W770" t="n">
        <v>0</v>
      </c>
      <c r="Y770" t="inlineStr">
        <is>
          <t>Name in source: Darren Heim</t>
        </is>
      </c>
    </row>
    <row r="771">
      <c r="A771" t="inlineStr">
        <is>
          <t>2026-03-30_HWRD_at_MRRT</t>
        </is>
      </c>
      <c r="B771" s="10" t="n">
        <v>46111</v>
      </c>
      <c r="C771" t="inlineStr">
        <is>
          <t>Marriotts Ridge Varsity Mustangs</t>
        </is>
      </c>
      <c r="D771" t="inlineStr">
        <is>
          <t>HWRD</t>
        </is>
      </c>
      <c r="E771" t="inlineStr">
        <is>
          <t>Gibson Martin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R771" t="n">
        <v>0</v>
      </c>
      <c r="S771" t="n">
        <v>0</v>
      </c>
      <c r="T771" t="n">
        <v>0</v>
      </c>
      <c r="U771" t="n">
        <v>0</v>
      </c>
      <c r="W771" t="n">
        <v>0</v>
      </c>
      <c r="Y771" t="inlineStr">
        <is>
          <t>PA=0 — write all zeros per zero-PA rule.</t>
        </is>
      </c>
    </row>
    <row r="772">
      <c r="A772" t="inlineStr">
        <is>
          <t>2026-03-30_HWRD_at_MRRT</t>
        </is>
      </c>
      <c r="B772" s="10" t="n">
        <v>46111</v>
      </c>
      <c r="C772" t="inlineStr">
        <is>
          <t>Marriotts Ridge Varsity Mustangs</t>
        </is>
      </c>
      <c r="D772" t="inlineStr">
        <is>
          <t>HWRD</t>
        </is>
      </c>
      <c r="E772" t="inlineStr">
        <is>
          <t>B Sawyer</t>
        </is>
      </c>
      <c r="F772" t="n">
        <v>2</v>
      </c>
      <c r="G772" t="n">
        <v>2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R772" t="n">
        <v>0</v>
      </c>
      <c r="S772" t="n">
        <v>0</v>
      </c>
      <c r="T772" t="n">
        <v>0</v>
      </c>
      <c r="U772" t="n">
        <v>0</v>
      </c>
      <c r="W772" t="n">
        <v>0</v>
      </c>
      <c r="Y772" t="inlineStr">
        <is>
          <t>Name in source: Brady Sawyer</t>
        </is>
      </c>
    </row>
    <row r="773">
      <c r="A773" t="inlineStr">
        <is>
          <t>2026-03-30_HWRD_at_MRRT</t>
        </is>
      </c>
      <c r="B773" s="10" t="n">
        <v>46111</v>
      </c>
      <c r="C773" t="inlineStr">
        <is>
          <t>Marriotts Ridge Varsity Mustangs</t>
        </is>
      </c>
      <c r="D773" t="inlineStr">
        <is>
          <t>HWRD</t>
        </is>
      </c>
      <c r="E773" t="inlineStr">
        <is>
          <t>C Hudson</t>
        </is>
      </c>
      <c r="F773" t="n">
        <v>2</v>
      </c>
      <c r="G773" t="n">
        <v>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R773" t="n">
        <v>0</v>
      </c>
      <c r="S773" t="n">
        <v>0</v>
      </c>
      <c r="T773" t="n">
        <v>0</v>
      </c>
      <c r="U773" t="n">
        <v>0</v>
      </c>
      <c r="W773" t="n">
        <v>0</v>
      </c>
      <c r="Y773" t="inlineStr">
        <is>
          <t>Name in source: Carter Hudson</t>
        </is>
      </c>
    </row>
    <row r="774">
      <c r="A774" t="inlineStr">
        <is>
          <t>2026-03-30_HWRD_at_MRRT</t>
        </is>
      </c>
      <c r="B774" s="10" t="n">
        <v>46111</v>
      </c>
      <c r="C774" t="inlineStr">
        <is>
          <t>Marriotts Ridge Varsity Mustangs</t>
        </is>
      </c>
      <c r="D774" t="inlineStr">
        <is>
          <t>HWRD</t>
        </is>
      </c>
      <c r="E774" t="inlineStr">
        <is>
          <t>D Alves</t>
        </is>
      </c>
      <c r="F774" t="n">
        <v>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2</v>
      </c>
      <c r="N774" t="n">
        <v>0</v>
      </c>
      <c r="O774" t="n">
        <v>0</v>
      </c>
      <c r="R774" t="n">
        <v>1</v>
      </c>
      <c r="S774" t="n">
        <v>0</v>
      </c>
      <c r="T774" t="n">
        <v>1</v>
      </c>
      <c r="U774" t="n">
        <v>1</v>
      </c>
      <c r="W774" t="n">
        <v>0</v>
      </c>
      <c r="Y774" t="inlineStr">
        <is>
          <t>Name in source: Dominic Alves</t>
        </is>
      </c>
    </row>
    <row r="775">
      <c r="A775" t="inlineStr">
        <is>
          <t>2026-03-30_HWRD_at_MRRT</t>
        </is>
      </c>
      <c r="B775" s="10" t="n">
        <v>46111</v>
      </c>
      <c r="C775" t="inlineStr">
        <is>
          <t>Marriotts Ridge Varsity Mustangs</t>
        </is>
      </c>
      <c r="D775" t="inlineStr">
        <is>
          <t>HWRD</t>
        </is>
      </c>
      <c r="E775" t="inlineStr">
        <is>
          <t>N Hegedus</t>
        </is>
      </c>
      <c r="F775" t="n">
        <v>2</v>
      </c>
      <c r="G775" t="n">
        <v>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R775" t="n">
        <v>0</v>
      </c>
      <c r="S775" t="n">
        <v>0</v>
      </c>
      <c r="T775" t="n">
        <v>0</v>
      </c>
      <c r="U775" t="n">
        <v>0</v>
      </c>
      <c r="W775" t="n">
        <v>0</v>
      </c>
      <c r="Y775" t="inlineStr">
        <is>
          <t>Name in source: Nate Hegedus</t>
        </is>
      </c>
    </row>
    <row r="776">
      <c r="A776" t="inlineStr">
        <is>
          <t>2026-03-30_HWRD_at_MRRT</t>
        </is>
      </c>
      <c r="B776" s="10" t="n">
        <v>46111</v>
      </c>
      <c r="C776" t="inlineStr">
        <is>
          <t>Howard Varsity Lions</t>
        </is>
      </c>
      <c r="D776" t="inlineStr">
        <is>
          <t>MRRT</t>
        </is>
      </c>
      <c r="E776" t="inlineStr">
        <is>
          <t>A Schwendeman</t>
        </is>
      </c>
      <c r="F776" t="n">
        <v>4</v>
      </c>
      <c r="G776" t="n">
        <v>4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R776" t="n">
        <v>2</v>
      </c>
      <c r="S776" t="n">
        <v>1</v>
      </c>
      <c r="T776" t="n">
        <v>0</v>
      </c>
      <c r="U776" t="n">
        <v>0</v>
      </c>
      <c r="W776" t="n">
        <v>0</v>
      </c>
      <c r="Y776" t="inlineStr">
        <is>
          <t>Name in source: Alec Schwendeman</t>
        </is>
      </c>
    </row>
    <row r="777">
      <c r="A777" t="inlineStr">
        <is>
          <t>2026-03-30_HWRD_at_MRRT</t>
        </is>
      </c>
      <c r="B777" s="10" t="n">
        <v>46111</v>
      </c>
      <c r="C777" t="inlineStr">
        <is>
          <t>Howard Varsity Lions</t>
        </is>
      </c>
      <c r="D777" t="inlineStr">
        <is>
          <t>MRRT</t>
        </is>
      </c>
      <c r="E777" t="inlineStr">
        <is>
          <t>O Snow</t>
        </is>
      </c>
      <c r="F777" t="n">
        <v>4</v>
      </c>
      <c r="G777" t="n">
        <v>3</v>
      </c>
      <c r="H777" t="n">
        <v>2</v>
      </c>
      <c r="I777" t="n">
        <v>2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R777" t="n">
        <v>3</v>
      </c>
      <c r="S777" t="n">
        <v>1</v>
      </c>
      <c r="T777" t="n">
        <v>1</v>
      </c>
      <c r="U777" t="n">
        <v>0</v>
      </c>
      <c r="W777" t="n">
        <v>0</v>
      </c>
      <c r="Y777" t="inlineStr">
        <is>
          <t>Name in source: Owen Snow. Also pitches for MRRT.</t>
        </is>
      </c>
    </row>
    <row r="778">
      <c r="A778" t="inlineStr">
        <is>
          <t>2026-03-30_HWRD_at_MRRT</t>
        </is>
      </c>
      <c r="B778" s="10" t="n">
        <v>46111</v>
      </c>
      <c r="C778" t="inlineStr">
        <is>
          <t>Howard Varsity Lions</t>
        </is>
      </c>
      <c r="D778" t="inlineStr">
        <is>
          <t>MRRT</t>
        </is>
      </c>
      <c r="E778" t="inlineStr">
        <is>
          <t>M Parson</t>
        </is>
      </c>
      <c r="F778" t="n">
        <v>4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2</v>
      </c>
      <c r="N778" t="n">
        <v>2</v>
      </c>
      <c r="O778" t="n">
        <v>0</v>
      </c>
      <c r="R778" t="n">
        <v>3</v>
      </c>
      <c r="S778" t="n">
        <v>1</v>
      </c>
      <c r="T778" t="n">
        <v>0</v>
      </c>
      <c r="U778" t="n">
        <v>0</v>
      </c>
      <c r="W778" t="n">
        <v>0</v>
      </c>
      <c r="Y778" t="inlineStr">
        <is>
          <t>Name in source: Malcolm Parson</t>
        </is>
      </c>
    </row>
    <row r="779">
      <c r="A779" t="inlineStr">
        <is>
          <t>2026-03-30_HWRD_at_MRRT</t>
        </is>
      </c>
      <c r="B779" s="10" t="n">
        <v>46111</v>
      </c>
      <c r="C779" t="inlineStr">
        <is>
          <t>Howard Varsity Lions</t>
        </is>
      </c>
      <c r="D779" t="inlineStr">
        <is>
          <t>MRRT</t>
        </is>
      </c>
      <c r="E779" t="inlineStr">
        <is>
          <t>N Brown</t>
        </is>
      </c>
      <c r="F779" t="n">
        <v>4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</v>
      </c>
      <c r="N779" t="n">
        <v>0</v>
      </c>
      <c r="O779" t="n">
        <v>0</v>
      </c>
      <c r="R779" t="n">
        <v>1</v>
      </c>
      <c r="S779" t="n">
        <v>0</v>
      </c>
      <c r="T779" t="n">
        <v>0</v>
      </c>
      <c r="U779" t="n">
        <v>0</v>
      </c>
      <c r="W779" t="n">
        <v>0</v>
      </c>
      <c r="Y779" t="inlineStr">
        <is>
          <t>Name in source: Nick Brown. SF counted in PA (SF=1). RBI=0 per table (advisory: SF should give RBI≥1).</t>
        </is>
      </c>
    </row>
    <row r="780">
      <c r="A780" t="inlineStr">
        <is>
          <t>2026-03-30_HWRD_at_MRRT</t>
        </is>
      </c>
      <c r="B780" s="10" t="n">
        <v>46111</v>
      </c>
      <c r="C780" t="inlineStr">
        <is>
          <t>Howard Varsity Lions</t>
        </is>
      </c>
      <c r="D780" t="inlineStr">
        <is>
          <t>MRRT</t>
        </is>
      </c>
      <c r="E780" t="inlineStr">
        <is>
          <t>A Devito</t>
        </is>
      </c>
      <c r="F780" t="n">
        <v>3</v>
      </c>
      <c r="G780" t="n">
        <v>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R780" t="n">
        <v>1</v>
      </c>
      <c r="S780" t="n">
        <v>0</v>
      </c>
      <c r="T780" t="n">
        <v>0</v>
      </c>
      <c r="U780" t="n">
        <v>0</v>
      </c>
      <c r="W780" t="n">
        <v>0</v>
      </c>
      <c r="Y780" t="inlineStr">
        <is>
          <t>Name in source: Anthony Devito</t>
        </is>
      </c>
    </row>
    <row r="781">
      <c r="A781" t="inlineStr">
        <is>
          <t>2026-03-30_HWRD_at_MRRT</t>
        </is>
      </c>
      <c r="B781" s="10" t="n">
        <v>46111</v>
      </c>
      <c r="C781" t="inlineStr">
        <is>
          <t>Howard Varsity Lions</t>
        </is>
      </c>
      <c r="D781" t="inlineStr">
        <is>
          <t>MRRT</t>
        </is>
      </c>
      <c r="E781" t="inlineStr">
        <is>
          <t>J Devito</t>
        </is>
      </c>
      <c r="F781" t="n">
        <v>3</v>
      </c>
      <c r="G781" t="n">
        <v>2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R781" t="n">
        <v>1</v>
      </c>
      <c r="S781" t="n">
        <v>1</v>
      </c>
      <c r="T781" t="n">
        <v>0</v>
      </c>
      <c r="U781" t="n">
        <v>0</v>
      </c>
      <c r="W781" t="n">
        <v>0</v>
      </c>
      <c r="Y781" t="inlineStr">
        <is>
          <t>Name in source: Jason Devito. SF counted in PA (SF=1). RBI=1 per table.</t>
        </is>
      </c>
    </row>
    <row r="782">
      <c r="A782" t="inlineStr">
        <is>
          <t>2026-03-30_HWRD_at_MRRT</t>
        </is>
      </c>
      <c r="B782" s="10" t="n">
        <v>46111</v>
      </c>
      <c r="C782" t="inlineStr">
        <is>
          <t>Howard Varsity Lions</t>
        </is>
      </c>
      <c r="D782" t="inlineStr">
        <is>
          <t>MRRT</t>
        </is>
      </c>
      <c r="E782" t="inlineStr">
        <is>
          <t>A Hlavaty</t>
        </is>
      </c>
      <c r="F782" t="n">
        <v>2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R782" t="n">
        <v>0</v>
      </c>
      <c r="S782" t="n">
        <v>0</v>
      </c>
      <c r="T782" t="n">
        <v>0</v>
      </c>
      <c r="U782" t="n">
        <v>0</v>
      </c>
      <c r="W782" t="n">
        <v>0</v>
      </c>
      <c r="Y782" t="inlineStr">
        <is>
          <t>Name in source: Aiden Hlavaty. Also pitches for MRRT.</t>
        </is>
      </c>
    </row>
    <row r="783">
      <c r="A783" t="inlineStr">
        <is>
          <t>2026-03-30_HWRD_at_MRRT</t>
        </is>
      </c>
      <c r="B783" s="10" t="n">
        <v>46111</v>
      </c>
      <c r="C783" t="inlineStr">
        <is>
          <t>Howard Varsity Lions</t>
        </is>
      </c>
      <c r="D783" t="inlineStr">
        <is>
          <t>MRRT</t>
        </is>
      </c>
      <c r="E783" t="inlineStr">
        <is>
          <t>Alex Montgomery</t>
        </is>
      </c>
      <c r="F783" t="n">
        <v>2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1</v>
      </c>
      <c r="R783" t="n">
        <v>0</v>
      </c>
      <c r="S783" t="n">
        <v>0</v>
      </c>
      <c r="T783" t="n">
        <v>0</v>
      </c>
      <c r="U783" t="n">
        <v>0</v>
      </c>
      <c r="W783" t="n">
        <v>0</v>
      </c>
    </row>
    <row r="784">
      <c r="A784" t="inlineStr">
        <is>
          <t>2026-03-30_HWRD_at_MRRT</t>
        </is>
      </c>
      <c r="B784" s="10" t="n">
        <v>46111</v>
      </c>
      <c r="C784" t="inlineStr">
        <is>
          <t>Howard Varsity Lions</t>
        </is>
      </c>
      <c r="D784" t="inlineStr">
        <is>
          <t>MRRT</t>
        </is>
      </c>
      <c r="E784" t="inlineStr">
        <is>
          <t>S Grams</t>
        </is>
      </c>
      <c r="F784" t="n">
        <v>3</v>
      </c>
      <c r="G784" t="n">
        <v>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R784" t="n">
        <v>2</v>
      </c>
      <c r="S784" t="n">
        <v>0</v>
      </c>
      <c r="T784" t="n">
        <v>1</v>
      </c>
      <c r="U784" t="n">
        <v>0</v>
      </c>
      <c r="W784" t="n">
        <v>0</v>
      </c>
      <c r="Y784" t="inlineStr">
        <is>
          <t>Name in source: Spencer Grams</t>
        </is>
      </c>
    </row>
    <row r="785">
      <c r="A785" t="inlineStr">
        <is>
          <t>2026-03-23_CPPN_at_PLYV</t>
        </is>
      </c>
      <c r="B785" s="10" t="n">
        <v>46104</v>
      </c>
      <c r="C785" t="inlineStr">
        <is>
          <t>Poly Varsity Engineers 2026</t>
        </is>
      </c>
      <c r="D785" t="inlineStr">
        <is>
          <t>CPPN</t>
        </is>
      </c>
      <c r="E785" t="inlineStr">
        <is>
          <t>J Spencer</t>
        </is>
      </c>
      <c r="F785" t="n">
        <v>2</v>
      </c>
      <c r="G785" t="n">
        <v>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</v>
      </c>
      <c r="R785" t="n">
        <v>0</v>
      </c>
      <c r="S785" t="n">
        <v>0</v>
      </c>
      <c r="T785" t="n">
        <v>0</v>
      </c>
      <c r="U785" t="n">
        <v>0</v>
      </c>
      <c r="W785" t="n">
        <v>0</v>
      </c>
    </row>
    <row r="786">
      <c r="A786" t="inlineStr">
        <is>
          <t>2026-03-23_CPPN_at_PLYV</t>
        </is>
      </c>
      <c r="B786" s="10" t="n">
        <v>46104</v>
      </c>
      <c r="C786" t="inlineStr">
        <is>
          <t>Poly Varsity Engineers 2026</t>
        </is>
      </c>
      <c r="D786" t="inlineStr">
        <is>
          <t>CPPN</t>
        </is>
      </c>
      <c r="E786" t="inlineStr">
        <is>
          <t>K Diggs</t>
        </is>
      </c>
      <c r="F786" t="n">
        <v>2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R786" t="n">
        <v>0</v>
      </c>
      <c r="S786" t="n">
        <v>0</v>
      </c>
      <c r="T786" t="n">
        <v>0</v>
      </c>
      <c r="U786" t="n">
        <v>0</v>
      </c>
      <c r="W786" t="n">
        <v>0</v>
      </c>
    </row>
    <row r="787">
      <c r="A787" t="inlineStr">
        <is>
          <t>2026-03-23_CPPN_at_PLYV</t>
        </is>
      </c>
      <c r="B787" s="10" t="n">
        <v>46104</v>
      </c>
      <c r="C787" t="inlineStr">
        <is>
          <t>Poly Varsity Engineers 2026</t>
        </is>
      </c>
      <c r="D787" t="inlineStr">
        <is>
          <t>CPPN</t>
        </is>
      </c>
      <c r="E787" t="inlineStr">
        <is>
          <t>J Whitehead</t>
        </is>
      </c>
      <c r="F787" t="n">
        <v>2</v>
      </c>
      <c r="G787" t="n">
        <v>2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R787" t="n">
        <v>0</v>
      </c>
      <c r="S787" t="n">
        <v>0</v>
      </c>
      <c r="T787" t="n">
        <v>0</v>
      </c>
      <c r="U787" t="n">
        <v>1</v>
      </c>
      <c r="W787" t="n">
        <v>0</v>
      </c>
      <c r="Y787" t="inlineStr">
        <is>
          <t>Also pitches; CS=1 per batting notes</t>
        </is>
      </c>
    </row>
    <row r="788">
      <c r="A788" t="inlineStr">
        <is>
          <t>2026-03-23_CPPN_at_PLYV</t>
        </is>
      </c>
      <c r="B788" s="10" t="n">
        <v>46104</v>
      </c>
      <c r="C788" t="inlineStr">
        <is>
          <t>Poly Varsity Engineers 2026</t>
        </is>
      </c>
      <c r="D788" t="inlineStr">
        <is>
          <t>CPPN</t>
        </is>
      </c>
      <c r="E788" t="inlineStr">
        <is>
          <t>J Hardy</t>
        </is>
      </c>
      <c r="F788" t="n">
        <v>2</v>
      </c>
      <c r="G788" t="n">
        <v>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</v>
      </c>
      <c r="R788" t="n">
        <v>0</v>
      </c>
      <c r="S788" t="n">
        <v>0</v>
      </c>
      <c r="T788" t="n">
        <v>0</v>
      </c>
      <c r="U788" t="n">
        <v>0</v>
      </c>
      <c r="W788" t="n">
        <v>0</v>
      </c>
      <c r="Y788" t="inlineStr">
        <is>
          <t>Also pitches</t>
        </is>
      </c>
    </row>
    <row r="789">
      <c r="A789" t="inlineStr">
        <is>
          <t>2026-03-23_CPPN_at_PLYV</t>
        </is>
      </c>
      <c r="B789" s="10" t="n">
        <v>46104</v>
      </c>
      <c r="C789" t="inlineStr">
        <is>
          <t>Poly Varsity Engineers 2026</t>
        </is>
      </c>
      <c r="D789" t="inlineStr">
        <is>
          <t>CPPN</t>
        </is>
      </c>
      <c r="E789" t="inlineStr">
        <is>
          <t>A Sterrette</t>
        </is>
      </c>
      <c r="F789" t="n">
        <v>2</v>
      </c>
      <c r="G789" t="n">
        <v>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</v>
      </c>
      <c r="R789" t="n">
        <v>0</v>
      </c>
      <c r="S789" t="n">
        <v>0</v>
      </c>
      <c r="T789" t="n">
        <v>0</v>
      </c>
      <c r="U789" t="n">
        <v>0</v>
      </c>
      <c r="W789" t="n">
        <v>0</v>
      </c>
      <c r="Y789" t="inlineStr">
        <is>
          <t>E in Fielding sheet; source: box score E line</t>
        </is>
      </c>
    </row>
    <row r="790">
      <c r="A790" t="inlineStr">
        <is>
          <t>2026-03-23_CPPN_at_PLYV</t>
        </is>
      </c>
      <c r="B790" s="10" t="n">
        <v>46104</v>
      </c>
      <c r="C790" t="inlineStr">
        <is>
          <t>Poly Varsity Engineers 2026</t>
        </is>
      </c>
      <c r="D790" t="inlineStr">
        <is>
          <t>CPPN</t>
        </is>
      </c>
      <c r="E790" t="inlineStr">
        <is>
          <t>J Trusty</t>
        </is>
      </c>
      <c r="F790" t="n">
        <v>2</v>
      </c>
      <c r="G790" t="n">
        <v>2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R790" t="n">
        <v>0</v>
      </c>
      <c r="S790" t="n">
        <v>0</v>
      </c>
      <c r="T790" t="n">
        <v>0</v>
      </c>
      <c r="U790" t="n">
        <v>0</v>
      </c>
      <c r="W790" t="n">
        <v>0</v>
      </c>
    </row>
    <row r="791">
      <c r="A791" t="inlineStr">
        <is>
          <t>2026-03-23_CPPN_at_PLYV</t>
        </is>
      </c>
      <c r="B791" s="10" t="n">
        <v>46104</v>
      </c>
      <c r="C791" t="inlineStr">
        <is>
          <t>Poly Varsity Engineers 2026</t>
        </is>
      </c>
      <c r="D791" t="inlineStr">
        <is>
          <t>CPPN</t>
        </is>
      </c>
      <c r="E791" t="inlineStr">
        <is>
          <t>H Rodwell</t>
        </is>
      </c>
      <c r="F791" t="n">
        <v>2</v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</v>
      </c>
      <c r="R791" t="n">
        <v>0</v>
      </c>
      <c r="S791" t="n">
        <v>0</v>
      </c>
      <c r="T791" t="n">
        <v>0</v>
      </c>
      <c r="U791" t="n">
        <v>0</v>
      </c>
      <c r="W791" t="n">
        <v>0</v>
      </c>
    </row>
    <row r="792">
      <c r="A792" t="inlineStr">
        <is>
          <t>2026-03-23_CPPN_at_PLYV</t>
        </is>
      </c>
      <c r="B792" s="10" t="n">
        <v>46104</v>
      </c>
      <c r="C792" t="inlineStr">
        <is>
          <t>Poly Varsity Engineers 2026</t>
        </is>
      </c>
      <c r="D792" t="inlineStr">
        <is>
          <t>CPPN</t>
        </is>
      </c>
      <c r="E792" t="inlineStr">
        <is>
          <t>M Garrett</t>
        </is>
      </c>
      <c r="F792" t="n">
        <v>2</v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R792" t="n">
        <v>0</v>
      </c>
      <c r="S792" t="n">
        <v>0</v>
      </c>
      <c r="T792" t="n">
        <v>0</v>
      </c>
      <c r="U792" t="n">
        <v>0</v>
      </c>
      <c r="W792" t="n">
        <v>0</v>
      </c>
    </row>
    <row r="793">
      <c r="A793" t="inlineStr">
        <is>
          <t>2026-03-23_CPPN_at_PLYV</t>
        </is>
      </c>
      <c r="B793" s="10" t="n">
        <v>46104</v>
      </c>
      <c r="C793" t="inlineStr">
        <is>
          <t>Poly Varsity Engineers 2026</t>
        </is>
      </c>
      <c r="D793" t="inlineStr">
        <is>
          <t>CPPN</t>
        </is>
      </c>
      <c r="E793" t="inlineStr">
        <is>
          <t>K Rice</t>
        </is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R793" t="n">
        <v>0</v>
      </c>
      <c r="S793" t="n">
        <v>0</v>
      </c>
      <c r="T793" t="n">
        <v>0</v>
      </c>
      <c r="U793" t="n">
        <v>0</v>
      </c>
      <c r="W793" t="n">
        <v>0</v>
      </c>
      <c r="Y793" t="inlineStr">
        <is>
          <t>Also pitches</t>
        </is>
      </c>
    </row>
    <row r="794">
      <c r="A794" t="inlineStr">
        <is>
          <t>2026-03-23_CPPN_at_PLYV</t>
        </is>
      </c>
      <c r="B794" s="10" t="n">
        <v>46104</v>
      </c>
      <c r="C794" t="inlineStr">
        <is>
          <t>Coppin Academy</t>
        </is>
      </c>
      <c r="D794" t="inlineStr">
        <is>
          <t>PLYV</t>
        </is>
      </c>
      <c r="E794" t="inlineStr">
        <is>
          <t>Julian Robin</t>
        </is>
      </c>
      <c r="F794" t="n">
        <v>2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R794" t="n">
        <v>2</v>
      </c>
      <c r="S794" t="n">
        <v>1</v>
      </c>
      <c r="T794" t="n">
        <v>1</v>
      </c>
      <c r="U794" t="n">
        <v>0</v>
      </c>
      <c r="W794" t="n">
        <v>0</v>
      </c>
      <c r="Y794" t="inlineStr">
        <is>
          <t>TB=1 (cross-check pass)</t>
        </is>
      </c>
    </row>
    <row r="795">
      <c r="A795" t="inlineStr">
        <is>
          <t>2026-03-23_CPPN_at_PLYV</t>
        </is>
      </c>
      <c r="B795" s="10" t="n">
        <v>46104</v>
      </c>
      <c r="C795" t="inlineStr">
        <is>
          <t>Coppin Academy</t>
        </is>
      </c>
      <c r="D795" t="inlineStr">
        <is>
          <t>PLYV</t>
        </is>
      </c>
      <c r="E795" t="inlineStr">
        <is>
          <t>Lucas Bryant</t>
        </is>
      </c>
      <c r="F795" t="n">
        <v>2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R795" t="n">
        <v>1</v>
      </c>
      <c r="S795" t="n">
        <v>1</v>
      </c>
      <c r="T795" t="n">
        <v>0</v>
      </c>
      <c r="U795" t="n">
        <v>0</v>
      </c>
      <c r="W795" t="n">
        <v>0</v>
      </c>
    </row>
    <row r="796">
      <c r="A796" t="inlineStr">
        <is>
          <t>2026-03-23_CPPN_at_PLYV</t>
        </is>
      </c>
      <c r="B796" s="10" t="n">
        <v>46104</v>
      </c>
      <c r="C796" t="inlineStr">
        <is>
          <t>Coppin Academy</t>
        </is>
      </c>
      <c r="D796" t="inlineStr">
        <is>
          <t>PLYV</t>
        </is>
      </c>
      <c r="E796" t="inlineStr">
        <is>
          <t>Nathaniel Barry</t>
        </is>
      </c>
      <c r="F796" t="n">
        <v>2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  <c r="R796" t="n">
        <v>2</v>
      </c>
      <c r="S796" t="n">
        <v>0</v>
      </c>
      <c r="T796" t="n">
        <v>1</v>
      </c>
      <c r="U796" t="n">
        <v>0</v>
      </c>
      <c r="W796" t="n">
        <v>0</v>
      </c>
    </row>
    <row r="797">
      <c r="A797" t="inlineStr">
        <is>
          <t>2026-03-23_CPPN_at_PLYV</t>
        </is>
      </c>
      <c r="B797" s="10" t="n">
        <v>46104</v>
      </c>
      <c r="C797" t="inlineStr">
        <is>
          <t>Coppin Academy</t>
        </is>
      </c>
      <c r="D797" t="inlineStr">
        <is>
          <t>PLYV</t>
        </is>
      </c>
      <c r="E797" t="inlineStr">
        <is>
          <t>Ashton Hill</t>
        </is>
      </c>
      <c r="F797" t="n">
        <v>2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R797" t="n">
        <v>1</v>
      </c>
      <c r="S797" t="n">
        <v>1</v>
      </c>
      <c r="T797" t="n">
        <v>0</v>
      </c>
      <c r="U797" t="n">
        <v>0</v>
      </c>
      <c r="W797" t="n">
        <v>0</v>
      </c>
    </row>
    <row r="798">
      <c r="A798" t="inlineStr">
        <is>
          <t>2026-03-23_CPPN_at_PLYV</t>
        </is>
      </c>
      <c r="B798" s="10" t="n">
        <v>46104</v>
      </c>
      <c r="C798" t="inlineStr">
        <is>
          <t>Coppin Academy</t>
        </is>
      </c>
      <c r="D798" t="inlineStr">
        <is>
          <t>PLYV</t>
        </is>
      </c>
      <c r="E798" t="inlineStr">
        <is>
          <t>Kingston Antonio</t>
        </is>
      </c>
      <c r="F798" t="n">
        <v>2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R798" t="n">
        <v>2</v>
      </c>
      <c r="S798" t="n">
        <v>1</v>
      </c>
      <c r="T798" t="n">
        <v>0</v>
      </c>
      <c r="U798" t="n">
        <v>0</v>
      </c>
      <c r="W798" t="n">
        <v>0</v>
      </c>
      <c r="Y798" t="inlineStr">
        <is>
          <t>TB=1 (cross-check pass)</t>
        </is>
      </c>
    </row>
    <row r="799">
      <c r="A799" t="inlineStr">
        <is>
          <t>2026-03-23_CPPN_at_PLYV</t>
        </is>
      </c>
      <c r="B799" s="10" t="n">
        <v>46104</v>
      </c>
      <c r="C799" t="inlineStr">
        <is>
          <t>Coppin Academy</t>
        </is>
      </c>
      <c r="D799" t="inlineStr">
        <is>
          <t>PLYV</t>
        </is>
      </c>
      <c r="E799" t="inlineStr">
        <is>
          <t>Max Freeman</t>
        </is>
      </c>
      <c r="F799" t="n">
        <v>2</v>
      </c>
      <c r="G799" t="n">
        <v>2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R799" t="n">
        <v>0</v>
      </c>
      <c r="S799" t="n">
        <v>1</v>
      </c>
      <c r="T799" t="n">
        <v>0</v>
      </c>
      <c r="U799" t="n">
        <v>0</v>
      </c>
      <c r="W799" t="n">
        <v>0</v>
      </c>
      <c r="Y799" t="inlineStr">
        <is>
          <t>Also pitches; TB=1 (cross-check pass)</t>
        </is>
      </c>
    </row>
    <row r="800">
      <c r="A800" t="inlineStr">
        <is>
          <t>2026-03-23_CPPN_at_PLYV</t>
        </is>
      </c>
      <c r="B800" s="10" t="n">
        <v>46104</v>
      </c>
      <c r="C800" t="inlineStr">
        <is>
          <t>Coppin Academy</t>
        </is>
      </c>
      <c r="D800" t="inlineStr">
        <is>
          <t>PLYV</t>
        </is>
      </c>
      <c r="E800" t="inlineStr">
        <is>
          <t>Jakeem Mcbride</t>
        </is>
      </c>
      <c r="F800" t="n">
        <v>2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R800" t="n">
        <v>1</v>
      </c>
      <c r="S800" t="n">
        <v>0</v>
      </c>
      <c r="T800" t="n">
        <v>0</v>
      </c>
      <c r="U800" t="n">
        <v>0</v>
      </c>
      <c r="W800" t="n">
        <v>0</v>
      </c>
    </row>
    <row r="801">
      <c r="A801" t="inlineStr">
        <is>
          <t>2026-03-23_CPPN_at_PLYV</t>
        </is>
      </c>
      <c r="B801" s="10" t="n">
        <v>46104</v>
      </c>
      <c r="C801" t="inlineStr">
        <is>
          <t>Coppin Academy</t>
        </is>
      </c>
      <c r="D801" t="inlineStr">
        <is>
          <t>PLYV</t>
        </is>
      </c>
      <c r="E801" t="inlineStr">
        <is>
          <t>Ian Dickensheets</t>
        </is>
      </c>
      <c r="F801" t="n">
        <v>2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R801" t="n">
        <v>1</v>
      </c>
      <c r="S801" t="n">
        <v>0</v>
      </c>
      <c r="T801" t="n">
        <v>0</v>
      </c>
      <c r="U801" t="n">
        <v>0</v>
      </c>
      <c r="W801" t="n">
        <v>0</v>
      </c>
    </row>
    <row r="802">
      <c r="A802" t="inlineStr">
        <is>
          <t>2026-03-23_CPPN_at_PLYV</t>
        </is>
      </c>
      <c r="B802" s="10" t="n">
        <v>46104</v>
      </c>
      <c r="C802" t="inlineStr">
        <is>
          <t>Coppin Academy</t>
        </is>
      </c>
      <c r="D802" t="inlineStr">
        <is>
          <t>PLYV</t>
        </is>
      </c>
      <c r="E802" t="inlineStr">
        <is>
          <t>Ikram Khan</t>
        </is>
      </c>
      <c r="F802" t="n">
        <v>4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2</v>
      </c>
      <c r="N802" t="n">
        <v>1</v>
      </c>
      <c r="O802" t="n">
        <v>0</v>
      </c>
      <c r="R802" t="n">
        <v>2</v>
      </c>
      <c r="S802" t="n">
        <v>1</v>
      </c>
      <c r="T802" t="n">
        <v>0</v>
      </c>
      <c r="U802" t="n">
        <v>0</v>
      </c>
      <c r="W802" t="n">
        <v>0</v>
      </c>
      <c r="Y802" t="inlineStr">
        <is>
          <t>E in Fielding sheet; source: box score E line</t>
        </is>
      </c>
    </row>
    <row r="803">
      <c r="A803" t="inlineStr">
        <is>
          <t>2026-03-23_CPPN_at_PLYV</t>
        </is>
      </c>
      <c r="B803" s="10" t="n">
        <v>46104</v>
      </c>
      <c r="C803" t="inlineStr">
        <is>
          <t>Coppin Academy</t>
        </is>
      </c>
      <c r="D803" t="inlineStr">
        <is>
          <t>PLYV</t>
        </is>
      </c>
      <c r="E803" t="inlineStr">
        <is>
          <t>Hayden Flipovitz</t>
        </is>
      </c>
      <c r="F803" t="n">
        <v>2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R803" t="n">
        <v>2</v>
      </c>
      <c r="S803" t="n">
        <v>1</v>
      </c>
      <c r="T803" t="n">
        <v>0</v>
      </c>
      <c r="U803" t="n">
        <v>0</v>
      </c>
      <c r="W803" t="n">
        <v>0</v>
      </c>
      <c r="Y803" t="inlineStr">
        <is>
          <t>[AMBIGUOUS] R OCR-corrected 0→2 (reached base twice via BB+HBP; team cross-check)</t>
        </is>
      </c>
    </row>
    <row r="804">
      <c r="A804" t="inlineStr">
        <is>
          <t>2026-03-23_CPPN_at_PLYV</t>
        </is>
      </c>
      <c r="B804" s="10" t="n">
        <v>46104</v>
      </c>
      <c r="C804" t="inlineStr">
        <is>
          <t>Coppin Academy</t>
        </is>
      </c>
      <c r="D804" t="inlineStr">
        <is>
          <t>PLYV</t>
        </is>
      </c>
      <c r="E804" t="inlineStr">
        <is>
          <t>Zachariah Lawrence</t>
        </is>
      </c>
      <c r="F804" t="n">
        <v>2</v>
      </c>
      <c r="G804" t="n">
        <v>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R804" t="n">
        <v>1</v>
      </c>
      <c r="S804" t="n">
        <v>0</v>
      </c>
      <c r="T804" t="n">
        <v>0</v>
      </c>
      <c r="U804" t="n">
        <v>0</v>
      </c>
      <c r="W804" t="n">
        <v>0</v>
      </c>
      <c r="Y804" t="inlineStr">
        <is>
          <t>[AMBIGUOUS] R OCR-corrected 0→1 (team cross-check)</t>
        </is>
      </c>
    </row>
    <row r="805">
      <c r="A805" t="inlineStr">
        <is>
          <t>2026-03-23_CPPN_at_PLYV</t>
        </is>
      </c>
      <c r="B805" s="10" t="n">
        <v>46104</v>
      </c>
      <c r="C805" t="inlineStr">
        <is>
          <t>Coppin Academy</t>
        </is>
      </c>
      <c r="D805" t="inlineStr">
        <is>
          <t>PLYV</t>
        </is>
      </c>
      <c r="E805" t="inlineStr">
        <is>
          <t>Roman Girardi</t>
        </is>
      </c>
      <c r="F805" t="n">
        <v>4</v>
      </c>
      <c r="G805" t="n">
        <v>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R805" t="n">
        <v>2</v>
      </c>
      <c r="S805" t="n">
        <v>0</v>
      </c>
      <c r="T805" t="n">
        <v>1</v>
      </c>
      <c r="U805" t="n">
        <v>0</v>
      </c>
      <c r="W805" t="n">
        <v>0</v>
      </c>
    </row>
    <row r="806">
      <c r="A806" t="inlineStr">
        <is>
          <t>2026-03-23_CPPN_at_PLYV</t>
        </is>
      </c>
      <c r="B806" s="10" t="n">
        <v>46104</v>
      </c>
      <c r="C806" t="inlineStr">
        <is>
          <t>Coppin Academy</t>
        </is>
      </c>
      <c r="D806" t="inlineStr">
        <is>
          <t>PLYV</t>
        </is>
      </c>
      <c r="E806" t="inlineStr">
        <is>
          <t>Krishtain Mcleod</t>
        </is>
      </c>
      <c r="F806" t="n">
        <v>3</v>
      </c>
      <c r="G806" t="n">
        <v>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R806" t="n">
        <v>1</v>
      </c>
      <c r="S806" t="n">
        <v>1</v>
      </c>
      <c r="T806" t="n">
        <v>0</v>
      </c>
      <c r="U806" t="n">
        <v>0</v>
      </c>
      <c r="W806" t="n">
        <v>0</v>
      </c>
    </row>
    <row r="807">
      <c r="A807" t="inlineStr">
        <is>
          <t>2026-03-23_CPPN_at_PLYV</t>
        </is>
      </c>
      <c r="B807" s="10" t="n">
        <v>46104</v>
      </c>
      <c r="C807" t="inlineStr">
        <is>
          <t>Coppin Academy</t>
        </is>
      </c>
      <c r="D807" t="inlineStr">
        <is>
          <t>PLYV</t>
        </is>
      </c>
      <c r="E807" t="inlineStr">
        <is>
          <t>Joshua Tyree</t>
        </is>
      </c>
      <c r="F807" t="n">
        <v>3</v>
      </c>
      <c r="G807" t="n">
        <v>3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R807" t="n">
        <v>2</v>
      </c>
      <c r="S807" t="n">
        <v>0</v>
      </c>
      <c r="T807" t="n">
        <v>0</v>
      </c>
      <c r="U807" t="n">
        <v>0</v>
      </c>
      <c r="W807" t="n">
        <v>0</v>
      </c>
    </row>
    <row r="808">
      <c r="A808" t="inlineStr">
        <is>
          <t>2026-03-25_DGLS_at_PLYV</t>
        </is>
      </c>
      <c r="B808" s="10" t="n">
        <v>46106</v>
      </c>
      <c r="C808" t="inlineStr">
        <is>
          <t>Douglass</t>
        </is>
      </c>
      <c r="D808" t="inlineStr">
        <is>
          <t>PLYV</t>
        </is>
      </c>
      <c r="E808" t="inlineStr">
        <is>
          <t>Shane King</t>
        </is>
      </c>
      <c r="F808" t="n">
        <v>3</v>
      </c>
      <c r="G808" t="n">
        <v>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1</v>
      </c>
      <c r="R808" t="n">
        <v>0</v>
      </c>
      <c r="S808" t="n">
        <v>0</v>
      </c>
      <c r="T808" t="n">
        <v>2</v>
      </c>
      <c r="U808" t="n">
        <v>0</v>
      </c>
      <c r="W808" t="n">
        <v>0</v>
      </c>
    </row>
    <row r="809">
      <c r="A809" t="inlineStr">
        <is>
          <t>2026-03-25_DGLS_at_PLYV</t>
        </is>
      </c>
      <c r="B809" s="10" t="n">
        <v>46106</v>
      </c>
      <c r="C809" t="inlineStr">
        <is>
          <t>Douglass</t>
        </is>
      </c>
      <c r="D809" t="inlineStr">
        <is>
          <t>PLYV</t>
        </is>
      </c>
      <c r="E809" t="inlineStr">
        <is>
          <t>Nathaniel Barry</t>
        </is>
      </c>
      <c r="F809" t="n">
        <v>2</v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R809" t="n">
        <v>0</v>
      </c>
      <c r="S809" t="n">
        <v>0</v>
      </c>
      <c r="T809" t="n">
        <v>0</v>
      </c>
      <c r="U809" t="n">
        <v>0</v>
      </c>
      <c r="W809" t="n">
        <v>0</v>
      </c>
    </row>
    <row r="810">
      <c r="A810" t="inlineStr">
        <is>
          <t>2026-03-25_DGLS_at_PLYV</t>
        </is>
      </c>
      <c r="B810" s="10" t="n">
        <v>46106</v>
      </c>
      <c r="C810" t="inlineStr">
        <is>
          <t>Douglass</t>
        </is>
      </c>
      <c r="D810" t="inlineStr">
        <is>
          <t>PLYV</t>
        </is>
      </c>
      <c r="E810" t="inlineStr">
        <is>
          <t>Kaden Wooden</t>
        </is>
      </c>
      <c r="F810" t="n">
        <v>2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R810" t="n">
        <v>1</v>
      </c>
      <c r="S810" t="n">
        <v>0</v>
      </c>
      <c r="T810" t="n">
        <v>0</v>
      </c>
      <c r="U810" t="n">
        <v>0</v>
      </c>
      <c r="W810" t="n">
        <v>0</v>
      </c>
    </row>
    <row r="811">
      <c r="A811" t="inlineStr">
        <is>
          <t>2026-03-25_DGLS_at_PLYV</t>
        </is>
      </c>
      <c r="B811" s="10" t="n">
        <v>46106</v>
      </c>
      <c r="C811" t="inlineStr">
        <is>
          <t>Douglass</t>
        </is>
      </c>
      <c r="D811" t="inlineStr">
        <is>
          <t>PLYV</t>
        </is>
      </c>
      <c r="E811" t="inlineStr">
        <is>
          <t>Kingston Antonio</t>
        </is>
      </c>
      <c r="F811" t="n">
        <v>3</v>
      </c>
      <c r="G811" t="n">
        <v>2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1</v>
      </c>
      <c r="R811" t="n">
        <v>2</v>
      </c>
      <c r="S811" t="n">
        <v>2</v>
      </c>
      <c r="T811" t="n">
        <v>0</v>
      </c>
      <c r="U811" t="n">
        <v>0</v>
      </c>
      <c r="W811" t="n">
        <v>0</v>
      </c>
      <c r="Y811" t="inlineStr">
        <is>
          <t>HR; TB=4 (cross-check ✓)</t>
        </is>
      </c>
    </row>
    <row r="812">
      <c r="A812" t="inlineStr">
        <is>
          <t>2026-03-25_DGLS_at_PLYV</t>
        </is>
      </c>
      <c r="B812" s="10" t="n">
        <v>46106</v>
      </c>
      <c r="C812" t="inlineStr">
        <is>
          <t>Douglass</t>
        </is>
      </c>
      <c r="D812" t="inlineStr">
        <is>
          <t>PLYV</t>
        </is>
      </c>
      <c r="E812" t="inlineStr">
        <is>
          <t>Ian Dickensheets</t>
        </is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R812" t="n">
        <v>0</v>
      </c>
      <c r="S812" t="n">
        <v>0</v>
      </c>
      <c r="T812" t="n">
        <v>0</v>
      </c>
      <c r="U812" t="n">
        <v>0</v>
      </c>
      <c r="W812" t="n">
        <v>0</v>
      </c>
      <c r="Y812" t="inlineStr">
        <is>
          <t>Also pitches</t>
        </is>
      </c>
    </row>
    <row r="813">
      <c r="A813" t="inlineStr">
        <is>
          <t>2026-03-25_DGLS_at_PLYV</t>
        </is>
      </c>
      <c r="B813" s="10" t="n">
        <v>46106</v>
      </c>
      <c r="C813" t="inlineStr">
        <is>
          <t>Douglass</t>
        </is>
      </c>
      <c r="D813" t="inlineStr">
        <is>
          <t>PLYV</t>
        </is>
      </c>
      <c r="E813" t="inlineStr">
        <is>
          <t>Roman Girardi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R813" t="n">
        <v>0</v>
      </c>
      <c r="S813" t="n">
        <v>0</v>
      </c>
      <c r="T813" t="n">
        <v>0</v>
      </c>
      <c r="U813" t="n">
        <v>0</v>
      </c>
      <c r="W813" t="n">
        <v>0</v>
      </c>
      <c r="Y813" t="inlineStr">
        <is>
          <t>Zero PA; also pitches</t>
        </is>
      </c>
    </row>
    <row r="814">
      <c r="A814" t="inlineStr">
        <is>
          <t>2026-03-25_DGLS_at_PLYV</t>
        </is>
      </c>
      <c r="B814" s="10" t="n">
        <v>46106</v>
      </c>
      <c r="C814" t="inlineStr">
        <is>
          <t>Douglass</t>
        </is>
      </c>
      <c r="D814" t="inlineStr">
        <is>
          <t>PLYV</t>
        </is>
      </c>
      <c r="E814" t="inlineStr">
        <is>
          <t>Jakeem Mcbride</t>
        </is>
      </c>
      <c r="F814" t="n">
        <v>3</v>
      </c>
      <c r="G814" t="n">
        <v>3</v>
      </c>
      <c r="H814" t="n">
        <v>2</v>
      </c>
      <c r="I814" t="n">
        <v>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R814" t="n">
        <v>2</v>
      </c>
      <c r="S814" t="n">
        <v>0</v>
      </c>
      <c r="T814" t="n">
        <v>0</v>
      </c>
      <c r="U814" t="n">
        <v>0</v>
      </c>
      <c r="W814" t="n">
        <v>0</v>
      </c>
    </row>
    <row r="815">
      <c r="A815" t="inlineStr">
        <is>
          <t>2026-03-25_DGLS_at_PLYV</t>
        </is>
      </c>
      <c r="B815" s="10" t="n">
        <v>46106</v>
      </c>
      <c r="C815" t="inlineStr">
        <is>
          <t>Douglass</t>
        </is>
      </c>
      <c r="D815" t="inlineStr">
        <is>
          <t>PLYV</t>
        </is>
      </c>
      <c r="E815" t="inlineStr">
        <is>
          <t>Daniel Hong</t>
        </is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R815" t="n">
        <v>0</v>
      </c>
      <c r="S815" t="n">
        <v>0</v>
      </c>
      <c r="T815" t="n">
        <v>0</v>
      </c>
      <c r="U815" t="n">
        <v>0</v>
      </c>
      <c r="W815" t="n">
        <v>0</v>
      </c>
    </row>
    <row r="816">
      <c r="A816" t="inlineStr">
        <is>
          <t>2026-03-25_DGLS_at_PLYV</t>
        </is>
      </c>
      <c r="B816" s="10" t="n">
        <v>46106</v>
      </c>
      <c r="C816" t="inlineStr">
        <is>
          <t>Douglass</t>
        </is>
      </c>
      <c r="D816" t="inlineStr">
        <is>
          <t>PLYV</t>
        </is>
      </c>
      <c r="E816" t="inlineStr">
        <is>
          <t>Ikram Khan</t>
        </is>
      </c>
      <c r="F816" t="n">
        <v>4</v>
      </c>
      <c r="G816" t="n">
        <v>2</v>
      </c>
      <c r="H816" t="n">
        <v>2</v>
      </c>
      <c r="I816" t="n">
        <v>0</v>
      </c>
      <c r="J816" t="n">
        <v>1</v>
      </c>
      <c r="K816" t="n">
        <v>1</v>
      </c>
      <c r="L816" t="n">
        <v>0</v>
      </c>
      <c r="M816" t="n">
        <v>2</v>
      </c>
      <c r="N816" t="n">
        <v>0</v>
      </c>
      <c r="O816" t="n">
        <v>0</v>
      </c>
      <c r="R816" t="n">
        <v>2</v>
      </c>
      <c r="S816" t="n">
        <v>2</v>
      </c>
      <c r="T816" t="n">
        <v>1</v>
      </c>
      <c r="U816" t="n">
        <v>0</v>
      </c>
      <c r="W816" t="n">
        <v>0</v>
      </c>
      <c r="Y816" t="inlineStr">
        <is>
          <t>2B+3B; TB=5 (cross-check ✓)</t>
        </is>
      </c>
    </row>
    <row r="817">
      <c r="A817" t="inlineStr">
        <is>
          <t>2026-03-25_DGLS_at_PLYV</t>
        </is>
      </c>
      <c r="B817" s="10" t="n">
        <v>46106</v>
      </c>
      <c r="C817" t="inlineStr">
        <is>
          <t>Douglass</t>
        </is>
      </c>
      <c r="D817" t="inlineStr">
        <is>
          <t>PLYV</t>
        </is>
      </c>
      <c r="E817" t="inlineStr">
        <is>
          <t>Julian Robin</t>
        </is>
      </c>
      <c r="F817" t="n">
        <v>2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R817" t="n">
        <v>1</v>
      </c>
      <c r="S817" t="n">
        <v>0</v>
      </c>
      <c r="T817" t="n">
        <v>0</v>
      </c>
      <c r="U817" t="n">
        <v>0</v>
      </c>
      <c r="W817" t="n">
        <v>0</v>
      </c>
      <c r="Y817" t="inlineStr">
        <is>
          <t>TB=1 (cross-check ✓)</t>
        </is>
      </c>
    </row>
    <row r="818">
      <c r="A818" t="inlineStr">
        <is>
          <t>2026-03-25_DGLS_at_PLYV</t>
        </is>
      </c>
      <c r="B818" s="10" t="n">
        <v>46106</v>
      </c>
      <c r="C818" t="inlineStr">
        <is>
          <t>Douglass</t>
        </is>
      </c>
      <c r="D818" t="inlineStr">
        <is>
          <t>PLYV</t>
        </is>
      </c>
      <c r="E818" t="inlineStr">
        <is>
          <t>Hayden Flipovitz</t>
        </is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R818" t="n">
        <v>0</v>
      </c>
      <c r="S818" t="n">
        <v>0</v>
      </c>
      <c r="T818" t="n">
        <v>0</v>
      </c>
      <c r="U818" t="n">
        <v>0</v>
      </c>
      <c r="W818" t="n">
        <v>0</v>
      </c>
      <c r="Y818" t="inlineStr">
        <is>
          <t>TB=1 (cross-check ✓)</t>
        </is>
      </c>
    </row>
    <row r="819">
      <c r="A819" t="inlineStr">
        <is>
          <t>2026-03-25_DGLS_at_PLYV</t>
        </is>
      </c>
      <c r="B819" s="10" t="n">
        <v>46106</v>
      </c>
      <c r="C819" t="inlineStr">
        <is>
          <t>Douglass</t>
        </is>
      </c>
      <c r="D819" t="inlineStr">
        <is>
          <t>PLYV</t>
        </is>
      </c>
      <c r="E819" t="inlineStr">
        <is>
          <t>Joshua Tyree</t>
        </is>
      </c>
      <c r="F819" t="n">
        <v>2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R819" t="n">
        <v>1</v>
      </c>
      <c r="S819" t="n">
        <v>0</v>
      </c>
      <c r="T819" t="n">
        <v>0</v>
      </c>
      <c r="U819" t="n">
        <v>0</v>
      </c>
      <c r="W819" t="n">
        <v>0</v>
      </c>
    </row>
    <row r="820">
      <c r="A820" t="inlineStr">
        <is>
          <t>2026-03-25_DGLS_at_PLYV</t>
        </is>
      </c>
      <c r="B820" s="10" t="n">
        <v>46106</v>
      </c>
      <c r="C820" t="inlineStr">
        <is>
          <t>Douglass</t>
        </is>
      </c>
      <c r="D820" t="inlineStr">
        <is>
          <t>PLYV</t>
        </is>
      </c>
      <c r="E820" t="inlineStr">
        <is>
          <t>Zachariah Lawrence</t>
        </is>
      </c>
      <c r="F820" t="n">
        <v>2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R820" t="n">
        <v>1</v>
      </c>
      <c r="S820" t="n">
        <v>0</v>
      </c>
      <c r="T820" t="n">
        <v>0</v>
      </c>
      <c r="U820" t="n">
        <v>0</v>
      </c>
      <c r="W820" t="n">
        <v>0</v>
      </c>
    </row>
    <row r="821">
      <c r="A821" t="inlineStr">
        <is>
          <t>2026-03-25_DGLS_at_PLYV</t>
        </is>
      </c>
      <c r="B821" s="10" t="n">
        <v>46106</v>
      </c>
      <c r="C821" t="inlineStr">
        <is>
          <t>Douglass</t>
        </is>
      </c>
      <c r="D821" t="inlineStr">
        <is>
          <t>PLYV</t>
        </is>
      </c>
      <c r="E821" t="inlineStr">
        <is>
          <t>Coleman Bryant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R821" t="n">
        <v>0</v>
      </c>
      <c r="S821" t="n">
        <v>0</v>
      </c>
      <c r="T821" t="n">
        <v>0</v>
      </c>
      <c r="U821" t="n">
        <v>0</v>
      </c>
      <c r="W821" t="n">
        <v>0</v>
      </c>
      <c r="Y821" t="inlineStr">
        <is>
          <t>Zero PA</t>
        </is>
      </c>
    </row>
    <row r="822">
      <c r="A822" t="inlineStr">
        <is>
          <t>2026-03-25_DGLS_at_PLYV</t>
        </is>
      </c>
      <c r="B822" s="10" t="n">
        <v>46106</v>
      </c>
      <c r="C822" t="inlineStr">
        <is>
          <t>Douglass</t>
        </is>
      </c>
      <c r="D822" t="inlineStr">
        <is>
          <t>PLYV</t>
        </is>
      </c>
      <c r="E822" t="inlineStr">
        <is>
          <t>Henry Overton</t>
        </is>
      </c>
      <c r="F822" t="n">
        <v>3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2</v>
      </c>
      <c r="N822" t="n">
        <v>0</v>
      </c>
      <c r="O822" t="n">
        <v>0</v>
      </c>
      <c r="R822" t="n">
        <v>3</v>
      </c>
      <c r="S822" t="n">
        <v>1</v>
      </c>
      <c r="T822" t="n">
        <v>2</v>
      </c>
      <c r="U822" t="n">
        <v>0</v>
      </c>
      <c r="W822" t="n">
        <v>0</v>
      </c>
      <c r="Y822" t="inlineStr">
        <is>
          <t>TB=1 (cross-check ✓)</t>
        </is>
      </c>
    </row>
    <row r="823">
      <c r="A823" t="inlineStr">
        <is>
          <t>2026-03-25_DGLS_at_PLYV</t>
        </is>
      </c>
      <c r="B823" s="10" t="n">
        <v>46106</v>
      </c>
      <c r="C823" t="inlineStr">
        <is>
          <t>Douglass</t>
        </is>
      </c>
      <c r="D823" t="inlineStr">
        <is>
          <t>PLYV</t>
        </is>
      </c>
      <c r="E823" t="inlineStr">
        <is>
          <t>Lucas Bryant</t>
        </is>
      </c>
      <c r="F823" t="n">
        <v>3</v>
      </c>
      <c r="G823" t="n">
        <v>2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1</v>
      </c>
      <c r="R823" t="n">
        <v>0</v>
      </c>
      <c r="S823" t="n">
        <v>2</v>
      </c>
      <c r="T823" t="n">
        <v>0</v>
      </c>
      <c r="U823" t="n">
        <v>0</v>
      </c>
      <c r="W823" t="n">
        <v>0</v>
      </c>
      <c r="Y823" t="inlineStr">
        <is>
          <t>3B; TB=3 (cross-check ✓)</t>
        </is>
      </c>
    </row>
    <row r="824">
      <c r="A824" t="inlineStr">
        <is>
          <t>2026-03-25_DGLS_at_PLYV</t>
        </is>
      </c>
      <c r="B824" s="10" t="n">
        <v>46106</v>
      </c>
      <c r="C824" t="inlineStr">
        <is>
          <t>Douglass</t>
        </is>
      </c>
      <c r="D824" t="inlineStr">
        <is>
          <t>PLYV</t>
        </is>
      </c>
      <c r="E824" t="inlineStr">
        <is>
          <t>Max Freeman</t>
        </is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R824" t="n">
        <v>0</v>
      </c>
      <c r="S824" t="n">
        <v>0</v>
      </c>
      <c r="T824" t="n">
        <v>0</v>
      </c>
      <c r="U824" t="n">
        <v>0</v>
      </c>
      <c r="W824" t="n">
        <v>0</v>
      </c>
    </row>
    <row r="825">
      <c r="A825" t="inlineStr">
        <is>
          <t>2026-03-25_DGLS_at_PLYV</t>
        </is>
      </c>
      <c r="B825" s="10" t="n">
        <v>46106</v>
      </c>
      <c r="C825" t="inlineStr">
        <is>
          <t>Douglass</t>
        </is>
      </c>
      <c r="D825" t="inlineStr">
        <is>
          <t>PLYV</t>
        </is>
      </c>
      <c r="E825" t="inlineStr">
        <is>
          <t>Krishtain Mcleod</t>
        </is>
      </c>
      <c r="F825" t="n">
        <v>2</v>
      </c>
      <c r="G825" t="n">
        <v>2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R825" t="n">
        <v>1</v>
      </c>
      <c r="S825" t="n">
        <v>1</v>
      </c>
      <c r="T825" t="n">
        <v>1</v>
      </c>
      <c r="U825" t="n">
        <v>0</v>
      </c>
      <c r="W825" t="n">
        <v>0</v>
      </c>
      <c r="Y825" t="inlineStr">
        <is>
          <t>2B; TB=2</t>
        </is>
      </c>
    </row>
    <row r="826">
      <c r="A826" t="inlineStr">
        <is>
          <t>2026-03-25_DGLS_at_PLYV</t>
        </is>
      </c>
      <c r="B826" s="10" t="n">
        <v>46106</v>
      </c>
      <c r="C826" t="inlineStr">
        <is>
          <t>Douglass</t>
        </is>
      </c>
      <c r="D826" t="inlineStr">
        <is>
          <t>PLYV</t>
        </is>
      </c>
      <c r="E826" t="inlineStr">
        <is>
          <t>Kai Ely</t>
        </is>
      </c>
      <c r="F826" t="n">
        <v>2</v>
      </c>
      <c r="G826" t="n">
        <v>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R826" t="n">
        <v>0</v>
      </c>
      <c r="S826" t="n">
        <v>2</v>
      </c>
      <c r="T826" t="n">
        <v>0</v>
      </c>
      <c r="U826" t="n">
        <v>0</v>
      </c>
      <c r="W826" t="n">
        <v>0</v>
      </c>
    </row>
    <row r="827">
      <c r="A827" t="inlineStr">
        <is>
          <t>2026-03-25_DGLS_at_PLYV</t>
        </is>
      </c>
      <c r="B827" s="10" t="n">
        <v>46106</v>
      </c>
      <c r="C827" t="inlineStr">
        <is>
          <t>Poly Varsity Engineers 2026</t>
        </is>
      </c>
      <c r="D827" t="inlineStr">
        <is>
          <t>DGLS</t>
        </is>
      </c>
      <c r="E827" t="inlineStr">
        <is>
          <t>Shaul Klein</t>
        </is>
      </c>
      <c r="F827" t="n">
        <v>2</v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  <c r="R827" t="n">
        <v>0</v>
      </c>
      <c r="S827" t="n">
        <v>0</v>
      </c>
      <c r="T827" t="n">
        <v>0</v>
      </c>
      <c r="U827" t="n">
        <v>0</v>
      </c>
      <c r="W827" t="n">
        <v>0</v>
      </c>
    </row>
    <row r="828">
      <c r="A828" t="inlineStr">
        <is>
          <t>2026-03-25_DGLS_at_PLYV</t>
        </is>
      </c>
      <c r="B828" s="10" t="n">
        <v>46106</v>
      </c>
      <c r="C828" t="inlineStr">
        <is>
          <t>Poly Varsity Engineers 2026</t>
        </is>
      </c>
      <c r="D828" t="inlineStr">
        <is>
          <t>DGLS</t>
        </is>
      </c>
      <c r="E828" t="inlineStr">
        <is>
          <t>leonard jones</t>
        </is>
      </c>
      <c r="F828" t="n">
        <v>3</v>
      </c>
      <c r="G828" t="n">
        <v>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R828" t="n">
        <v>0</v>
      </c>
      <c r="S828" t="n">
        <v>0</v>
      </c>
      <c r="T828" t="n">
        <v>0</v>
      </c>
      <c r="U828" t="n">
        <v>0</v>
      </c>
      <c r="W828" t="n">
        <v>0</v>
      </c>
      <c r="Y828" t="inlineStr">
        <is>
          <t>E in Fielding sheet; source: box score E line</t>
        </is>
      </c>
    </row>
    <row r="829">
      <c r="A829" t="inlineStr">
        <is>
          <t>2026-03-25_DGLS_at_PLYV</t>
        </is>
      </c>
      <c r="B829" s="10" t="n">
        <v>46106</v>
      </c>
      <c r="C829" t="inlineStr">
        <is>
          <t>Poly Varsity Engineers 2026</t>
        </is>
      </c>
      <c r="D829" t="inlineStr">
        <is>
          <t>DGLS</t>
        </is>
      </c>
      <c r="E829" t="inlineStr">
        <is>
          <t>Wilner Vergel-Rivero</t>
        </is>
      </c>
      <c r="F829" t="n">
        <v>2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R829" t="n">
        <v>1</v>
      </c>
      <c r="S829" t="n">
        <v>0</v>
      </c>
      <c r="T829" t="n">
        <v>2</v>
      </c>
      <c r="U829" t="n">
        <v>0</v>
      </c>
      <c r="W829" t="n">
        <v>0</v>
      </c>
      <c r="Y829" t="inlineStr">
        <is>
          <t>Also pitches; TB=1 ✓</t>
        </is>
      </c>
    </row>
    <row r="830">
      <c r="A830" t="inlineStr">
        <is>
          <t>2026-03-25_DGLS_at_PLYV</t>
        </is>
      </c>
      <c r="B830" s="10" t="n">
        <v>46106</v>
      </c>
      <c r="C830" t="inlineStr">
        <is>
          <t>Poly Varsity Engineers 2026</t>
        </is>
      </c>
      <c r="D830" t="inlineStr">
        <is>
          <t>DGLS</t>
        </is>
      </c>
      <c r="E830" t="inlineStr">
        <is>
          <t>Nuinner Vergel-Rivero</t>
        </is>
      </c>
      <c r="F830" t="n">
        <v>2</v>
      </c>
      <c r="G830" t="n">
        <v>2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2</v>
      </c>
      <c r="R830" t="n">
        <v>0</v>
      </c>
      <c r="S830" t="n">
        <v>0</v>
      </c>
      <c r="T830" t="n">
        <v>0</v>
      </c>
      <c r="U830" t="n">
        <v>0</v>
      </c>
      <c r="W830" t="n">
        <v>0</v>
      </c>
    </row>
    <row r="831">
      <c r="A831" t="inlineStr">
        <is>
          <t>2026-03-25_DGLS_at_PLYV</t>
        </is>
      </c>
      <c r="B831" s="10" t="n">
        <v>46106</v>
      </c>
      <c r="C831" t="inlineStr">
        <is>
          <t>Poly Varsity Engineers 2026</t>
        </is>
      </c>
      <c r="D831" t="inlineStr">
        <is>
          <t>DGLS</t>
        </is>
      </c>
      <c r="E831" t="inlineStr">
        <is>
          <t>Luis Alegria Gonzalez</t>
        </is>
      </c>
      <c r="F831" t="n">
        <v>2</v>
      </c>
      <c r="G831" t="n">
        <v>2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R831" t="n">
        <v>0</v>
      </c>
      <c r="S831" t="n">
        <v>1</v>
      </c>
      <c r="T831" t="n">
        <v>1</v>
      </c>
      <c r="U831" t="n">
        <v>0</v>
      </c>
      <c r="W831" t="n">
        <v>0</v>
      </c>
      <c r="Y831" t="inlineStr">
        <is>
          <t>TB=1 ✓</t>
        </is>
      </c>
    </row>
    <row r="832">
      <c r="A832" t="inlineStr">
        <is>
          <t>2026-03-25_DGLS_at_PLYV</t>
        </is>
      </c>
      <c r="B832" s="10" t="n">
        <v>46106</v>
      </c>
      <c r="C832" t="inlineStr">
        <is>
          <t>Poly Varsity Engineers 2026</t>
        </is>
      </c>
      <c r="D832" t="inlineStr">
        <is>
          <t>DGLS</t>
        </is>
      </c>
      <c r="E832" t="inlineStr">
        <is>
          <t>Deivid Mendoza</t>
        </is>
      </c>
      <c r="F832" t="n">
        <v>2</v>
      </c>
      <c r="G832" t="n">
        <v>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</v>
      </c>
      <c r="R832" t="n">
        <v>0</v>
      </c>
      <c r="S832" t="n">
        <v>0</v>
      </c>
      <c r="T832" t="n">
        <v>0</v>
      </c>
      <c r="U832" t="n">
        <v>0</v>
      </c>
      <c r="W832" t="n">
        <v>0</v>
      </c>
      <c r="Y832" t="inlineStr">
        <is>
          <t>Also pitches</t>
        </is>
      </c>
    </row>
    <row r="833">
      <c r="A833" t="inlineStr">
        <is>
          <t>2026-03-25_DGLS_at_PLYV</t>
        </is>
      </c>
      <c r="B833" s="10" t="n">
        <v>46106</v>
      </c>
      <c r="C833" t="inlineStr">
        <is>
          <t>Poly Varsity Engineers 2026</t>
        </is>
      </c>
      <c r="D833" t="inlineStr">
        <is>
          <t>DGLS</t>
        </is>
      </c>
      <c r="E833" t="inlineStr">
        <is>
          <t>Peyton-Antonio White</t>
        </is>
      </c>
      <c r="F833" t="n">
        <v>2</v>
      </c>
      <c r="G833" t="n">
        <v>2</v>
      </c>
      <c r="H833" t="n">
        <v>1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R833" t="n">
        <v>0</v>
      </c>
      <c r="S833" t="n">
        <v>0</v>
      </c>
      <c r="T833" t="n">
        <v>0</v>
      </c>
      <c r="U833" t="n">
        <v>0</v>
      </c>
      <c r="W833" t="n">
        <v>0</v>
      </c>
      <c r="Y833" t="inlineStr">
        <is>
          <t>TB=1 ✓</t>
        </is>
      </c>
    </row>
    <row r="834">
      <c r="A834" t="inlineStr">
        <is>
          <t>2026-03-25_DGLS_at_PLYV</t>
        </is>
      </c>
      <c r="B834" s="10" t="n">
        <v>46106</v>
      </c>
      <c r="C834" t="inlineStr">
        <is>
          <t>Poly Varsity Engineers 2026</t>
        </is>
      </c>
      <c r="D834" t="inlineStr">
        <is>
          <t>DGLS</t>
        </is>
      </c>
      <c r="E834" t="inlineStr">
        <is>
          <t>Isaac Montufar Reyes</t>
        </is>
      </c>
      <c r="F834" t="n">
        <v>2</v>
      </c>
      <c r="G834" t="n">
        <v>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  <c r="R834" t="n">
        <v>0</v>
      </c>
      <c r="S834" t="n">
        <v>0</v>
      </c>
      <c r="T834" t="n">
        <v>0</v>
      </c>
      <c r="U834" t="n">
        <v>0</v>
      </c>
      <c r="W834" t="n">
        <v>0</v>
      </c>
      <c r="Y834" t="inlineStr">
        <is>
          <t>Also pitches; E in Fielding sheet</t>
        </is>
      </c>
    </row>
    <row r="835">
      <c r="A835" t="inlineStr">
        <is>
          <t>2026-03-25_DGLS_at_PLYV</t>
        </is>
      </c>
      <c r="B835" s="10" t="n">
        <v>46106</v>
      </c>
      <c r="C835" t="inlineStr">
        <is>
          <t>Poly Varsity Engineers 2026</t>
        </is>
      </c>
      <c r="D835" t="inlineStr">
        <is>
          <t>DGLS</t>
        </is>
      </c>
      <c r="E835" t="inlineStr">
        <is>
          <t>Marquise Hernandez</t>
        </is>
      </c>
      <c r="F835" t="n">
        <v>2</v>
      </c>
      <c r="G835" t="n">
        <v>2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  <c r="R835" t="n">
        <v>0</v>
      </c>
      <c r="S835" t="n">
        <v>0</v>
      </c>
      <c r="T835" t="n">
        <v>0</v>
      </c>
      <c r="U835" t="n">
        <v>0</v>
      </c>
      <c r="W835" t="n">
        <v>0</v>
      </c>
    </row>
    <row r="836">
      <c r="A836" t="inlineStr">
        <is>
          <t>2026-03-25_DGLS_at_PLYV</t>
        </is>
      </c>
      <c r="B836" s="10" t="n">
        <v>46106</v>
      </c>
      <c r="C836" t="inlineStr">
        <is>
          <t>Poly Varsity Engineers 2026</t>
        </is>
      </c>
      <c r="D836" t="inlineStr">
        <is>
          <t>DGLS</t>
        </is>
      </c>
      <c r="E836" t="inlineStr">
        <is>
          <t>Nehemiah Ford</t>
        </is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R836" t="n">
        <v>0</v>
      </c>
      <c r="S836" t="n">
        <v>0</v>
      </c>
      <c r="T836" t="n">
        <v>0</v>
      </c>
      <c r="U836" t="n">
        <v>0</v>
      </c>
      <c r="W836" t="n">
        <v>0</v>
      </c>
    </row>
    <row r="837">
      <c r="A837" t="inlineStr">
        <is>
          <t>2026-03-27_FRST_at_PLYV</t>
        </is>
      </c>
      <c r="B837" s="10" t="n">
        <v>46108</v>
      </c>
      <c r="C837" t="inlineStr">
        <is>
          <t>Forest Park Varsity Foresters</t>
        </is>
      </c>
      <c r="D837" t="inlineStr">
        <is>
          <t>PLYV</t>
        </is>
      </c>
      <c r="E837" t="inlineStr">
        <is>
          <t>Julian Robin</t>
        </is>
      </c>
      <c r="F837" t="n">
        <v>3</v>
      </c>
      <c r="G837" t="n">
        <v>3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R837" t="n">
        <v>2</v>
      </c>
      <c r="S837" t="n">
        <v>0</v>
      </c>
      <c r="T837" t="n">
        <v>0</v>
      </c>
      <c r="U837" t="n">
        <v>0</v>
      </c>
      <c r="W837" t="n">
        <v>0</v>
      </c>
      <c r="Y837" t="inlineStr">
        <is>
          <t>TB=1 ✓</t>
        </is>
      </c>
    </row>
    <row r="838">
      <c r="A838" t="inlineStr">
        <is>
          <t>2026-03-27_FRST_at_PLYV</t>
        </is>
      </c>
      <c r="B838" s="10" t="n">
        <v>46108</v>
      </c>
      <c r="C838" t="inlineStr">
        <is>
          <t>Forest Park Varsity Foresters</t>
        </is>
      </c>
      <c r="D838" t="inlineStr">
        <is>
          <t>PLYV</t>
        </is>
      </c>
      <c r="E838" t="inlineStr">
        <is>
          <t>Kaden Wooden</t>
        </is>
      </c>
      <c r="F838" t="n">
        <v>3</v>
      </c>
      <c r="G838" t="n">
        <v>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R838" t="n">
        <v>1</v>
      </c>
      <c r="S838" t="n">
        <v>0</v>
      </c>
      <c r="T838" t="n">
        <v>0</v>
      </c>
      <c r="U838" t="n">
        <v>0</v>
      </c>
      <c r="W838" t="n">
        <v>0</v>
      </c>
      <c r="Y838" t="inlineStr">
        <is>
          <t>HBP; TB=0 ✓</t>
        </is>
      </c>
    </row>
    <row r="839">
      <c r="A839" t="inlineStr">
        <is>
          <t>2026-03-27_FRST_at_PLYV</t>
        </is>
      </c>
      <c r="B839" s="10" t="n">
        <v>46108</v>
      </c>
      <c r="C839" t="inlineStr">
        <is>
          <t>Forest Park Varsity Foresters</t>
        </is>
      </c>
      <c r="D839" t="inlineStr">
        <is>
          <t>PLYV</t>
        </is>
      </c>
      <c r="E839" t="inlineStr">
        <is>
          <t>Ian Dickensheets</t>
        </is>
      </c>
      <c r="F839" t="n">
        <v>5</v>
      </c>
      <c r="G839" t="n">
        <v>3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2</v>
      </c>
      <c r="N839" t="n">
        <v>0</v>
      </c>
      <c r="O839" t="n">
        <v>0</v>
      </c>
      <c r="R839" t="n">
        <v>3</v>
      </c>
      <c r="S839" t="n">
        <v>2</v>
      </c>
      <c r="T839" t="n">
        <v>2</v>
      </c>
      <c r="U839" t="n">
        <v>0</v>
      </c>
      <c r="W839" t="n">
        <v>0</v>
      </c>
      <c r="Y839" t="inlineStr">
        <is>
          <t>SB=2; TB=1 ✓</t>
        </is>
      </c>
    </row>
    <row r="840">
      <c r="A840" t="inlineStr">
        <is>
          <t>2026-03-27_FRST_at_PLYV</t>
        </is>
      </c>
      <c r="B840" s="10" t="n">
        <v>46108</v>
      </c>
      <c r="C840" t="inlineStr">
        <is>
          <t>Forest Park Varsity Foresters</t>
        </is>
      </c>
      <c r="D840" t="inlineStr">
        <is>
          <t>PLYV</t>
        </is>
      </c>
      <c r="E840" t="inlineStr">
        <is>
          <t>Coleman Bryant</t>
        </is>
      </c>
      <c r="F840" t="n">
        <v>3</v>
      </c>
      <c r="G840" t="n">
        <v>3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R840" t="n">
        <v>1</v>
      </c>
      <c r="S840" t="n">
        <v>1</v>
      </c>
      <c r="T840" t="n">
        <v>0</v>
      </c>
      <c r="U840" t="n">
        <v>0</v>
      </c>
      <c r="W840" t="n">
        <v>0</v>
      </c>
      <c r="Y840" t="inlineStr">
        <is>
          <t>TB=1 ✓</t>
        </is>
      </c>
    </row>
    <row r="841">
      <c r="A841" t="inlineStr">
        <is>
          <t>2026-03-27_FRST_at_PLYV</t>
        </is>
      </c>
      <c r="B841" s="10" t="n">
        <v>46108</v>
      </c>
      <c r="C841" t="inlineStr">
        <is>
          <t>Forest Park Varsity Foresters</t>
        </is>
      </c>
      <c r="D841" t="inlineStr">
        <is>
          <t>PLYV</t>
        </is>
      </c>
      <c r="E841" t="inlineStr">
        <is>
          <t>Kai Ely</t>
        </is>
      </c>
      <c r="F841" t="n">
        <v>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R841" t="n">
        <v>1</v>
      </c>
      <c r="S841" t="n">
        <v>1</v>
      </c>
      <c r="T841" t="n">
        <v>0</v>
      </c>
      <c r="U841" t="n">
        <v>0</v>
      </c>
      <c r="W841" t="n">
        <v>0</v>
      </c>
      <c r="Y841" t="inlineStr">
        <is>
          <t>SF; PA = BB+SF=2</t>
        </is>
      </c>
    </row>
    <row r="842">
      <c r="A842" t="inlineStr">
        <is>
          <t>2026-03-27_FRST_at_PLYV</t>
        </is>
      </c>
      <c r="B842" s="10" t="n">
        <v>46108</v>
      </c>
      <c r="C842" t="inlineStr">
        <is>
          <t>Forest Park Varsity Foresters</t>
        </is>
      </c>
      <c r="D842" t="inlineStr">
        <is>
          <t>PLYV</t>
        </is>
      </c>
      <c r="E842" t="inlineStr">
        <is>
          <t>Roman Girardi</t>
        </is>
      </c>
      <c r="F842" t="n">
        <v>5</v>
      </c>
      <c r="G842" t="n">
        <v>3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n">
        <v>2</v>
      </c>
      <c r="N842" t="n">
        <v>0</v>
      </c>
      <c r="O842" t="n">
        <v>0</v>
      </c>
      <c r="R842" t="n">
        <v>3</v>
      </c>
      <c r="S842" t="n">
        <v>1</v>
      </c>
      <c r="T842" t="n">
        <v>0</v>
      </c>
      <c r="U842" t="n">
        <v>0</v>
      </c>
      <c r="W842" t="n">
        <v>0</v>
      </c>
      <c r="Y842" t="inlineStr">
        <is>
          <t>TB=2 ✓</t>
        </is>
      </c>
    </row>
    <row r="843">
      <c r="A843" t="inlineStr">
        <is>
          <t>2026-03-27_FRST_at_PLYV</t>
        </is>
      </c>
      <c r="B843" s="10" t="n">
        <v>46108</v>
      </c>
      <c r="C843" t="inlineStr">
        <is>
          <t>Forest Park Varsity Foresters</t>
        </is>
      </c>
      <c r="D843" t="inlineStr">
        <is>
          <t>PLYV</t>
        </is>
      </c>
      <c r="E843" t="inlineStr">
        <is>
          <t>Zachariah Lawrence</t>
        </is>
      </c>
      <c r="F843" t="n">
        <v>5</v>
      </c>
      <c r="G843" t="n">
        <v>3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2</v>
      </c>
      <c r="N843" t="n">
        <v>0</v>
      </c>
      <c r="O843" t="n">
        <v>2</v>
      </c>
      <c r="R843" t="n">
        <v>3</v>
      </c>
      <c r="S843" t="n">
        <v>1</v>
      </c>
      <c r="T843" t="n">
        <v>1</v>
      </c>
      <c r="U843" t="n">
        <v>0</v>
      </c>
      <c r="W843" t="n">
        <v>0</v>
      </c>
      <c r="Y843" t="inlineStr">
        <is>
          <t>SB=1; TB=0 ✓</t>
        </is>
      </c>
    </row>
    <row r="844">
      <c r="A844" t="inlineStr">
        <is>
          <t>2026-03-27_FRST_at_PLYV</t>
        </is>
      </c>
      <c r="B844" s="10" t="n">
        <v>46108</v>
      </c>
      <c r="C844" t="inlineStr">
        <is>
          <t>Forest Park Varsity Foresters</t>
        </is>
      </c>
      <c r="D844" t="inlineStr">
        <is>
          <t>PLYV</t>
        </is>
      </c>
      <c r="E844" t="inlineStr">
        <is>
          <t>Hayden Flipovitz</t>
        </is>
      </c>
      <c r="F844" t="n">
        <v>5</v>
      </c>
      <c r="G844" t="n">
        <v>4</v>
      </c>
      <c r="H844" t="n">
        <v>2</v>
      </c>
      <c r="I844" t="n">
        <v>2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R844" t="n">
        <v>0</v>
      </c>
      <c r="S844" t="n">
        <v>4</v>
      </c>
      <c r="T844" t="n">
        <v>0</v>
      </c>
      <c r="U844" t="n">
        <v>0</v>
      </c>
      <c r="W844" t="n">
        <v>0</v>
      </c>
      <c r="Y844" t="inlineStr">
        <is>
          <t>TB=2 ✓</t>
        </is>
      </c>
    </row>
    <row r="845">
      <c r="A845" t="inlineStr">
        <is>
          <t>2026-03-27_FRST_at_PLYV</t>
        </is>
      </c>
      <c r="B845" s="10" t="n">
        <v>46108</v>
      </c>
      <c r="C845" t="inlineStr">
        <is>
          <t>Forest Park Varsity Foresters</t>
        </is>
      </c>
      <c r="D845" t="inlineStr">
        <is>
          <t>PLYV</t>
        </is>
      </c>
      <c r="E845" t="inlineStr">
        <is>
          <t>Kingston Antonio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R845" t="n">
        <v>1</v>
      </c>
      <c r="S845" t="n">
        <v>0</v>
      </c>
      <c r="T845" t="n">
        <v>0</v>
      </c>
      <c r="U845" t="n">
        <v>0</v>
      </c>
      <c r="W845" t="n">
        <v>0</v>
      </c>
      <c r="Y845" t="inlineStr">
        <is>
          <t>Zero PA; also pitches</t>
        </is>
      </c>
    </row>
    <row r="846">
      <c r="A846" t="inlineStr">
        <is>
          <t>2026-03-27_FRST_at_PLYV</t>
        </is>
      </c>
      <c r="B846" s="10" t="n">
        <v>46108</v>
      </c>
      <c r="C846" t="inlineStr">
        <is>
          <t>Forest Park Varsity Foresters</t>
        </is>
      </c>
      <c r="D846" t="inlineStr">
        <is>
          <t>PLYV</t>
        </is>
      </c>
      <c r="E846" t="inlineStr">
        <is>
          <t>Ashton Hill</t>
        </is>
      </c>
      <c r="F846" t="n">
        <v>5</v>
      </c>
      <c r="G846" t="n">
        <v>3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2</v>
      </c>
      <c r="N846" t="n">
        <v>0</v>
      </c>
      <c r="O846" t="n">
        <v>0</v>
      </c>
      <c r="R846" t="n">
        <v>3</v>
      </c>
      <c r="S846" t="n">
        <v>0</v>
      </c>
      <c r="T846" t="n">
        <v>0</v>
      </c>
      <c r="U846" t="n">
        <v>0</v>
      </c>
      <c r="W846" t="n">
        <v>0</v>
      </c>
      <c r="Y846" t="inlineStr">
        <is>
          <t>TB=1 ✓</t>
        </is>
      </c>
    </row>
    <row r="847">
      <c r="A847" t="inlineStr">
        <is>
          <t>2026-03-27_FRST_at_PLYV</t>
        </is>
      </c>
      <c r="B847" s="10" t="n">
        <v>46108</v>
      </c>
      <c r="C847" t="inlineStr">
        <is>
          <t>Forest Park Varsity Foresters</t>
        </is>
      </c>
      <c r="D847" t="inlineStr">
        <is>
          <t>PLYV</t>
        </is>
      </c>
      <c r="E847" t="inlineStr">
        <is>
          <t>Max Freeman</t>
        </is>
      </c>
      <c r="F847" t="n">
        <v>5</v>
      </c>
      <c r="G847" t="n">
        <v>3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n">
        <v>2</v>
      </c>
      <c r="N847" t="n">
        <v>0</v>
      </c>
      <c r="O847" t="n">
        <v>0</v>
      </c>
      <c r="R847" t="n">
        <v>4</v>
      </c>
      <c r="S847" t="n">
        <v>3</v>
      </c>
      <c r="T847" t="n">
        <v>0</v>
      </c>
      <c r="U847" t="n">
        <v>0</v>
      </c>
      <c r="W847" t="n">
        <v>0</v>
      </c>
      <c r="Y847" t="inlineStr">
        <is>
          <t>TB=2 ✓</t>
        </is>
      </c>
    </row>
    <row r="848">
      <c r="A848" t="inlineStr">
        <is>
          <t>2026-03-27_FRST_at_PLYV</t>
        </is>
      </c>
      <c r="B848" s="10" t="n">
        <v>46108</v>
      </c>
      <c r="C848" t="inlineStr">
        <is>
          <t>Forest Park Varsity Foresters</t>
        </is>
      </c>
      <c r="D848" t="inlineStr">
        <is>
          <t>PLYV</t>
        </is>
      </c>
      <c r="E848" t="inlineStr">
        <is>
          <t>Joshua Tyree</t>
        </is>
      </c>
      <c r="F848" t="n">
        <v>5</v>
      </c>
      <c r="G848" t="n">
        <v>5</v>
      </c>
      <c r="H848" t="n">
        <v>3</v>
      </c>
      <c r="I848" t="n">
        <v>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R848" t="n">
        <v>2</v>
      </c>
      <c r="S848" t="n">
        <v>2</v>
      </c>
      <c r="T848" t="n">
        <v>0</v>
      </c>
      <c r="U848" t="n">
        <v>0</v>
      </c>
      <c r="W848" t="n">
        <v>0</v>
      </c>
      <c r="Y848" t="inlineStr">
        <is>
          <t>TB=3 ✓</t>
        </is>
      </c>
    </row>
    <row r="849">
      <c r="A849" t="inlineStr">
        <is>
          <t>2026-03-27_FRST_at_PLYV</t>
        </is>
      </c>
      <c r="B849" s="10" t="n">
        <v>46108</v>
      </c>
      <c r="C849" t="inlineStr">
        <is>
          <t>Poly Varsity Engineers 2026</t>
        </is>
      </c>
      <c r="D849" t="inlineStr">
        <is>
          <t>FRST</t>
        </is>
      </c>
      <c r="E849" t="inlineStr">
        <is>
          <t>Timpson</t>
        </is>
      </c>
      <c r="F849" t="n">
        <v>2</v>
      </c>
      <c r="G849" t="n">
        <v>2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</v>
      </c>
      <c r="R849" t="n">
        <v>0</v>
      </c>
      <c r="S849" t="n">
        <v>0</v>
      </c>
      <c r="T849" t="n">
        <v>0</v>
      </c>
      <c r="U849" t="n">
        <v>0</v>
      </c>
      <c r="W849" t="n">
        <v>0</v>
      </c>
    </row>
    <row r="850">
      <c r="A850" t="inlineStr">
        <is>
          <t>2026-03-27_FRST_at_PLYV</t>
        </is>
      </c>
      <c r="B850" s="10" t="n">
        <v>46108</v>
      </c>
      <c r="C850" t="inlineStr">
        <is>
          <t>Poly Varsity Engineers 2026</t>
        </is>
      </c>
      <c r="D850" t="inlineStr">
        <is>
          <t>FRST</t>
        </is>
      </c>
      <c r="E850" t="inlineStr">
        <is>
          <t>Grant</t>
        </is>
      </c>
      <c r="F850" t="n">
        <v>2</v>
      </c>
      <c r="G850" t="n">
        <v>2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  <c r="R850" t="n">
        <v>0</v>
      </c>
      <c r="S850" t="n">
        <v>0</v>
      </c>
      <c r="T850" t="n">
        <v>0</v>
      </c>
      <c r="U850" t="n">
        <v>0</v>
      </c>
      <c r="W850" t="n">
        <v>0</v>
      </c>
    </row>
    <row r="851">
      <c r="A851" t="inlineStr">
        <is>
          <t>2026-03-27_FRST_at_PLYV</t>
        </is>
      </c>
      <c r="B851" s="10" t="n">
        <v>46108</v>
      </c>
      <c r="C851" t="inlineStr">
        <is>
          <t>Poly Varsity Engineers 2026</t>
        </is>
      </c>
      <c r="D851" t="inlineStr">
        <is>
          <t>FRST</t>
        </is>
      </c>
      <c r="E851" t="inlineStr">
        <is>
          <t>Lucas</t>
        </is>
      </c>
      <c r="F851" t="n">
        <v>2</v>
      </c>
      <c r="G851" t="n">
        <v>2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  <c r="R851" t="n">
        <v>0</v>
      </c>
      <c r="S851" t="n">
        <v>0</v>
      </c>
      <c r="T851" t="n">
        <v>0</v>
      </c>
      <c r="U851" t="n">
        <v>0</v>
      </c>
      <c r="W851" t="n">
        <v>0</v>
      </c>
    </row>
    <row r="852">
      <c r="A852" t="inlineStr">
        <is>
          <t>2026-03-27_FRST_at_PLYV</t>
        </is>
      </c>
      <c r="B852" s="10" t="n">
        <v>46108</v>
      </c>
      <c r="C852" t="inlineStr">
        <is>
          <t>Poly Varsity Engineers 2026</t>
        </is>
      </c>
      <c r="D852" t="inlineStr">
        <is>
          <t>FRST</t>
        </is>
      </c>
      <c r="E852" t="inlineStr">
        <is>
          <t>Bostic</t>
        </is>
      </c>
      <c r="F852" t="n">
        <v>2</v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R852" t="n">
        <v>0</v>
      </c>
      <c r="S852" t="n">
        <v>0</v>
      </c>
      <c r="T852" t="n">
        <v>0</v>
      </c>
      <c r="U852" t="n">
        <v>0</v>
      </c>
      <c r="W852" t="n">
        <v>0</v>
      </c>
      <c r="Y852" t="inlineStr">
        <is>
          <t>E in Fielding; source: box score E line</t>
        </is>
      </c>
    </row>
    <row r="853">
      <c r="A853" t="inlineStr">
        <is>
          <t>2026-03-27_FRST_at_PLYV</t>
        </is>
      </c>
      <c r="B853" s="10" t="n">
        <v>46108</v>
      </c>
      <c r="C853" t="inlineStr">
        <is>
          <t>Poly Varsity Engineers 2026</t>
        </is>
      </c>
      <c r="D853" t="inlineStr">
        <is>
          <t>FRST</t>
        </is>
      </c>
      <c r="E853" t="inlineStr">
        <is>
          <t>Riddick</t>
        </is>
      </c>
      <c r="F853" t="n">
        <v>2</v>
      </c>
      <c r="G853" t="n">
        <v>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</v>
      </c>
      <c r="R853" t="n">
        <v>0</v>
      </c>
      <c r="S853" t="n">
        <v>0</v>
      </c>
      <c r="T853" t="n">
        <v>0</v>
      </c>
      <c r="U853" t="n">
        <v>0</v>
      </c>
      <c r="W853" t="n">
        <v>0</v>
      </c>
      <c r="Y853" t="inlineStr">
        <is>
          <t>Also pitches; E in Fielding x3</t>
        </is>
      </c>
    </row>
    <row r="854">
      <c r="A854" t="inlineStr">
        <is>
          <t>2026-03-27_FRST_at_PLYV</t>
        </is>
      </c>
      <c r="B854" s="10" t="n">
        <v>46108</v>
      </c>
      <c r="C854" t="inlineStr">
        <is>
          <t>Poly Varsity Engineers 2026</t>
        </is>
      </c>
      <c r="D854" t="inlineStr">
        <is>
          <t>FRST</t>
        </is>
      </c>
      <c r="E854" t="inlineStr">
        <is>
          <t>Jones</t>
        </is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R854" t="n">
        <v>0</v>
      </c>
      <c r="S854" t="n">
        <v>0</v>
      </c>
      <c r="T854" t="n">
        <v>0</v>
      </c>
      <c r="U854" t="n">
        <v>0</v>
      </c>
      <c r="W854" t="n">
        <v>0</v>
      </c>
      <c r="Y854" t="inlineStr">
        <is>
          <t>E in Fielding; source: box score E line</t>
        </is>
      </c>
    </row>
    <row r="855">
      <c r="A855" t="inlineStr">
        <is>
          <t>2026-03-27_FRST_at_PLYV</t>
        </is>
      </c>
      <c r="B855" s="10" t="n">
        <v>46108</v>
      </c>
      <c r="C855" t="inlineStr">
        <is>
          <t>Poly Varsity Engineers 2026</t>
        </is>
      </c>
      <c r="D855" t="inlineStr">
        <is>
          <t>FRST</t>
        </is>
      </c>
      <c r="E855" t="inlineStr">
        <is>
          <t>Wallington</t>
        </is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R855" t="n">
        <v>0</v>
      </c>
      <c r="S855" t="n">
        <v>0</v>
      </c>
      <c r="T855" t="n">
        <v>0</v>
      </c>
      <c r="U855" t="n">
        <v>0</v>
      </c>
      <c r="W855" t="n">
        <v>0</v>
      </c>
    </row>
    <row r="856">
      <c r="A856" t="inlineStr">
        <is>
          <t>2026-03-27_FRST_at_PLYV</t>
        </is>
      </c>
      <c r="B856" s="10" t="n">
        <v>46108</v>
      </c>
      <c r="C856" t="inlineStr">
        <is>
          <t>Poly Varsity Engineers 2026</t>
        </is>
      </c>
      <c r="D856" t="inlineStr">
        <is>
          <t>FRST</t>
        </is>
      </c>
      <c r="E856" t="inlineStr">
        <is>
          <t>Askew</t>
        </is>
      </c>
      <c r="F856" t="n">
        <v>2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2</v>
      </c>
      <c r="N856" t="n">
        <v>0</v>
      </c>
      <c r="O856" t="n">
        <v>0</v>
      </c>
      <c r="R856" t="n">
        <v>0</v>
      </c>
      <c r="S856" t="n">
        <v>0</v>
      </c>
      <c r="T856" t="n">
        <v>2</v>
      </c>
      <c r="U856" t="n">
        <v>0</v>
      </c>
      <c r="W856" t="n">
        <v>0</v>
      </c>
      <c r="Y856" t="inlineStr">
        <is>
          <t>SB=2; reached via BB x2</t>
        </is>
      </c>
    </row>
    <row r="857">
      <c r="A857" t="inlineStr">
        <is>
          <t>2026-03-27_FRST_at_PLYV</t>
        </is>
      </c>
      <c r="B857" s="10" t="n">
        <v>46108</v>
      </c>
      <c r="C857" t="inlineStr">
        <is>
          <t>Poly Varsity Engineers 2026</t>
        </is>
      </c>
      <c r="D857" t="inlineStr">
        <is>
          <t>FRST</t>
        </is>
      </c>
      <c r="E857" t="inlineStr">
        <is>
          <t>Moore</t>
        </is>
      </c>
      <c r="F857" t="n">
        <v>2</v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</v>
      </c>
      <c r="R857" t="n">
        <v>0</v>
      </c>
      <c r="S857" t="n">
        <v>0</v>
      </c>
      <c r="T857" t="n">
        <v>0</v>
      </c>
      <c r="U857" t="n">
        <v>0</v>
      </c>
      <c r="W857" t="n">
        <v>0</v>
      </c>
      <c r="Y857" t="inlineStr">
        <is>
          <t>E in Fielding; source: box score E line</t>
        </is>
      </c>
    </row>
    <row r="858">
      <c r="A858" t="inlineStr">
        <is>
          <t>2026-03-27_FRST_at_PLYV</t>
        </is>
      </c>
      <c r="B858" s="10" t="n">
        <v>46108</v>
      </c>
      <c r="C858" t="inlineStr">
        <is>
          <t>Poly Varsity Engineers 2026</t>
        </is>
      </c>
      <c r="D858" t="inlineStr">
        <is>
          <t>FRST</t>
        </is>
      </c>
      <c r="E858" t="inlineStr">
        <is>
          <t>Laboo</t>
        </is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R858" t="n">
        <v>0</v>
      </c>
      <c r="S858" t="n">
        <v>0</v>
      </c>
      <c r="T858" t="n">
        <v>0</v>
      </c>
      <c r="U858" t="n">
        <v>0</v>
      </c>
      <c r="W858" t="n">
        <v>0</v>
      </c>
      <c r="Y858" t="inlineStr">
        <is>
          <t>Also pitches; E in Fielding x2</t>
        </is>
      </c>
    </row>
    <row r="859">
      <c r="A859" t="inlineStr">
        <is>
          <t>2026-04-04_PLYV_at_ESTR</t>
        </is>
      </c>
      <c r="B859" s="10" t="n">
        <v>46116</v>
      </c>
      <c r="C859" t="inlineStr">
        <is>
          <t>Poly Varsity Engineers 2026</t>
        </is>
      </c>
      <c r="D859" t="inlineStr">
        <is>
          <t>ESTR</t>
        </is>
      </c>
      <c r="E859" t="inlineStr">
        <is>
          <t>Rob Peterson</t>
        </is>
      </c>
      <c r="F859" t="n">
        <v>4</v>
      </c>
      <c r="G859" t="n">
        <v>3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R859" t="n">
        <v>2</v>
      </c>
      <c r="S859" t="n">
        <v>0</v>
      </c>
      <c r="T859" t="n">
        <v>0</v>
      </c>
      <c r="U859" t="n">
        <v>0</v>
      </c>
      <c r="W859" t="n">
        <v>0</v>
      </c>
    </row>
    <row r="860">
      <c r="A860" t="inlineStr">
        <is>
          <t>2026-04-04_PLYV_at_ESTR</t>
        </is>
      </c>
      <c r="B860" s="10" t="n">
        <v>46116</v>
      </c>
      <c r="C860" t="inlineStr">
        <is>
          <t>Poly Varsity Engineers 2026</t>
        </is>
      </c>
      <c r="D860" t="inlineStr">
        <is>
          <t>ESTR</t>
        </is>
      </c>
      <c r="E860" t="inlineStr">
        <is>
          <t>Isaac Strittmatter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R860" t="n">
        <v>0</v>
      </c>
      <c r="S860" t="n">
        <v>0</v>
      </c>
      <c r="T860" t="n">
        <v>0</v>
      </c>
      <c r="U860" t="n">
        <v>0</v>
      </c>
      <c r="W860" t="n">
        <v>0</v>
      </c>
      <c r="Y860" t="inlineStr">
        <is>
          <t>Zero PA</t>
        </is>
      </c>
    </row>
    <row r="861">
      <c r="A861" t="inlineStr">
        <is>
          <t>2026-04-04_PLYV_at_ESTR</t>
        </is>
      </c>
      <c r="B861" s="10" t="n">
        <v>46116</v>
      </c>
      <c r="C861" t="inlineStr">
        <is>
          <t>Poly Varsity Engineers 2026</t>
        </is>
      </c>
      <c r="D861" t="inlineStr">
        <is>
          <t>ESTR</t>
        </is>
      </c>
      <c r="E861" t="inlineStr">
        <is>
          <t>Kingston Lawrence</t>
        </is>
      </c>
      <c r="F861" t="n">
        <v>4</v>
      </c>
      <c r="G861" t="n">
        <v>2</v>
      </c>
      <c r="H861" t="n">
        <v>2</v>
      </c>
      <c r="I861" t="n">
        <v>1</v>
      </c>
      <c r="J861" t="n">
        <v>1</v>
      </c>
      <c r="K861" t="n">
        <v>0</v>
      </c>
      <c r="L861" t="n">
        <v>0</v>
      </c>
      <c r="M861" t="n">
        <v>2</v>
      </c>
      <c r="N861" t="n">
        <v>0</v>
      </c>
      <c r="O861" t="n">
        <v>0</v>
      </c>
      <c r="R861" t="n">
        <v>2</v>
      </c>
      <c r="S861" t="n">
        <v>0</v>
      </c>
      <c r="T861" t="n">
        <v>0</v>
      </c>
      <c r="U861" t="n">
        <v>0</v>
      </c>
      <c r="W861" t="n">
        <v>0</v>
      </c>
      <c r="Y861" t="inlineStr">
        <is>
          <t>2B; also pitches; TB=3 ✓</t>
        </is>
      </c>
    </row>
    <row r="862">
      <c r="A862" t="inlineStr">
        <is>
          <t>2026-04-04_PLYV_at_ESTR</t>
        </is>
      </c>
      <c r="B862" s="10" t="n">
        <v>46116</v>
      </c>
      <c r="C862" t="inlineStr">
        <is>
          <t>Poly Varsity Engineers 2026</t>
        </is>
      </c>
      <c r="D862" t="inlineStr">
        <is>
          <t>ESTR</t>
        </is>
      </c>
      <c r="E862" t="inlineStr">
        <is>
          <t>Nico Smith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R862" t="n">
        <v>1</v>
      </c>
      <c r="S862" t="n">
        <v>0</v>
      </c>
      <c r="T862" t="n">
        <v>0</v>
      </c>
      <c r="U862" t="n">
        <v>0</v>
      </c>
      <c r="W862" t="n">
        <v>0</v>
      </c>
      <c r="Y862" t="inlineStr">
        <is>
          <t>Zero PA</t>
        </is>
      </c>
    </row>
    <row r="863">
      <c r="A863" t="inlineStr">
        <is>
          <t>2026-04-04_PLYV_at_ESTR</t>
        </is>
      </c>
      <c r="B863" s="10" t="n">
        <v>46116</v>
      </c>
      <c r="C863" t="inlineStr">
        <is>
          <t>Poly Varsity Engineers 2026</t>
        </is>
      </c>
      <c r="D863" t="inlineStr">
        <is>
          <t>ESTR</t>
        </is>
      </c>
      <c r="E863" t="inlineStr">
        <is>
          <t>Mason Glatt</t>
        </is>
      </c>
      <c r="F863" t="n">
        <v>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4</v>
      </c>
      <c r="N863" t="n">
        <v>0</v>
      </c>
      <c r="O863" t="n">
        <v>0</v>
      </c>
      <c r="R863" t="n">
        <v>1</v>
      </c>
      <c r="S863" t="n">
        <v>1</v>
      </c>
      <c r="T863" t="n">
        <v>0</v>
      </c>
      <c r="U863" t="n">
        <v>0</v>
      </c>
      <c r="W863" t="n">
        <v>0</v>
      </c>
      <c r="Y863" t="inlineStr">
        <is>
          <t>All BB; also pitches; RBI via bases-loaded walk</t>
        </is>
      </c>
    </row>
    <row r="864">
      <c r="A864" t="inlineStr">
        <is>
          <t>2026-04-04_PLYV_at_ESTR</t>
        </is>
      </c>
      <c r="B864" s="10" t="n">
        <v>46116</v>
      </c>
      <c r="C864" t="inlineStr">
        <is>
          <t>Poly Varsity Engineers 2026</t>
        </is>
      </c>
      <c r="D864" t="inlineStr">
        <is>
          <t>ESTR</t>
        </is>
      </c>
      <c r="E864" t="inlineStr">
        <is>
          <t>Paul Hester</t>
        </is>
      </c>
      <c r="F864" t="n">
        <v>4</v>
      </c>
      <c r="G864" t="n">
        <v>4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R864" t="n">
        <v>0</v>
      </c>
      <c r="S864" t="n">
        <v>3</v>
      </c>
      <c r="T864" t="n">
        <v>0</v>
      </c>
      <c r="U864" t="n">
        <v>0</v>
      </c>
      <c r="W864" t="n">
        <v>0</v>
      </c>
      <c r="Y864" t="inlineStr">
        <is>
          <t>2B; TB=2 ✓</t>
        </is>
      </c>
    </row>
    <row r="865">
      <c r="A865" t="inlineStr">
        <is>
          <t>2026-04-04_PLYV_at_ESTR</t>
        </is>
      </c>
      <c r="B865" s="10" t="n">
        <v>46116</v>
      </c>
      <c r="C865" t="inlineStr">
        <is>
          <t>Poly Varsity Engineers 2026</t>
        </is>
      </c>
      <c r="D865" t="inlineStr">
        <is>
          <t>ESTR</t>
        </is>
      </c>
      <c r="E865" t="inlineStr">
        <is>
          <t>Brody Evans</t>
        </is>
      </c>
      <c r="F865" t="n">
        <v>4</v>
      </c>
      <c r="G865" t="n">
        <v>3</v>
      </c>
      <c r="H865" t="n">
        <v>2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R865" t="n">
        <v>1</v>
      </c>
      <c r="S865" t="n">
        <v>2</v>
      </c>
      <c r="T865" t="n">
        <v>0</v>
      </c>
      <c r="U865" t="n">
        <v>0</v>
      </c>
      <c r="W865" t="n">
        <v>1</v>
      </c>
      <c r="Y865" t="inlineStr">
        <is>
          <t>3B+SF; TB=4 ✓; SF not AB</t>
        </is>
      </c>
    </row>
    <row r="866">
      <c r="A866" t="inlineStr">
        <is>
          <t>2026-04-04_PLYV_at_ESTR</t>
        </is>
      </c>
      <c r="B866" s="10" t="n">
        <v>46116</v>
      </c>
      <c r="C866" t="inlineStr">
        <is>
          <t>Poly Varsity Engineers 2026</t>
        </is>
      </c>
      <c r="D866" t="inlineStr">
        <is>
          <t>ESTR</t>
        </is>
      </c>
      <c r="E866" t="inlineStr">
        <is>
          <t>Logan Hickman</t>
        </is>
      </c>
      <c r="F866" t="n">
        <v>4</v>
      </c>
      <c r="G866" t="n">
        <v>3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R866" t="n">
        <v>0</v>
      </c>
      <c r="S866" t="n">
        <v>0</v>
      </c>
      <c r="T866" t="n">
        <v>1</v>
      </c>
      <c r="U866" t="n">
        <v>0</v>
      </c>
      <c r="W866" t="n">
        <v>0</v>
      </c>
      <c r="Y866" t="inlineStr">
        <is>
          <t>SB=1</t>
        </is>
      </c>
    </row>
    <row r="867">
      <c r="A867" t="inlineStr">
        <is>
          <t>2026-04-04_PLYV_at_ESTR</t>
        </is>
      </c>
      <c r="B867" s="10" t="n">
        <v>46116</v>
      </c>
      <c r="C867" t="inlineStr">
        <is>
          <t>Poly Varsity Engineers 2026</t>
        </is>
      </c>
      <c r="D867" t="inlineStr">
        <is>
          <t>ESTR</t>
        </is>
      </c>
      <c r="E867" t="inlineStr">
        <is>
          <t>Nate Noyes</t>
        </is>
      </c>
      <c r="F867" t="n">
        <v>4</v>
      </c>
      <c r="G867" t="n">
        <v>4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2</v>
      </c>
      <c r="R867" t="n">
        <v>0</v>
      </c>
      <c r="S867" t="n">
        <v>0</v>
      </c>
      <c r="T867" t="n">
        <v>0</v>
      </c>
      <c r="U867" t="n">
        <v>0</v>
      </c>
      <c r="W867" t="n">
        <v>0</v>
      </c>
      <c r="Y867" t="inlineStr">
        <is>
          <t>Also pitches; E in Fielding</t>
        </is>
      </c>
    </row>
    <row r="868">
      <c r="A868" t="inlineStr">
        <is>
          <t>2026-04-04_PLYV_at_ESTR</t>
        </is>
      </c>
      <c r="B868" s="10" t="n">
        <v>46116</v>
      </c>
      <c r="C868" t="inlineStr">
        <is>
          <t>Poly Varsity Engineers 2026</t>
        </is>
      </c>
      <c r="D868" t="inlineStr">
        <is>
          <t>ESTR</t>
        </is>
      </c>
      <c r="E868" t="inlineStr">
        <is>
          <t>Jonah Scott</t>
        </is>
      </c>
      <c r="F868" t="n">
        <v>2</v>
      </c>
      <c r="G868" t="n">
        <v>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R868" t="n">
        <v>0</v>
      </c>
      <c r="S868" t="n">
        <v>1</v>
      </c>
      <c r="T868" t="n">
        <v>0</v>
      </c>
      <c r="U868" t="n">
        <v>0</v>
      </c>
      <c r="W868" t="n">
        <v>0</v>
      </c>
    </row>
    <row r="869">
      <c r="A869" t="inlineStr">
        <is>
          <t>2026-04-04_PLYV_at_ESTR</t>
        </is>
      </c>
      <c r="B869" s="10" t="n">
        <v>46116</v>
      </c>
      <c r="C869" t="inlineStr">
        <is>
          <t>Poly Varsity Engineers 2026</t>
        </is>
      </c>
      <c r="D869" t="inlineStr">
        <is>
          <t>ESTR</t>
        </is>
      </c>
      <c r="E869" t="inlineStr">
        <is>
          <t>Landry Evans</t>
        </is>
      </c>
      <c r="F869" t="n">
        <v>3</v>
      </c>
      <c r="G869" t="n">
        <v>3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R869" t="n">
        <v>1</v>
      </c>
      <c r="S869" t="n">
        <v>0</v>
      </c>
      <c r="T869" t="n">
        <v>0</v>
      </c>
      <c r="U869" t="n">
        <v>0</v>
      </c>
      <c r="W869" t="n">
        <v>0</v>
      </c>
      <c r="Y869" t="inlineStr">
        <is>
          <t>TB=1 ✓; E in Fielding x2</t>
        </is>
      </c>
    </row>
    <row r="870">
      <c r="A870" t="inlineStr">
        <is>
          <t>2026-04-04_PLYV_at_ESTR</t>
        </is>
      </c>
      <c r="B870" s="10" t="n">
        <v>46116</v>
      </c>
      <c r="C870" t="inlineStr">
        <is>
          <t>Eastern Tech Varsity Mavericks</t>
        </is>
      </c>
      <c r="D870" t="inlineStr">
        <is>
          <t>PLYV</t>
        </is>
      </c>
      <c r="E870" t="inlineStr">
        <is>
          <t>Julian Robin</t>
        </is>
      </c>
      <c r="F870" t="n">
        <v>4</v>
      </c>
      <c r="G870" t="n">
        <v>3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R870" t="n">
        <v>0</v>
      </c>
      <c r="S870" t="n">
        <v>0</v>
      </c>
      <c r="T870" t="n">
        <v>0</v>
      </c>
      <c r="U870" t="n">
        <v>0</v>
      </c>
      <c r="W870" t="n">
        <v>0</v>
      </c>
      <c r="Y870" t="inlineStr">
        <is>
          <t>HBP=1</t>
        </is>
      </c>
    </row>
    <row r="871">
      <c r="A871" t="inlineStr">
        <is>
          <t>2026-04-04_PLYV_at_ESTR</t>
        </is>
      </c>
      <c r="B871" s="10" t="n">
        <v>46116</v>
      </c>
      <c r="C871" t="inlineStr">
        <is>
          <t>Eastern Tech Varsity Mavericks</t>
        </is>
      </c>
      <c r="D871" t="inlineStr">
        <is>
          <t>PLYV</t>
        </is>
      </c>
      <c r="E871" t="inlineStr">
        <is>
          <t>Zachariah Lawrence</t>
        </is>
      </c>
      <c r="F871" t="n">
        <v>4</v>
      </c>
      <c r="G871" t="n">
        <v>3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R871" t="n">
        <v>1</v>
      </c>
      <c r="S871" t="n">
        <v>0</v>
      </c>
      <c r="T871" t="n">
        <v>0</v>
      </c>
      <c r="U871" t="n">
        <v>0</v>
      </c>
      <c r="W871" t="n">
        <v>0</v>
      </c>
      <c r="Y871" t="inlineStr">
        <is>
          <t>TB=1 ✓</t>
        </is>
      </c>
    </row>
    <row r="872">
      <c r="A872" t="inlineStr">
        <is>
          <t>2026-04-04_PLYV_at_ESTR</t>
        </is>
      </c>
      <c r="B872" s="10" t="n">
        <v>46116</v>
      </c>
      <c r="C872" t="inlineStr">
        <is>
          <t>Eastern Tech Varsity Mavericks</t>
        </is>
      </c>
      <c r="D872" t="inlineStr">
        <is>
          <t>PLYV</t>
        </is>
      </c>
      <c r="E872" t="inlineStr">
        <is>
          <t>Kingston Antonio</t>
        </is>
      </c>
      <c r="F872" t="n">
        <v>4</v>
      </c>
      <c r="G872" t="n">
        <v>2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2</v>
      </c>
      <c r="O872" t="n">
        <v>0</v>
      </c>
      <c r="R872" t="n">
        <v>0</v>
      </c>
      <c r="S872" t="n">
        <v>0</v>
      </c>
      <c r="T872" t="n">
        <v>0</v>
      </c>
      <c r="U872" t="n">
        <v>0</v>
      </c>
      <c r="W872" t="n">
        <v>0</v>
      </c>
      <c r="Y872" t="inlineStr">
        <is>
          <t>HBP=2; TB=1 ✓; E in Fielding</t>
        </is>
      </c>
    </row>
    <row r="873">
      <c r="A873" t="inlineStr">
        <is>
          <t>2026-04-04_PLYV_at_ESTR</t>
        </is>
      </c>
      <c r="B873" s="10" t="n">
        <v>46116</v>
      </c>
      <c r="C873" t="inlineStr">
        <is>
          <t>Eastern Tech Varsity Mavericks</t>
        </is>
      </c>
      <c r="D873" t="inlineStr">
        <is>
          <t>PLYV</t>
        </is>
      </c>
      <c r="E873" t="inlineStr">
        <is>
          <t>Jakeem Mcbride</t>
        </is>
      </c>
      <c r="F873" t="n">
        <v>4</v>
      </c>
      <c r="G873" t="n">
        <v>4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R873" t="n">
        <v>1</v>
      </c>
      <c r="S873" t="n">
        <v>1</v>
      </c>
      <c r="T873" t="n">
        <v>1</v>
      </c>
      <c r="U873" t="n">
        <v>0</v>
      </c>
      <c r="W873" t="n">
        <v>0</v>
      </c>
      <c r="Y873" t="inlineStr">
        <is>
          <t>SB=1; TB=1 ✓; E in Fielding</t>
        </is>
      </c>
    </row>
    <row r="874">
      <c r="A874" t="inlineStr">
        <is>
          <t>2026-04-04_PLYV_at_ESTR</t>
        </is>
      </c>
      <c r="B874" s="10" t="n">
        <v>46116</v>
      </c>
      <c r="C874" t="inlineStr">
        <is>
          <t>Eastern Tech Varsity Mavericks</t>
        </is>
      </c>
      <c r="D874" t="inlineStr">
        <is>
          <t>PLYV</t>
        </is>
      </c>
      <c r="E874" t="inlineStr">
        <is>
          <t>Ikram Khan</t>
        </is>
      </c>
      <c r="F874" t="n">
        <v>4</v>
      </c>
      <c r="G874" t="n">
        <v>3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2</v>
      </c>
      <c r="R874" t="n">
        <v>1</v>
      </c>
      <c r="S874" t="n">
        <v>0</v>
      </c>
      <c r="T874" t="n">
        <v>0</v>
      </c>
      <c r="U874" t="n">
        <v>0</v>
      </c>
      <c r="W874" t="n">
        <v>0</v>
      </c>
      <c r="Y874" t="inlineStr">
        <is>
          <t>2B; TB=2 ✓; E in Fielding</t>
        </is>
      </c>
    </row>
    <row r="875">
      <c r="A875" t="inlineStr">
        <is>
          <t>2026-04-04_PLYV_at_ESTR</t>
        </is>
      </c>
      <c r="B875" s="10" t="n">
        <v>46116</v>
      </c>
      <c r="C875" t="inlineStr">
        <is>
          <t>Eastern Tech Varsity Mavericks</t>
        </is>
      </c>
      <c r="D875" t="inlineStr">
        <is>
          <t>PLYV</t>
        </is>
      </c>
      <c r="E875" t="inlineStr">
        <is>
          <t>Hayden Flipovitz</t>
        </is>
      </c>
      <c r="F875" t="n">
        <v>4</v>
      </c>
      <c r="G875" t="n">
        <v>3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R875" t="n">
        <v>0</v>
      </c>
      <c r="S875" t="n">
        <v>0</v>
      </c>
      <c r="T875" t="n">
        <v>0</v>
      </c>
      <c r="U875" t="n">
        <v>0</v>
      </c>
      <c r="W875" t="n">
        <v>0</v>
      </c>
    </row>
    <row r="876">
      <c r="A876" t="inlineStr">
        <is>
          <t>2026-04-04_PLYV_at_ESTR</t>
        </is>
      </c>
      <c r="B876" s="10" t="n">
        <v>46116</v>
      </c>
      <c r="C876" t="inlineStr">
        <is>
          <t>Eastern Tech Varsity Mavericks</t>
        </is>
      </c>
      <c r="D876" t="inlineStr">
        <is>
          <t>PLYV</t>
        </is>
      </c>
      <c r="E876" t="inlineStr">
        <is>
          <t>Nathaniel Barry</t>
        </is>
      </c>
      <c r="F876" t="n">
        <v>4</v>
      </c>
      <c r="G876" t="n">
        <v>4</v>
      </c>
      <c r="H876" t="n">
        <v>2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2</v>
      </c>
      <c r="R876" t="n">
        <v>1</v>
      </c>
      <c r="S876" t="n">
        <v>2</v>
      </c>
      <c r="T876" t="n">
        <v>1</v>
      </c>
      <c r="U876" t="n">
        <v>0</v>
      </c>
      <c r="W876" t="n">
        <v>0</v>
      </c>
      <c r="Y876" t="inlineStr">
        <is>
          <t>2B; TB=3 ✓; SB=1</t>
        </is>
      </c>
    </row>
    <row r="877">
      <c r="A877" t="inlineStr">
        <is>
          <t>2026-04-04_PLYV_at_ESTR</t>
        </is>
      </c>
      <c r="B877" s="10" t="n">
        <v>46116</v>
      </c>
      <c r="C877" t="inlineStr">
        <is>
          <t>Eastern Tech Varsity Mavericks</t>
        </is>
      </c>
      <c r="D877" t="inlineStr">
        <is>
          <t>PLYV</t>
        </is>
      </c>
      <c r="E877" t="inlineStr">
        <is>
          <t>Krishtain Mcleod</t>
        </is>
      </c>
      <c r="F877" t="n">
        <v>3</v>
      </c>
      <c r="G877" t="n">
        <v>3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</v>
      </c>
      <c r="R877" t="n">
        <v>0</v>
      </c>
      <c r="S877" t="n">
        <v>0</v>
      </c>
      <c r="T877" t="n">
        <v>0</v>
      </c>
      <c r="U877" t="n">
        <v>0</v>
      </c>
      <c r="W877" t="n">
        <v>0</v>
      </c>
    </row>
    <row r="878">
      <c r="A878" t="inlineStr">
        <is>
          <t>2026-04-04_PLYV_at_ESTR</t>
        </is>
      </c>
      <c r="B878" s="10" t="n">
        <v>46116</v>
      </c>
      <c r="C878" t="inlineStr">
        <is>
          <t>Eastern Tech Varsity Mavericks</t>
        </is>
      </c>
      <c r="D878" t="inlineStr">
        <is>
          <t>PLYV</t>
        </is>
      </c>
      <c r="E878" t="inlineStr">
        <is>
          <t>Shane King</t>
        </is>
      </c>
      <c r="F878" t="n">
        <v>2</v>
      </c>
      <c r="G878" t="n">
        <v>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R878" t="n">
        <v>0</v>
      </c>
      <c r="S878" t="n">
        <v>0</v>
      </c>
      <c r="T878" t="n">
        <v>0</v>
      </c>
      <c r="U878" t="n">
        <v>0</v>
      </c>
      <c r="W878" t="n">
        <v>0</v>
      </c>
    </row>
    <row r="879">
      <c r="A879" t="inlineStr">
        <is>
          <t>2026-04-04_PLYV_at_ESTR</t>
        </is>
      </c>
      <c r="B879" s="10" t="n">
        <v>46116</v>
      </c>
      <c r="C879" t="inlineStr">
        <is>
          <t>Eastern Tech Varsity Mavericks</t>
        </is>
      </c>
      <c r="D879" t="inlineStr">
        <is>
          <t>PLYV</t>
        </is>
      </c>
      <c r="E879" t="inlineStr">
        <is>
          <t>Lucas Bryant</t>
        </is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R879" t="n">
        <v>0</v>
      </c>
      <c r="S879" t="n">
        <v>1</v>
      </c>
      <c r="T879" t="n">
        <v>1</v>
      </c>
      <c r="U879" t="n">
        <v>0</v>
      </c>
      <c r="W879" t="n">
        <v>0</v>
      </c>
      <c r="Y879" t="inlineStr">
        <is>
          <t>SB=1; TB=1 ✓</t>
        </is>
      </c>
    </row>
    <row r="880">
      <c r="A880" t="inlineStr">
        <is>
          <t>2026-04-04_PLYV_at_ESTR</t>
        </is>
      </c>
      <c r="B880" s="10" t="n">
        <v>46116</v>
      </c>
      <c r="C880" t="inlineStr">
        <is>
          <t>Eastern Tech Varsity Mavericks</t>
        </is>
      </c>
      <c r="D880" t="inlineStr">
        <is>
          <t>PLYV</t>
        </is>
      </c>
      <c r="E880" t="inlineStr">
        <is>
          <t>Joshua Tyree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R880" t="n">
        <v>0</v>
      </c>
      <c r="S880" t="n">
        <v>0</v>
      </c>
      <c r="T880" t="n">
        <v>0</v>
      </c>
      <c r="U880" t="n">
        <v>0</v>
      </c>
      <c r="W880" t="n">
        <v>0</v>
      </c>
      <c r="Y880" t="inlineStr">
        <is>
          <t>Zero PA</t>
        </is>
      </c>
    </row>
    <row r="881">
      <c r="A881" t="inlineStr">
        <is>
          <t>2026-04-04_PRKS_at_PLYV</t>
        </is>
      </c>
      <c r="B881" s="10" t="n">
        <v>46116</v>
      </c>
      <c r="C881" t="inlineStr">
        <is>
          <t>Park School Varsity Bruins</t>
        </is>
      </c>
      <c r="D881" t="inlineStr">
        <is>
          <t>PLYV</t>
        </is>
      </c>
      <c r="E881" t="inlineStr">
        <is>
          <t>Joshua Tyree</t>
        </is>
      </c>
      <c r="F881" t="n">
        <v>5</v>
      </c>
      <c r="G881" t="n">
        <v>4</v>
      </c>
      <c r="H881" t="n">
        <v>3</v>
      </c>
      <c r="I881" t="n">
        <v>2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R881" t="n">
        <v>2</v>
      </c>
      <c r="S881" t="n">
        <v>4</v>
      </c>
      <c r="T881" t="n">
        <v>0</v>
      </c>
      <c r="U881" t="n">
        <v>0</v>
      </c>
      <c r="W881" t="n">
        <v>0</v>
      </c>
      <c r="Y881" t="inlineStr">
        <is>
          <t>HBP=1; 2B; TB=4 ✓</t>
        </is>
      </c>
    </row>
    <row r="882">
      <c r="A882" t="inlineStr">
        <is>
          <t>2026-04-04_PRKS_at_PLYV</t>
        </is>
      </c>
      <c r="B882" s="10" t="n">
        <v>46116</v>
      </c>
      <c r="C882" t="inlineStr">
        <is>
          <t>Park School Varsity Bruins</t>
        </is>
      </c>
      <c r="D882" t="inlineStr">
        <is>
          <t>PLYV</t>
        </is>
      </c>
      <c r="E882" t="inlineStr">
        <is>
          <t>Coleman Bryant</t>
        </is>
      </c>
      <c r="F882" t="n">
        <v>4</v>
      </c>
      <c r="G882" t="n">
        <v>3</v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R882" t="n">
        <v>2</v>
      </c>
      <c r="S882" t="n">
        <v>0</v>
      </c>
      <c r="T882" t="n">
        <v>0</v>
      </c>
      <c r="U882" t="n">
        <v>0</v>
      </c>
      <c r="W882" t="n">
        <v>0</v>
      </c>
      <c r="Y882" t="inlineStr">
        <is>
          <t>TB=1 ✓</t>
        </is>
      </c>
    </row>
    <row r="883">
      <c r="A883" t="inlineStr">
        <is>
          <t>2026-04-04_PRKS_at_PLYV</t>
        </is>
      </c>
      <c r="B883" s="10" t="n">
        <v>46116</v>
      </c>
      <c r="C883" t="inlineStr">
        <is>
          <t>Park School Varsity Bruins</t>
        </is>
      </c>
      <c r="D883" t="inlineStr">
        <is>
          <t>PLYV</t>
        </is>
      </c>
      <c r="E883" t="inlineStr">
        <is>
          <t>Kingston Antonio</t>
        </is>
      </c>
      <c r="F883" t="n">
        <v>5</v>
      </c>
      <c r="G883" t="n">
        <v>4</v>
      </c>
      <c r="H883" t="n">
        <v>3</v>
      </c>
      <c r="I883" t="n">
        <v>2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1</v>
      </c>
      <c r="R883" t="n">
        <v>2</v>
      </c>
      <c r="S883" t="n">
        <v>3</v>
      </c>
      <c r="T883" t="n">
        <v>0</v>
      </c>
      <c r="U883" t="n">
        <v>0</v>
      </c>
      <c r="W883" t="n">
        <v>0</v>
      </c>
      <c r="Y883" t="inlineStr">
        <is>
          <t>HR; HBP=1; TB=6 ✓; also pitches</t>
        </is>
      </c>
    </row>
    <row r="884">
      <c r="A884" t="inlineStr">
        <is>
          <t>2026-04-04_PRKS_at_PLYV</t>
        </is>
      </c>
      <c r="B884" s="10" t="n">
        <v>46116</v>
      </c>
      <c r="C884" t="inlineStr">
        <is>
          <t>Park School Varsity Bruins</t>
        </is>
      </c>
      <c r="D884" t="inlineStr">
        <is>
          <t>PLYV</t>
        </is>
      </c>
      <c r="E884" t="inlineStr">
        <is>
          <t>Jakeem Mcbride</t>
        </is>
      </c>
      <c r="F884" t="n">
        <v>3</v>
      </c>
      <c r="G884" t="n">
        <v>2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2</v>
      </c>
      <c r="R884" t="n">
        <v>1</v>
      </c>
      <c r="S884" t="n">
        <v>0</v>
      </c>
      <c r="T884" t="n">
        <v>1</v>
      </c>
      <c r="U884" t="n">
        <v>0</v>
      </c>
      <c r="W884" t="n">
        <v>0</v>
      </c>
      <c r="Y884" t="inlineStr">
        <is>
          <t>[AMBIGUOUS] R corrected 0→1 (OCR; individual sum reconciliation to target=14); SB=1</t>
        </is>
      </c>
    </row>
    <row r="885">
      <c r="A885" t="inlineStr">
        <is>
          <t>2026-04-04_PRKS_at_PLYV</t>
        </is>
      </c>
      <c r="B885" s="10" t="n">
        <v>46116</v>
      </c>
      <c r="C885" t="inlineStr">
        <is>
          <t>Park School Varsity Bruins</t>
        </is>
      </c>
      <c r="D885" t="inlineStr">
        <is>
          <t>PLYV</t>
        </is>
      </c>
      <c r="E885" t="inlineStr">
        <is>
          <t>Ian Dickensheets</t>
        </is>
      </c>
      <c r="F885" t="n">
        <v>2</v>
      </c>
      <c r="G885" t="n">
        <v>2</v>
      </c>
      <c r="H885" t="n">
        <v>1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R885" t="n">
        <v>1</v>
      </c>
      <c r="S885" t="n">
        <v>1</v>
      </c>
      <c r="T885" t="n">
        <v>1</v>
      </c>
      <c r="U885" t="n">
        <v>0</v>
      </c>
      <c r="W885" t="n">
        <v>0</v>
      </c>
      <c r="Y885" t="inlineStr">
        <is>
          <t>SB=1; TB=1 ✓</t>
        </is>
      </c>
    </row>
    <row r="886">
      <c r="A886" t="inlineStr">
        <is>
          <t>2026-04-04_PRKS_at_PLYV</t>
        </is>
      </c>
      <c r="B886" s="10" t="n">
        <v>46116</v>
      </c>
      <c r="C886" t="inlineStr">
        <is>
          <t>Park School Varsity Bruins</t>
        </is>
      </c>
      <c r="D886" t="inlineStr">
        <is>
          <t>PLYV</t>
        </is>
      </c>
      <c r="E886" t="inlineStr">
        <is>
          <t>Ikram Khan</t>
        </is>
      </c>
      <c r="F886" t="n">
        <v>5</v>
      </c>
      <c r="G886" t="n">
        <v>5</v>
      </c>
      <c r="H886" t="n">
        <v>2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  <c r="R886" t="n">
        <v>0</v>
      </c>
      <c r="S886" t="n">
        <v>0</v>
      </c>
      <c r="T886" t="n">
        <v>0</v>
      </c>
      <c r="U886" t="n">
        <v>0</v>
      </c>
      <c r="W886" t="n">
        <v>0</v>
      </c>
      <c r="Y886" t="inlineStr">
        <is>
          <t>2B; TB=3 ✓; E in Fielding</t>
        </is>
      </c>
    </row>
    <row r="887">
      <c r="A887" t="inlineStr">
        <is>
          <t>2026-04-04_PRKS_at_PLYV</t>
        </is>
      </c>
      <c r="B887" s="10" t="n">
        <v>46116</v>
      </c>
      <c r="C887" t="inlineStr">
        <is>
          <t>Park School Varsity Bruins</t>
        </is>
      </c>
      <c r="D887" t="inlineStr">
        <is>
          <t>PLYV</t>
        </is>
      </c>
      <c r="E887" t="inlineStr">
        <is>
          <t>Hayden Flipovitz</t>
        </is>
      </c>
      <c r="F887" t="n">
        <v>5</v>
      </c>
      <c r="G887" t="n">
        <v>5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R887" t="n">
        <v>0</v>
      </c>
      <c r="S887" t="n">
        <v>1</v>
      </c>
      <c r="T887" t="n">
        <v>0</v>
      </c>
      <c r="U887" t="n">
        <v>0</v>
      </c>
      <c r="W887" t="n">
        <v>0</v>
      </c>
      <c r="Y887" t="inlineStr">
        <is>
          <t>TB=1 ✓</t>
        </is>
      </c>
    </row>
    <row r="888">
      <c r="A888" t="inlineStr">
        <is>
          <t>2026-04-04_PRKS_at_PLYV</t>
        </is>
      </c>
      <c r="B888" s="10" t="n">
        <v>46116</v>
      </c>
      <c r="C888" t="inlineStr">
        <is>
          <t>Park School Varsity Bruins</t>
        </is>
      </c>
      <c r="D888" t="inlineStr">
        <is>
          <t>PLYV</t>
        </is>
      </c>
      <c r="E888" t="inlineStr">
        <is>
          <t>Lucas Bryant</t>
        </is>
      </c>
      <c r="F888" t="n">
        <v>5</v>
      </c>
      <c r="G888" t="n">
        <v>4</v>
      </c>
      <c r="H888" t="n">
        <v>2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2</v>
      </c>
      <c r="R888" t="n">
        <v>2</v>
      </c>
      <c r="S888" t="n">
        <v>1</v>
      </c>
      <c r="T888" t="n">
        <v>0</v>
      </c>
      <c r="U888" t="n">
        <v>0</v>
      </c>
      <c r="W888" t="n">
        <v>0</v>
      </c>
      <c r="Y888" t="inlineStr">
        <is>
          <t>2B; TB=3 ✓</t>
        </is>
      </c>
    </row>
    <row r="889">
      <c r="A889" t="inlineStr">
        <is>
          <t>2026-04-04_PRKS_at_PLYV</t>
        </is>
      </c>
      <c r="B889" s="10" t="n">
        <v>46116</v>
      </c>
      <c r="C889" t="inlineStr">
        <is>
          <t>Park School Varsity Bruins</t>
        </is>
      </c>
      <c r="D889" t="inlineStr">
        <is>
          <t>PLYV</t>
        </is>
      </c>
      <c r="E889" t="inlineStr">
        <is>
          <t>Ashton Hill</t>
        </is>
      </c>
      <c r="F889" t="n">
        <v>4</v>
      </c>
      <c r="G889" t="n">
        <v>4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R889" t="n">
        <v>1</v>
      </c>
      <c r="S889" t="n">
        <v>0</v>
      </c>
      <c r="T889" t="n">
        <v>0</v>
      </c>
      <c r="U889" t="n">
        <v>0</v>
      </c>
      <c r="W889" t="n">
        <v>0</v>
      </c>
      <c r="Y889" t="inlineStr">
        <is>
          <t>2B; TB=2 ✓; E in Fielding</t>
        </is>
      </c>
    </row>
    <row r="890">
      <c r="A890" t="inlineStr">
        <is>
          <t>2026-04-04_PRKS_at_PLYV</t>
        </is>
      </c>
      <c r="B890" s="10" t="n">
        <v>46116</v>
      </c>
      <c r="C890" t="inlineStr">
        <is>
          <t>Park School Varsity Bruins</t>
        </is>
      </c>
      <c r="D890" t="inlineStr">
        <is>
          <t>PLYV</t>
        </is>
      </c>
      <c r="E890" t="inlineStr">
        <is>
          <t>Kaden Wooden</t>
        </is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R890" t="n">
        <v>0</v>
      </c>
      <c r="S890" t="n">
        <v>0</v>
      </c>
      <c r="T890" t="n">
        <v>0</v>
      </c>
      <c r="U890" t="n">
        <v>0</v>
      </c>
      <c r="W890" t="n">
        <v>0</v>
      </c>
      <c r="Y890" t="inlineStr">
        <is>
          <t>E in Fielding</t>
        </is>
      </c>
    </row>
    <row r="891">
      <c r="A891" t="inlineStr">
        <is>
          <t>2026-04-04_PRKS_at_PLYV</t>
        </is>
      </c>
      <c r="B891" s="10" t="n">
        <v>46116</v>
      </c>
      <c r="C891" t="inlineStr">
        <is>
          <t>Park School Varsity Bruins</t>
        </is>
      </c>
      <c r="D891" t="inlineStr">
        <is>
          <t>PLYV</t>
        </is>
      </c>
      <c r="E891" t="inlineStr">
        <is>
          <t>Roman Girardi</t>
        </is>
      </c>
      <c r="F891" t="n">
        <v>4</v>
      </c>
      <c r="G891" t="n">
        <v>3</v>
      </c>
      <c r="H891" t="n">
        <v>2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R891" t="n">
        <v>3</v>
      </c>
      <c r="S891" t="n">
        <v>1</v>
      </c>
      <c r="T891" t="n">
        <v>1</v>
      </c>
      <c r="U891" t="n">
        <v>0</v>
      </c>
      <c r="W891" t="n">
        <v>0</v>
      </c>
      <c r="Y891" t="inlineStr">
        <is>
          <t>2B; SB=1; TB=3 ✓</t>
        </is>
      </c>
    </row>
    <row r="892">
      <c r="A892" t="inlineStr">
        <is>
          <t>2026-04-04_PRKS_at_PLYV</t>
        </is>
      </c>
      <c r="B892" s="10" t="n">
        <v>46116</v>
      </c>
      <c r="C892" t="inlineStr">
        <is>
          <t>Poly Varsity Engineers 2026</t>
        </is>
      </c>
      <c r="D892" t="inlineStr">
        <is>
          <t>PRKS</t>
        </is>
      </c>
      <c r="E892" t="inlineStr">
        <is>
          <t>Dylan Katz</t>
        </is>
      </c>
      <c r="F892" t="n">
        <v>4</v>
      </c>
      <c r="G892" t="n">
        <v>3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R892" t="n">
        <v>1</v>
      </c>
      <c r="S892" t="n">
        <v>0</v>
      </c>
      <c r="T892" t="n">
        <v>0</v>
      </c>
      <c r="U892" t="n">
        <v>0</v>
      </c>
      <c r="W892" t="n">
        <v>0</v>
      </c>
      <c r="Y892" t="inlineStr">
        <is>
          <t>Also pitches; E in Fielding</t>
        </is>
      </c>
    </row>
    <row r="893">
      <c r="A893" t="inlineStr">
        <is>
          <t>2026-04-04_PRKS_at_PLYV</t>
        </is>
      </c>
      <c r="B893" s="10" t="n">
        <v>46116</v>
      </c>
      <c r="C893" t="inlineStr">
        <is>
          <t>Poly Varsity Engineers 2026</t>
        </is>
      </c>
      <c r="D893" t="inlineStr">
        <is>
          <t>PRKS</t>
        </is>
      </c>
      <c r="E893" t="inlineStr">
        <is>
          <t>Zach Chait</t>
        </is>
      </c>
      <c r="F893" t="n">
        <v>4</v>
      </c>
      <c r="G893" t="n">
        <v>3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1</v>
      </c>
      <c r="R893" t="n">
        <v>2</v>
      </c>
      <c r="S893" t="n">
        <v>0</v>
      </c>
      <c r="T893" t="n">
        <v>0</v>
      </c>
      <c r="U893" t="n">
        <v>0</v>
      </c>
      <c r="W893" t="n">
        <v>0</v>
      </c>
      <c r="Y893" t="inlineStr">
        <is>
          <t>2B; TB=2 ✓</t>
        </is>
      </c>
    </row>
    <row r="894">
      <c r="A894" t="inlineStr">
        <is>
          <t>2026-04-04_PRKS_at_PLYV</t>
        </is>
      </c>
      <c r="B894" s="10" t="n">
        <v>46116</v>
      </c>
      <c r="C894" t="inlineStr">
        <is>
          <t>Poly Varsity Engineers 2026</t>
        </is>
      </c>
      <c r="D894" t="inlineStr">
        <is>
          <t>PRKS</t>
        </is>
      </c>
      <c r="E894" t="inlineStr">
        <is>
          <t>I Shapero</t>
        </is>
      </c>
      <c r="F894" t="n">
        <v>3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2</v>
      </c>
      <c r="N894" t="n">
        <v>0</v>
      </c>
      <c r="O894" t="n">
        <v>0</v>
      </c>
      <c r="R894" t="n">
        <v>0</v>
      </c>
      <c r="S894" t="n">
        <v>0</v>
      </c>
      <c r="T894" t="n">
        <v>0</v>
      </c>
      <c r="U894" t="n">
        <v>0</v>
      </c>
      <c r="W894" t="n">
        <v>0</v>
      </c>
      <c r="Y894" t="inlineStr">
        <is>
          <t>Also pitches; TB=1 ✓</t>
        </is>
      </c>
    </row>
    <row r="895">
      <c r="A895" t="inlineStr">
        <is>
          <t>2026-04-04_PRKS_at_PLYV</t>
        </is>
      </c>
      <c r="B895" s="10" t="n">
        <v>46116</v>
      </c>
      <c r="C895" t="inlineStr">
        <is>
          <t>Poly Varsity Engineers 2026</t>
        </is>
      </c>
      <c r="D895" t="inlineStr">
        <is>
          <t>PRKS</t>
        </is>
      </c>
      <c r="E895" t="inlineStr">
        <is>
          <t>Jack Rogers</t>
        </is>
      </c>
      <c r="F895" t="n">
        <v>3</v>
      </c>
      <c r="G895" t="n">
        <v>3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R895" t="n">
        <v>0</v>
      </c>
      <c r="S895" t="n">
        <v>0</v>
      </c>
      <c r="T895" t="n">
        <v>1</v>
      </c>
      <c r="U895" t="n">
        <v>0</v>
      </c>
      <c r="W895" t="n">
        <v>0</v>
      </c>
      <c r="Y895" t="inlineStr">
        <is>
          <t>SB=1</t>
        </is>
      </c>
    </row>
    <row r="896">
      <c r="A896" t="inlineStr">
        <is>
          <t>2026-04-04_PRKS_at_PLYV</t>
        </is>
      </c>
      <c r="B896" s="10" t="n">
        <v>46116</v>
      </c>
      <c r="C896" t="inlineStr">
        <is>
          <t>Poly Varsity Engineers 2026</t>
        </is>
      </c>
      <c r="D896" t="inlineStr">
        <is>
          <t>PRKS</t>
        </is>
      </c>
      <c r="E896" t="inlineStr">
        <is>
          <t>True Bridgeford</t>
        </is>
      </c>
      <c r="F896" t="n">
        <v>3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R896" t="n">
        <v>0</v>
      </c>
      <c r="S896" t="n">
        <v>0</v>
      </c>
      <c r="T896" t="n">
        <v>2</v>
      </c>
      <c r="U896" t="n">
        <v>0</v>
      </c>
      <c r="W896" t="n">
        <v>0</v>
      </c>
      <c r="Y896" t="inlineStr">
        <is>
          <t>HBP=1; SB=2</t>
        </is>
      </c>
    </row>
    <row r="897">
      <c r="A897" t="inlineStr">
        <is>
          <t>2026-04-04_PRKS_at_PLYV</t>
        </is>
      </c>
      <c r="B897" s="10" t="n">
        <v>46116</v>
      </c>
      <c r="C897" t="inlineStr">
        <is>
          <t>Poly Varsity Engineers 2026</t>
        </is>
      </c>
      <c r="D897" t="inlineStr">
        <is>
          <t>PRKS</t>
        </is>
      </c>
      <c r="E897" t="inlineStr">
        <is>
          <t>Cam Blum</t>
        </is>
      </c>
      <c r="F897" t="n">
        <v>2</v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R897" t="n">
        <v>0</v>
      </c>
      <c r="S897" t="n">
        <v>0</v>
      </c>
      <c r="T897" t="n">
        <v>0</v>
      </c>
      <c r="U897" t="n">
        <v>0</v>
      </c>
      <c r="W897" t="n">
        <v>0</v>
      </c>
      <c r="Y897" t="inlineStr">
        <is>
          <t>Also pitches</t>
        </is>
      </c>
    </row>
    <row r="898">
      <c r="A898" t="inlineStr">
        <is>
          <t>2026-04-04_PRKS_at_PLYV</t>
        </is>
      </c>
      <c r="B898" s="10" t="n">
        <v>46116</v>
      </c>
      <c r="C898" t="inlineStr">
        <is>
          <t>Poly Varsity Engineers 2026</t>
        </is>
      </c>
      <c r="D898" t="inlineStr">
        <is>
          <t>PRKS</t>
        </is>
      </c>
      <c r="E898" t="inlineStr">
        <is>
          <t>J Pulley</t>
        </is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R898" t="n">
        <v>0</v>
      </c>
      <c r="S898" t="n">
        <v>0</v>
      </c>
      <c r="T898" t="n">
        <v>0</v>
      </c>
      <c r="U898" t="n">
        <v>0</v>
      </c>
      <c r="W898" t="n">
        <v>0</v>
      </c>
    </row>
    <row r="899">
      <c r="A899" t="inlineStr">
        <is>
          <t>2026-04-04_PRKS_at_PLYV</t>
        </is>
      </c>
      <c r="B899" s="10" t="n">
        <v>46116</v>
      </c>
      <c r="C899" t="inlineStr">
        <is>
          <t>Poly Varsity Engineers 2026</t>
        </is>
      </c>
      <c r="D899" t="inlineStr">
        <is>
          <t>PRKS</t>
        </is>
      </c>
      <c r="E899" t="inlineStr">
        <is>
          <t>Isaac Cohen</t>
        </is>
      </c>
      <c r="F899" t="n">
        <v>3</v>
      </c>
      <c r="G899" t="n">
        <v>3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R899" t="n">
        <v>0</v>
      </c>
      <c r="S899" t="n">
        <v>0</v>
      </c>
      <c r="T899" t="n">
        <v>0</v>
      </c>
      <c r="U899" t="n">
        <v>0</v>
      </c>
      <c r="W899" t="n">
        <v>0</v>
      </c>
    </row>
    <row r="900">
      <c r="A900" t="inlineStr">
        <is>
          <t>2026-04-04_PRKS_at_PLYV</t>
        </is>
      </c>
      <c r="B900" s="10" t="n">
        <v>46116</v>
      </c>
      <c r="C900" t="inlineStr">
        <is>
          <t>Poly Varsity Engineers 2026</t>
        </is>
      </c>
      <c r="D900" t="inlineStr">
        <is>
          <t>PRKS</t>
        </is>
      </c>
      <c r="E900" t="inlineStr">
        <is>
          <t>Luca Jordan</t>
        </is>
      </c>
      <c r="F900" t="n">
        <v>3</v>
      </c>
      <c r="G900" t="n">
        <v>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  <c r="R900" t="n">
        <v>0</v>
      </c>
      <c r="S900" t="n">
        <v>0</v>
      </c>
      <c r="T900" t="n">
        <v>0</v>
      </c>
      <c r="U900" t="n">
        <v>0</v>
      </c>
      <c r="W900" t="n">
        <v>0</v>
      </c>
      <c r="Y900" t="inlineStr">
        <is>
          <t>E in Fielding x3</t>
        </is>
      </c>
    </row>
    <row r="901">
      <c r="A901" t="inlineStr">
        <is>
          <t>2026-04-04_PRKS_at_PLYV</t>
        </is>
      </c>
      <c r="B901" s="10" t="n">
        <v>46116</v>
      </c>
      <c r="C901" t="inlineStr">
        <is>
          <t>Poly Varsity Engineers 2026</t>
        </is>
      </c>
      <c r="D901" t="inlineStr">
        <is>
          <t>PRKS</t>
        </is>
      </c>
      <c r="E901" t="inlineStr">
        <is>
          <t>Kasra Haerian</t>
        </is>
      </c>
      <c r="F901" t="n">
        <v>2</v>
      </c>
      <c r="G901" t="n">
        <v>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R901" t="n">
        <v>0</v>
      </c>
      <c r="S901" t="n">
        <v>0</v>
      </c>
      <c r="T901" t="n">
        <v>0</v>
      </c>
      <c r="U901" t="n">
        <v>0</v>
      </c>
      <c r="W901" t="n">
        <v>0</v>
      </c>
    </row>
    <row r="902">
      <c r="A902" t="inlineStr">
        <is>
          <t>2026-04-04_PRKS_at_PLYV</t>
        </is>
      </c>
      <c r="B902" s="10" t="n">
        <v>46116</v>
      </c>
      <c r="C902" t="inlineStr">
        <is>
          <t>Poly Varsity Engineers 2026</t>
        </is>
      </c>
      <c r="D902" t="inlineStr">
        <is>
          <t>PRKS</t>
        </is>
      </c>
      <c r="E902" t="inlineStr">
        <is>
          <t>Noah Tomasino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R902" t="n">
        <v>0</v>
      </c>
      <c r="S902" t="n">
        <v>0</v>
      </c>
      <c r="T902" t="n">
        <v>0</v>
      </c>
      <c r="U902" t="n">
        <v>0</v>
      </c>
      <c r="W902" t="n">
        <v>0</v>
      </c>
      <c r="Y902" t="inlineStr">
        <is>
          <t>Zero PA</t>
        </is>
      </c>
    </row>
    <row r="903">
      <c r="A903" t="inlineStr">
        <is>
          <t>2026-04-04_PRKS_at_PLYV</t>
        </is>
      </c>
      <c r="B903" s="10" t="n">
        <v>46116</v>
      </c>
      <c r="C903" t="inlineStr">
        <is>
          <t>Poly Varsity Engineers 2026</t>
        </is>
      </c>
      <c r="D903" t="inlineStr">
        <is>
          <t>PRKS</t>
        </is>
      </c>
      <c r="E903" t="inlineStr">
        <is>
          <t>James Robbins</t>
        </is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R903" t="n">
        <v>0</v>
      </c>
      <c r="S903" t="n">
        <v>0</v>
      </c>
      <c r="T903" t="n">
        <v>0</v>
      </c>
      <c r="U903" t="n">
        <v>0</v>
      </c>
      <c r="W903" t="n">
        <v>0</v>
      </c>
      <c r="Y903" t="inlineStr">
        <is>
          <t>Also pitches</t>
        </is>
      </c>
    </row>
    <row r="904">
      <c r="A904" t="inlineStr">
        <is>
          <t>2026-03-14_CNTN_at_WSTM</t>
        </is>
      </c>
      <c r="B904" s="10" t="n">
        <v>46095</v>
      </c>
      <c r="C904" t="inlineStr">
        <is>
          <t>Westminster Varsity Owls</t>
        </is>
      </c>
      <c r="D904" t="inlineStr">
        <is>
          <t>CNTN</t>
        </is>
      </c>
      <c r="E904" t="inlineStr">
        <is>
          <t>A Gauthier</t>
        </is>
      </c>
      <c r="F904" t="n">
        <v>2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inlineStr">
        <is>
          <t>K_S T1 (play #1); BB T3 (play #18); SB 2nd T3 (embedded play #19 Sec4, E Rayne GO AB)</t>
        </is>
      </c>
    </row>
    <row r="905">
      <c r="A905" t="inlineStr">
        <is>
          <t>2026-03-14_CNTN_at_WSTM</t>
        </is>
      </c>
      <c r="B905" s="10" t="n">
        <v>46095</v>
      </c>
      <c r="C905" t="inlineStr">
        <is>
          <t>Westminster Varsity Owls</t>
        </is>
      </c>
      <c r="D905" t="inlineStr">
        <is>
          <t>CNTN</t>
        </is>
      </c>
      <c r="E905" t="inlineStr">
        <is>
          <t>E Rayne</t>
        </is>
      </c>
      <c r="F905" t="n">
        <v>2</v>
      </c>
      <c r="G905" t="n">
        <v>2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inlineStr">
        <is>
          <t>GO T1 (play #2); GO T3 (play #19)</t>
        </is>
      </c>
    </row>
    <row r="906">
      <c r="A906" t="inlineStr">
        <is>
          <t>2026-03-14_CNTN_at_WSTM</t>
        </is>
      </c>
      <c r="B906" s="10" t="n">
        <v>46095</v>
      </c>
      <c r="C906" t="inlineStr">
        <is>
          <t>Westminster Varsity Owls</t>
        </is>
      </c>
      <c r="D906" t="inlineStr">
        <is>
          <t>CNTN</t>
        </is>
      </c>
      <c r="E906" t="inlineStr">
        <is>
          <t>C Bade</t>
        </is>
      </c>
      <c r="F906" t="n">
        <v>2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inlineStr">
        <is>
          <t>1B T1 (play #3); BB T4 (play #28); SB 2nd T4 (embedded play #30 Sec4); R T4 play #31 (scores on PB during C Stachera AB — no RBI; PB not in Pitching schema)</t>
        </is>
      </c>
    </row>
    <row r="907">
      <c r="A907" t="inlineStr">
        <is>
          <t>2026-03-14_CNTN_at_WSTM</t>
        </is>
      </c>
      <c r="B907" s="10" t="n">
        <v>46095</v>
      </c>
      <c r="C907" t="inlineStr">
        <is>
          <t>Westminster Varsity Owls</t>
        </is>
      </c>
      <c r="D907" t="inlineStr">
        <is>
          <t>CNTN</t>
        </is>
      </c>
      <c r="E907" t="inlineStr">
        <is>
          <t>A Banks</t>
        </is>
      </c>
      <c r="F907" t="n">
        <v>2</v>
      </c>
      <c r="G907" t="n">
        <v>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inlineStr">
        <is>
          <t>PO T1 (play #4); PO T4 (play #29)</t>
        </is>
      </c>
    </row>
    <row r="908">
      <c r="A908" t="inlineStr">
        <is>
          <t>2026-03-14_CNTN_at_WSTM</t>
        </is>
      </c>
      <c r="B908" s="10" t="n">
        <v>46095</v>
      </c>
      <c r="C908" t="inlineStr">
        <is>
          <t>Westminster Varsity Owls</t>
        </is>
      </c>
      <c r="D908" t="inlineStr">
        <is>
          <t>CNTN</t>
        </is>
      </c>
      <c r="E908" t="inlineStr">
        <is>
          <t>B Harris</t>
        </is>
      </c>
      <c r="F908" t="n">
        <v>2</v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inlineStr">
        <is>
          <t>GO T2 (play #8); GO T4 (play #30); catcher B Harris committed CNTN Error #1 (play #14 embedded, B2)</t>
        </is>
      </c>
    </row>
    <row r="909">
      <c r="A909" t="inlineStr">
        <is>
          <t>2026-03-14_CNTN_at_WSTM</t>
        </is>
      </c>
      <c r="B909" s="10" t="n">
        <v>46095</v>
      </c>
      <c r="C909" t="inlineStr">
        <is>
          <t>Westminster Varsity Owls</t>
        </is>
      </c>
      <c r="D909" t="inlineStr">
        <is>
          <t>CNTN</t>
        </is>
      </c>
      <c r="E909" t="inlineStr">
        <is>
          <t>C Stachera</t>
        </is>
      </c>
      <c r="F909" t="n">
        <v>2</v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inlineStr">
        <is>
          <t>PO T2 (play #9); K_S T4 (play #31); C Bade scores on PB during K AB — no RBI; C Stachera also pitches B1 (Flag #1)</t>
        </is>
      </c>
    </row>
    <row r="910">
      <c r="A910" t="inlineStr">
        <is>
          <t>2026-03-14_CNTN_at_WSTM</t>
        </is>
      </c>
      <c r="B910" s="10" t="n">
        <v>46095</v>
      </c>
      <c r="C910" t="inlineStr">
        <is>
          <t>Westminster Varsity Owls</t>
        </is>
      </c>
      <c r="D910" t="inlineStr">
        <is>
          <t>CNTN</t>
        </is>
      </c>
      <c r="E910" t="inlineStr">
        <is>
          <t>L Choe</t>
        </is>
      </c>
      <c r="F910" t="n">
        <v>2</v>
      </c>
      <c r="G910" t="n">
        <v>2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inlineStr">
        <is>
          <t>GO T2 (play #10); GO T5 (play #36)</t>
        </is>
      </c>
    </row>
    <row r="911">
      <c r="A911" t="inlineStr">
        <is>
          <t>2026-03-14_CNTN_at_WSTM</t>
        </is>
      </c>
      <c r="B911" s="10" t="n">
        <v>46095</v>
      </c>
      <c r="C911" t="inlineStr">
        <is>
          <t>Westminster Varsity Owls</t>
        </is>
      </c>
      <c r="D911" t="inlineStr">
        <is>
          <t>CNTN</t>
        </is>
      </c>
      <c r="E911" t="inlineStr">
        <is>
          <t>C Proescher</t>
        </is>
      </c>
      <c r="F911" t="n">
        <v>2</v>
      </c>
      <c r="G911" t="n">
        <v>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inlineStr">
        <is>
          <t>K_L T3 (play #16); GO T5 (play #37); C Proescher also pitches B3 (Error #2, balk during B3)</t>
        </is>
      </c>
    </row>
    <row r="912">
      <c r="A912" t="inlineStr">
        <is>
          <t>2026-03-14_CNTN_at_WSTM</t>
        </is>
      </c>
      <c r="B912" s="10" t="n">
        <v>46095</v>
      </c>
      <c r="C912" t="inlineStr">
        <is>
          <t>Westminster Varsity Owls</t>
        </is>
      </c>
      <c r="D912" t="inlineStr">
        <is>
          <t>CNTN</t>
        </is>
      </c>
      <c r="E912" t="inlineStr">
        <is>
          <t>B Johnston</t>
        </is>
      </c>
      <c r="F912" t="n">
        <v>2</v>
      </c>
      <c r="G912" t="n">
        <v>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inlineStr">
        <is>
          <t>K_L T3 (play #17); GO T5 (play #38); B Johnston also pitches B6</t>
        </is>
      </c>
    </row>
    <row r="913">
      <c r="A913" t="inlineStr">
        <is>
          <t>2026-03-14_CNTN_at_WSTM</t>
        </is>
      </c>
      <c r="B913" s="10" t="n">
        <v>46095</v>
      </c>
      <c r="C913" t="inlineStr">
        <is>
          <t>Westminster Varsity Owls</t>
        </is>
      </c>
      <c r="D913" t="inlineStr">
        <is>
          <t>CNTN</t>
        </is>
      </c>
      <c r="E913" t="inlineStr">
        <is>
          <t>B Corrao</t>
        </is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inlineStr">
        <is>
          <t>Mid-AB sub for A Gauthier T6 (play #43 note); 1B T6 (play #43); SB 3rd T6 (embedded play #46 Sec4, A Lee K AB)</t>
        </is>
      </c>
    </row>
    <row r="914">
      <c r="A914" t="inlineStr">
        <is>
          <t>2026-03-14_CNTN_at_WSTM</t>
        </is>
      </c>
      <c r="B914" s="10" t="n">
        <v>46095</v>
      </c>
      <c r="C914" t="inlineStr">
        <is>
          <t>Westminster Varsity Owls</t>
        </is>
      </c>
      <c r="D914" t="inlineStr">
        <is>
          <t>CNTN</t>
        </is>
      </c>
      <c r="E914" t="inlineStr">
        <is>
          <t>D Hill</t>
        </is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>
        <is>
          <t>GO T6 (play #44)</t>
        </is>
      </c>
    </row>
    <row r="915">
      <c r="A915" t="inlineStr">
        <is>
          <t>2026-03-14_CNTN_at_WSTM</t>
        </is>
      </c>
      <c r="B915" s="10" t="n">
        <v>46095</v>
      </c>
      <c r="C915" t="inlineStr">
        <is>
          <t>Westminster Varsity Owls</t>
        </is>
      </c>
      <c r="D915" t="inlineStr">
        <is>
          <t>CNTN</t>
        </is>
      </c>
      <c r="E915" t="inlineStr">
        <is>
          <t>A Barrett</t>
        </is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>
        <is>
          <t>K_S T6 (play #45, Sec4 Strike 3 swinging); W Shepperd pitching (Flag #2); A Barrett also pitches B4 (CNTN Error #4, WP)</t>
        </is>
      </c>
    </row>
    <row r="916">
      <c r="A916" t="inlineStr">
        <is>
          <t>2026-03-14_CNTN_at_WSTM</t>
        </is>
      </c>
      <c r="B916" s="10" t="n">
        <v>46095</v>
      </c>
      <c r="C916" t="inlineStr">
        <is>
          <t>Westminster Varsity Owls</t>
        </is>
      </c>
      <c r="D916" t="inlineStr">
        <is>
          <t>CNTN</t>
        </is>
      </c>
      <c r="E916" t="inlineStr">
        <is>
          <t>A Lee</t>
        </is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>
        <is>
          <t>K_S T6 (play #46, Sec4 Strike 3 swinging); B Corrao steals 3rd during AB; A Lee also pitches B2</t>
        </is>
      </c>
    </row>
    <row r="917">
      <c r="A917" t="inlineStr">
        <is>
          <t>2026-03-14_CNTN_at_WSTM</t>
        </is>
      </c>
      <c r="B917" s="10" t="n">
        <v>46095</v>
      </c>
      <c r="C917" t="inlineStr">
        <is>
          <t>Westminster Varsity Owls</t>
        </is>
      </c>
      <c r="D917" t="inlineStr">
        <is>
          <t>CNTN</t>
        </is>
      </c>
      <c r="E917" t="inlineStr">
        <is>
          <t>E Ogg</t>
        </is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inlineStr">
        <is>
          <t>K_S T7 (play #51, Sec4 Strike 3 swinging); O Brilhart pitching</t>
        </is>
      </c>
    </row>
    <row r="918">
      <c r="A918" t="inlineStr">
        <is>
          <t>2026-03-14_CNTN_at_WSTM</t>
        </is>
      </c>
      <c r="B918" s="10" t="n">
        <v>46095</v>
      </c>
      <c r="C918" t="inlineStr">
        <is>
          <t>Westminster Varsity Owls</t>
        </is>
      </c>
      <c r="D918" t="inlineStr">
        <is>
          <t>CNTN</t>
        </is>
      </c>
      <c r="E918" t="inlineStr">
        <is>
          <t>L Rivkin</t>
        </is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>
        <is>
          <t>LO T7 (play #52); scorer alternate spelling "Livkin" — recorded as "L Rivkin" per play-log name</t>
        </is>
      </c>
    </row>
    <row r="919">
      <c r="A919" t="inlineStr">
        <is>
          <t>2026-03-14_CNTN_at_WSTM</t>
        </is>
      </c>
      <c r="B919" s="10" t="n">
        <v>46095</v>
      </c>
      <c r="C919" t="inlineStr">
        <is>
          <t>Westminster Varsity Owls</t>
        </is>
      </c>
      <c r="D919" t="inlineStr">
        <is>
          <t>CNTN</t>
        </is>
      </c>
      <c r="E919" t="inlineStr">
        <is>
          <t>W Sisolak</t>
        </is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inlineStr">
        <is>
          <t>K_L T7 (play #53, Sec4 Strike 3 looking)</t>
        </is>
      </c>
    </row>
    <row r="920">
      <c r="A920" t="inlineStr">
        <is>
          <t>2026-03-14_CNTN_at_WSTM</t>
        </is>
      </c>
      <c r="B920" s="10" t="n">
        <v>46095</v>
      </c>
      <c r="C920" t="inlineStr">
        <is>
          <t>Centennial Varsity Eagles</t>
        </is>
      </c>
      <c r="D920" t="inlineStr">
        <is>
          <t>WSTM</t>
        </is>
      </c>
      <c r="E920" t="inlineStr">
        <is>
          <t>C Stultz</t>
        </is>
      </c>
      <c r="F920" t="n">
        <v>4</v>
      </c>
      <c r="G920" t="n">
        <v>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2</v>
      </c>
      <c r="P920" t="n">
        <v>1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inlineStr">
        <is>
          <t>GO B1 (play #5); K_L B3 (play #21); BB B4 (play #34); K_S B6 (play #50); C Messier steals 2nd during B6 AB; R B4 play #35 (scores on WP during J Cedeno AB — no RBI)</t>
        </is>
      </c>
    </row>
    <row r="921">
      <c r="A921" t="inlineStr">
        <is>
          <t>2026-03-14_CNTN_at_WSTM</t>
        </is>
      </c>
      <c r="B921" s="10" t="n">
        <v>46095</v>
      </c>
      <c r="C921" t="inlineStr">
        <is>
          <t>Centennial Varsity Eagles</t>
        </is>
      </c>
      <c r="D921" t="inlineStr">
        <is>
          <t>WSTM</t>
        </is>
      </c>
      <c r="E921" t="inlineStr">
        <is>
          <t>J Cedeno</t>
        </is>
      </c>
      <c r="F921" t="n">
        <v>3</v>
      </c>
      <c r="G921" t="n">
        <v>3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3</v>
      </c>
      <c r="P921" t="n">
        <v>0</v>
      </c>
      <c r="Q921" t="n">
        <v>3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inlineStr">
        <is>
          <t>K_S B1 (play #6); K_S B3 (play #22); K_S B4 (play #35); B7 play #54 not counted (Flag #5)</t>
        </is>
      </c>
    </row>
    <row r="922">
      <c r="A922" t="inlineStr">
        <is>
          <t>2026-03-14_CNTN_at_WSTM</t>
        </is>
      </c>
      <c r="B922" s="10" t="n">
        <v>46095</v>
      </c>
      <c r="C922" t="inlineStr">
        <is>
          <t>Centennial Varsity Eagles</t>
        </is>
      </c>
      <c r="D922" t="inlineStr">
        <is>
          <t>WSTM</t>
        </is>
      </c>
      <c r="E922" t="inlineStr">
        <is>
          <t>Paul</t>
        </is>
      </c>
      <c r="F922" t="n">
        <v>3</v>
      </c>
      <c r="G922" t="n">
        <v>3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inlineStr">
        <is>
          <t>"Paul" is sole identifier (no last name). FO B1 (play #7); Error-ROE B3 (play #23) — not a hit; PO B5 (play #39); SB 2nd B3 (embedded play #24 Sec4); R B3 play #25 (scores on B Barrett 1B)</t>
        </is>
      </c>
    </row>
    <row r="923">
      <c r="A923" t="inlineStr">
        <is>
          <t>2026-03-14_CNTN_at_WSTM</t>
        </is>
      </c>
      <c r="B923" s="10" t="n">
        <v>46095</v>
      </c>
      <c r="C923" t="inlineStr">
        <is>
          <t>Centennial Varsity Eagles</t>
        </is>
      </c>
      <c r="D923" t="inlineStr">
        <is>
          <t>WSTM</t>
        </is>
      </c>
      <c r="E923" t="inlineStr">
        <is>
          <t>M Stonesifer</t>
        </is>
      </c>
      <c r="F923" t="n">
        <v>3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inlineStr">
        <is>
          <t>GO B2 (play #11); BB B3 (play #24); FO B5 (play #40); R B3 play #27 (scores on WP during C Messier AB — no RBI)</t>
        </is>
      </c>
    </row>
    <row r="924">
      <c r="A924" t="inlineStr">
        <is>
          <t>2026-03-14_CNTN_at_WSTM</t>
        </is>
      </c>
      <c r="B924" s="10" t="n">
        <v>46095</v>
      </c>
      <c r="C924" t="inlineStr">
        <is>
          <t>Centennial Varsity Eagles</t>
        </is>
      </c>
      <c r="D924" t="inlineStr">
        <is>
          <t>WSTM</t>
        </is>
      </c>
      <c r="E924" t="inlineStr">
        <is>
          <t>B Barrett</t>
        </is>
      </c>
      <c r="F924" t="n">
        <v>3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2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inlineStr">
        <is>
          <t>BB B2 (play #12); 1B B3 (play #25, RBI: Paul scores); BB B5 (play #41); R B2 play #14 embedded (scores on error by catcher B Harris — no RBI; CNTN Error #1). B Barrett also pitches T1-T3.</t>
        </is>
      </c>
    </row>
    <row r="925">
      <c r="A925" t="inlineStr">
        <is>
          <t>2026-03-14_CNTN_at_WSTM</t>
        </is>
      </c>
      <c r="B925" s="10" t="n">
        <v>46095</v>
      </c>
      <c r="C925" t="inlineStr">
        <is>
          <t>Centennial Varsity Eagles</t>
        </is>
      </c>
      <c r="D925" t="inlineStr">
        <is>
          <t>WSTM</t>
        </is>
      </c>
      <c r="E925" t="inlineStr">
        <is>
          <t>B</t>
        </is>
      </c>
      <c r="F925" t="n">
        <v>3</v>
      </c>
      <c r="G925" t="n">
        <v>2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inlineStr">
        <is>
          <t>"B" is sole identifier (no last name or jersey number). 1B B2 (play #13); BB B3 (play #26); K_L B5 (play #42); SB 2nd B2 (embedded play #14 Sec4, C Messier AB)</t>
        </is>
      </c>
    </row>
    <row r="926">
      <c r="A926" t="inlineStr">
        <is>
          <t>2026-03-14_CNTN_at_WSTM</t>
        </is>
      </c>
      <c r="B926" s="10" t="n">
        <v>46095</v>
      </c>
      <c r="C926" t="inlineStr">
        <is>
          <t>Centennial Varsity Eagles</t>
        </is>
      </c>
      <c r="D926" t="inlineStr">
        <is>
          <t>WSTM</t>
        </is>
      </c>
      <c r="E926" t="inlineStr">
        <is>
          <t>C Messier</t>
        </is>
      </c>
      <c r="F926" t="n">
        <v>3</v>
      </c>
      <c r="G926" t="n">
        <v>3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inlineStr">
        <is>
          <t>K_S B2 (play #14); GO B3 (play #27, WP embedded — M Stonesifer scores, no RBI); 1B B6 (play #47); SB 2nd B6 (embedded play #50 Sec4)</t>
        </is>
      </c>
    </row>
    <row r="927">
      <c r="A927" t="inlineStr">
        <is>
          <t>2026-03-14_CNTN_at_WSTM</t>
        </is>
      </c>
      <c r="B927" s="10" t="n">
        <v>46095</v>
      </c>
      <c r="C927" t="inlineStr">
        <is>
          <t>Centennial Varsity Eagles</t>
        </is>
      </c>
      <c r="D927" t="inlineStr">
        <is>
          <t>WSTM</t>
        </is>
      </c>
      <c r="E927" t="inlineStr">
        <is>
          <t>W Shepperd</t>
        </is>
      </c>
      <c r="F927" t="n">
        <v>3</v>
      </c>
      <c r="G927" t="n">
        <v>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2</v>
      </c>
      <c r="P927" t="n">
        <v>2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inlineStr">
        <is>
          <t>K_L B2 (play #15); BB B4 (play #32) — CR J Stone entered; K_L B6 (play #48); SB: J Stone (CR) steals 2nd B4 (Sec4 play #33) — SB credited to W Shepperd per CR rule. W Shepperd also pitches T6 (Flag #2).</t>
        </is>
      </c>
    </row>
    <row r="928">
      <c r="A928" t="inlineStr">
        <is>
          <t>2026-03-14_CNTN_at_WSTM</t>
        </is>
      </c>
      <c r="B928" s="10" t="n">
        <v>46095</v>
      </c>
      <c r="C928" t="inlineStr">
        <is>
          <t>Centennial Varsity Eagles</t>
        </is>
      </c>
      <c r="D928" t="inlineStr">
        <is>
          <t>WSTM</t>
        </is>
      </c>
      <c r="E928" t="inlineStr">
        <is>
          <t>R Winebrunner</t>
        </is>
      </c>
      <c r="F928" t="n">
        <v>3</v>
      </c>
      <c r="G928" t="n">
        <v>3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inlineStr">
        <is>
          <t>2B B3 (play #20); K_L B4 (play #33); FO B6 (play #49); R B3 play #21 (scores on balk by C Proescher — no RBI; balk not in schema)</t>
        </is>
      </c>
    </row>
    <row r="929">
      <c r="A929" t="inlineStr">
        <is>
          <t>2026-03-21_CNTN_at_WLDL</t>
        </is>
      </c>
      <c r="B929" s="10" t="n">
        <v>46102</v>
      </c>
      <c r="C929" t="inlineStr">
        <is>
          <t>Wilde Lake Varsity Cats</t>
        </is>
      </c>
      <c r="D929" t="inlineStr">
        <is>
          <t>CNTN</t>
        </is>
      </c>
      <c r="E929" t="inlineStr">
        <is>
          <t>A Gauthier</t>
        </is>
      </c>
      <c r="F929" t="n">
        <v>4</v>
      </c>
      <c r="G929" t="n">
        <v>2</v>
      </c>
      <c r="H929" t="n">
        <v>2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2</v>
      </c>
      <c r="O929" t="n">
        <v>0</v>
      </c>
      <c r="P929" t="n">
        <v>0</v>
      </c>
      <c r="Q929" t="n">
        <v>0</v>
      </c>
      <c r="R929" t="n">
        <v>2</v>
      </c>
      <c r="S929" t="n">
        <v>2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inlineStr">
        <is>
          <t>HBP T1 (play #1); HBP T2 (play #14); 2B T4 (play #29, RBI: E Ortiz scores); 1B T5 (play #41, RBI: C Stachera scores); SB 2nd T5 (embedded play #42 Sec4, E Rayne GO AB); R T2 play #16 (C Bade 1B, A Gauthier scores) + T4 play #30 (E Rayne 2B, A Gauthier scores)</t>
        </is>
      </c>
    </row>
    <row r="930">
      <c r="A930" t="inlineStr">
        <is>
          <t>2026-03-21_CNTN_at_WLDL</t>
        </is>
      </c>
      <c r="B930" s="10" t="n">
        <v>46102</v>
      </c>
      <c r="C930" t="inlineStr">
        <is>
          <t>Wilde Lake Varsity Cats</t>
        </is>
      </c>
      <c r="D930" t="inlineStr">
        <is>
          <t>CNTN</t>
        </is>
      </c>
      <c r="E930" t="inlineStr">
        <is>
          <t>E Rayne</t>
        </is>
      </c>
      <c r="F930" t="n">
        <v>4</v>
      </c>
      <c r="G930" t="n">
        <v>4</v>
      </c>
      <c r="H930" t="n">
        <v>2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3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inlineStr">
        <is>
          <t>FO T1 (play #2); 1B T2 (play #15, RBI: C Stachera scores); 2B T4 (play #30, RBI: A Gauthier scores); SB 3rd T4 (embedded play #31 Sec4, C Bade PO AB); GO T5 (play #42, RBI: E Ortiz scores); R T4 play #32 (A Banks GO, E Rayne scores)</t>
        </is>
      </c>
    </row>
    <row r="931">
      <c r="A931" t="inlineStr">
        <is>
          <t>2026-03-21_CNTN_at_WLDL</t>
        </is>
      </c>
      <c r="B931" s="10" t="n">
        <v>46102</v>
      </c>
      <c r="C931" t="inlineStr">
        <is>
          <t>Wilde Lake Varsity Cats</t>
        </is>
      </c>
      <c r="D931" t="inlineStr">
        <is>
          <t>CNTN</t>
        </is>
      </c>
      <c r="E931" t="inlineStr">
        <is>
          <t>C Bade</t>
        </is>
      </c>
      <c r="F931" t="n">
        <v>4</v>
      </c>
      <c r="G931" t="n">
        <v>3</v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2</v>
      </c>
      <c r="U931" t="n">
        <v>0</v>
      </c>
      <c r="V931" t="n">
        <v>0</v>
      </c>
      <c r="W931" t="n">
        <v>0</v>
      </c>
      <c r="X931" t="n">
        <v>1</v>
      </c>
      <c r="Y931" t="inlineStr">
        <is>
          <t>FC T1 (play #3, A Gauthier out advancing); SB 2nd + SB 3rd T1 (both embedded play #4 Sec4, A Banks AB); R T1 play #4 (scores from 3rd on dropped 3rd/WP — no RBI); 1B T2 (play #16, RBI: A Gauthier scores); PO T4 (play #31); BB T5 (play #43, B Habershon pitching)</t>
        </is>
      </c>
    </row>
    <row r="932">
      <c r="A932" t="inlineStr">
        <is>
          <t>2026-03-21_CNTN_at_WLDL</t>
        </is>
      </c>
      <c r="B932" s="10" t="n">
        <v>46102</v>
      </c>
      <c r="C932" t="inlineStr">
        <is>
          <t>Wilde Lake Varsity Cats</t>
        </is>
      </c>
      <c r="D932" t="inlineStr">
        <is>
          <t>CNTN</t>
        </is>
      </c>
      <c r="E932" t="inlineStr">
        <is>
          <t>A Banks</t>
        </is>
      </c>
      <c r="F932" t="n">
        <v>4</v>
      </c>
      <c r="G932" t="n">
        <v>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inlineStr">
        <is>
          <t>K_S T1 (play #4, dropped 3rd strike — reaches; WP mechanism; C Bade scores — no RBI per WP rule); PO T2 (play #17); GO T4 (play #32, RBI: E Rayne scores from 3rd); FO T5 (play #44); R T1 play #5 (B Harris error, A Banks scores — no RBI for B Harris)</t>
        </is>
      </c>
    </row>
    <row r="933">
      <c r="A933" t="inlineStr">
        <is>
          <t>2026-03-21_CNTN_at_WLDL</t>
        </is>
      </c>
      <c r="B933" s="10" t="n">
        <v>46102</v>
      </c>
      <c r="C933" t="inlineStr">
        <is>
          <t>Wilde Lake Varsity Cats</t>
        </is>
      </c>
      <c r="D933" t="inlineStr">
        <is>
          <t>CNTN</t>
        </is>
      </c>
      <c r="E933" t="inlineStr">
        <is>
          <t>B Harris</t>
        </is>
      </c>
      <c r="F933" t="n">
        <v>3</v>
      </c>
      <c r="G933" t="n">
        <v>3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inlineStr">
        <is>
          <t>Error-ROE T1 (play #5, WLDL Error #1 by D Coleman — A Banks scores on error, no RBI for B Harris); K_L T3 (play #21, Sec4 Strike 3 looking); LO T4 (play #33); play #48 T6 not counted (Flag #8 — no outcome, line score shows 5 inn only)</t>
        </is>
      </c>
    </row>
    <row r="934">
      <c r="A934" t="inlineStr">
        <is>
          <t>2026-03-21_CNTN_at_WLDL</t>
        </is>
      </c>
      <c r="B934" s="10" t="n">
        <v>46102</v>
      </c>
      <c r="C934" t="inlineStr">
        <is>
          <t>Wilde Lake Varsity Cats</t>
        </is>
      </c>
      <c r="D934" t="inlineStr">
        <is>
          <t>CNTN</t>
        </is>
      </c>
      <c r="E934" t="inlineStr">
        <is>
          <t>B Corrao</t>
        </is>
      </c>
      <c r="F934" t="n">
        <v>3</v>
      </c>
      <c r="G934" t="n">
        <v>3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inlineStr">
        <is>
          <t>GO T1 (play #6); PO T3 (play #22); 1B T5 (play #37, fly ball to RF A Lindsay); R T5 play #38 (C Stachera 1B, B Corrao scores from 3rd after advancing via WLDL Error #3 embedded in C Stachera AB)</t>
        </is>
      </c>
    </row>
    <row r="935">
      <c r="A935" t="inlineStr">
        <is>
          <t>2026-03-21_CNTN_at_WLDL</t>
        </is>
      </c>
      <c r="B935" s="10" t="n">
        <v>46102</v>
      </c>
      <c r="C935" t="inlineStr">
        <is>
          <t>Wilde Lake Varsity Cats</t>
        </is>
      </c>
      <c r="D935" t="inlineStr">
        <is>
          <t>CNTN</t>
        </is>
      </c>
      <c r="E935" t="inlineStr">
        <is>
          <t>C Stachera</t>
        </is>
      </c>
      <c r="F935" t="n">
        <v>3</v>
      </c>
      <c r="G935" t="n">
        <v>2</v>
      </c>
      <c r="H935" t="n">
        <v>2</v>
      </c>
      <c r="I935" t="n">
        <v>2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2</v>
      </c>
      <c r="S935" t="n">
        <v>1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inlineStr">
        <is>
          <t>1B T2 (play #11); SB 2nd T2 (embedded play #12 Sec4, L Choe PO AB); HBP T3 (play #23, R Schmidt pitching) — E Ogg entered as PR (play #24 pitch seq); SB credited to E Ogg as active runner (Flag #6); C Stachera continues pitching and batting per Flag #6; 1B T5 (play #38, RBI: B Corrao scores); R T2 play #15 (E Rayne 1B) + T5 play #41 (A Gauthier 1B). C Stachera also pitches B1-B4.</t>
        </is>
      </c>
    </row>
    <row r="936">
      <c r="A936" t="inlineStr">
        <is>
          <t>2026-03-21_CNTN_at_WLDL</t>
        </is>
      </c>
      <c r="B936" s="10" t="n">
        <v>46102</v>
      </c>
      <c r="C936" t="inlineStr">
        <is>
          <t>Wilde Lake Varsity Cats</t>
        </is>
      </c>
      <c r="D936" t="inlineStr">
        <is>
          <t>CNTN</t>
        </is>
      </c>
      <c r="E936" t="inlineStr">
        <is>
          <t>L Choe</t>
        </is>
      </c>
      <c r="F936" t="n">
        <v>2</v>
      </c>
      <c r="G936" t="n">
        <v>2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inlineStr">
        <is>
          <t>PO T2 (play #12); K_L T3 (play #24, Sec4 Strike 3 looking; E Ogg steals 2nd as PR for C Stachera during this AB — see Flag #6)</t>
        </is>
      </c>
    </row>
    <row r="937">
      <c r="A937" t="inlineStr">
        <is>
          <t>2026-03-21_CNTN_at_WLDL</t>
        </is>
      </c>
      <c r="B937" s="10" t="n">
        <v>46102</v>
      </c>
      <c r="C937" t="inlineStr">
        <is>
          <t>Wilde Lake Varsity Cats</t>
        </is>
      </c>
      <c r="D937" t="inlineStr">
        <is>
          <t>CNTN</t>
        </is>
      </c>
      <c r="E937" t="inlineStr">
        <is>
          <t>E Ortiz</t>
        </is>
      </c>
      <c r="F937" t="n">
        <v>3</v>
      </c>
      <c r="G937" t="n">
        <v>3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2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inlineStr">
        <is>
          <t>K_S T2 (play #13, Sec4 Strike 3 swinging); Error-ROE T4 (play #28, WLDL Error #2 by D Coleman — not a H; E Ortiz then advances 2B and 3B via two WPs during A Gauthier AB play #29); SB 2nd T5 (embedded play #41 Sec4, A Gauthier AB); 1B T5 (play #40); R T4 play #29 (A Gauthier 2B, E Ortiz scores from 3rd) + T5 play #42 (E Rayne GO, E Ortiz scores)</t>
        </is>
      </c>
    </row>
    <row r="938">
      <c r="A938" t="inlineStr">
        <is>
          <t>2026-03-21_CNTN_at_WLDL</t>
        </is>
      </c>
      <c r="B938" s="10" t="n">
        <v>46102</v>
      </c>
      <c r="C938" t="inlineStr">
        <is>
          <t>Wilde Lake Varsity Cats</t>
        </is>
      </c>
      <c r="D938" t="inlineStr">
        <is>
          <t>CNTN</t>
        </is>
      </c>
      <c r="E938" t="inlineStr">
        <is>
          <t>E Ogg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inlineStr">
        <is>
          <t>PR for C Stachera T3 (play #24 pitch seq, Lineup changed note); SB 2nd during L Choe K_L AB (Sec4 play #24); E Ogg does not score (inning ends on L Choe K); SB credited to E Ogg as active runner per Flag #6 analysis. Zero batting PAs.</t>
        </is>
      </c>
    </row>
    <row r="939">
      <c r="A939" t="inlineStr">
        <is>
          <t>2026-03-21_CNTN_at_WLDL</t>
        </is>
      </c>
      <c r="B939" s="10" t="n">
        <v>46102</v>
      </c>
      <c r="C939" t="inlineStr">
        <is>
          <t>Centennial Varsity Eagles</t>
        </is>
      </c>
      <c r="D939" t="inlineStr">
        <is>
          <t>WLDL</t>
        </is>
      </c>
      <c r="E939" t="inlineStr">
        <is>
          <t>T Sommer</t>
        </is>
      </c>
      <c r="F939" t="n">
        <v>2</v>
      </c>
      <c r="G939" t="n">
        <v>2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inlineStr">
        <is>
          <t>K_L B1 (play #7, Sec4 Strike 3 looking); GO B3 (play #27). T Sommer also pitches T1-T3 for WLDL (entry play #1 lineup note).</t>
        </is>
      </c>
    </row>
    <row r="940">
      <c r="A940" t="inlineStr">
        <is>
          <t>2026-03-21_CNTN_at_WLDL</t>
        </is>
      </c>
      <c r="B940" s="10" t="n">
        <v>46102</v>
      </c>
      <c r="C940" t="inlineStr">
        <is>
          <t>Centennial Varsity Eagles</t>
        </is>
      </c>
      <c r="D940" t="inlineStr">
        <is>
          <t>WLDL</t>
        </is>
      </c>
      <c r="E940" t="inlineStr">
        <is>
          <t>D Coleman</t>
        </is>
      </c>
      <c r="F940" t="n">
        <v>2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inlineStr">
        <is>
          <t>BB B1 (play #8); PB embedded play #10 (D Coleman advances 1st to 2nd during J Bunnell foul-tip K AB); K_L B4 (play #34, Sec4 Strike 3 looking). D Coleman also committed WLDL Errors #1 (play #5) and #2 (play #28).</t>
        </is>
      </c>
    </row>
    <row r="941">
      <c r="A941" t="inlineStr">
        <is>
          <t>2026-03-21_CNTN_at_WLDL</t>
        </is>
      </c>
      <c r="B941" s="10" t="n">
        <v>46102</v>
      </c>
      <c r="C941" t="inlineStr">
        <is>
          <t>Centennial Varsity Eagles</t>
        </is>
      </c>
      <c r="D941" t="inlineStr">
        <is>
          <t>WLDL</t>
        </is>
      </c>
      <c r="E941" t="inlineStr">
        <is>
          <t>N Dalesio</t>
        </is>
      </c>
      <c r="F941" t="n">
        <v>2</v>
      </c>
      <c r="G941" t="n">
        <v>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inlineStr">
        <is>
          <t>K_L B1 (play #9, Sec4 Strike 3 looking); K_S B4 (play #35, dropped 3rd strike — out at 1st, Sec4 Strike 3 swinging).</t>
        </is>
      </c>
    </row>
    <row r="942">
      <c r="A942" t="inlineStr">
        <is>
          <t>2026-03-21_CNTN_at_WLDL</t>
        </is>
      </c>
      <c r="B942" s="10" t="n">
        <v>46102</v>
      </c>
      <c r="C942" t="inlineStr">
        <is>
          <t>Centennial Varsity Eagles</t>
        </is>
      </c>
      <c r="D942" t="inlineStr">
        <is>
          <t>WLDL</t>
        </is>
      </c>
      <c r="E942" t="inlineStr">
        <is>
          <t>J Bunnell</t>
        </is>
      </c>
      <c r="F942" t="n">
        <v>2</v>
      </c>
      <c r="G942" t="n">
        <v>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inlineStr">
        <is>
          <t>K_S B1 (play #10, foul tip caught — K_S; PB embedded: D Coleman advances 1st to 2nd); K_L B4 (play #36, Sec4 Strike 3 looking).</t>
        </is>
      </c>
    </row>
    <row r="943">
      <c r="A943" t="inlineStr">
        <is>
          <t>2026-03-21_CNTN_at_WLDL</t>
        </is>
      </c>
      <c r="B943" s="10" t="n">
        <v>46102</v>
      </c>
      <c r="C943" t="inlineStr">
        <is>
          <t>Centennial Varsity Eagles</t>
        </is>
      </c>
      <c r="D943" t="inlineStr">
        <is>
          <t>WLDL</t>
        </is>
      </c>
      <c r="E943" t="inlineStr">
        <is>
          <t>W Switzer</t>
        </is>
      </c>
      <c r="F943" t="n">
        <v>2</v>
      </c>
      <c r="G943" t="n">
        <v>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</v>
      </c>
      <c r="P943" t="n">
        <v>0</v>
      </c>
      <c r="Q943" t="n">
        <v>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inlineStr">
        <is>
          <t>K_S B2 (play #18, Sec4 Strike 3 swinging); K_S B5 (play #45, Sec4 Strike 3 swinging).</t>
        </is>
      </c>
    </row>
    <row r="944">
      <c r="A944" t="inlineStr">
        <is>
          <t>2026-03-21_CNTN_at_WLDL</t>
        </is>
      </c>
      <c r="B944" s="10" t="n">
        <v>46102</v>
      </c>
      <c r="C944" t="inlineStr">
        <is>
          <t>Centennial Varsity Eagles</t>
        </is>
      </c>
      <c r="D944" t="inlineStr">
        <is>
          <t>WLDL</t>
        </is>
      </c>
      <c r="E944" t="inlineStr">
        <is>
          <t>R Schmidt</t>
        </is>
      </c>
      <c r="F944" t="n">
        <v>2</v>
      </c>
      <c r="G944" t="n">
        <v>2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inlineStr">
        <is>
          <t>GO B2 (play #19); K_S B5 (play #46, Sec4 Strike 3 swinging). R Schmidt also pitches T3-T5 for WLDL (entry inferred Flag #1).</t>
        </is>
      </c>
    </row>
    <row r="945">
      <c r="A945" t="inlineStr">
        <is>
          <t>2026-03-21_CNTN_at_WLDL</t>
        </is>
      </c>
      <c r="B945" s="10" t="n">
        <v>46102</v>
      </c>
      <c r="C945" t="inlineStr">
        <is>
          <t>Centennial Varsity Eagles</t>
        </is>
      </c>
      <c r="D945" t="inlineStr">
        <is>
          <t>WLDL</t>
        </is>
      </c>
      <c r="E945" t="inlineStr">
        <is>
          <t>D Linares</t>
        </is>
      </c>
      <c r="F945" t="n">
        <v>2</v>
      </c>
      <c r="G945" t="n">
        <v>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2</v>
      </c>
      <c r="P945" t="n">
        <v>0</v>
      </c>
      <c r="Q945" t="n">
        <v>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inlineStr">
        <is>
          <t>K_S B2 (play #20, Sec4 Strike 3 swinging); K_S B5 (play #47, Sec4 Strike 3 swinging).</t>
        </is>
      </c>
    </row>
    <row r="946">
      <c r="A946" t="inlineStr">
        <is>
          <t>2026-03-21_CNTN_at_WLDL</t>
        </is>
      </c>
      <c r="B946" s="10" t="n">
        <v>46102</v>
      </c>
      <c r="C946" t="inlineStr">
        <is>
          <t>Centennial Varsity Eagles</t>
        </is>
      </c>
      <c r="D946" t="inlineStr">
        <is>
          <t>WLDL</t>
        </is>
      </c>
      <c r="E946" t="inlineStr">
        <is>
          <t>B Habershon</t>
        </is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inlineStr">
        <is>
          <t>K_L B3 (play #25, Sec4 Strike 3 looking). B Habershon also pitches T5 for WLDL (entry inferred Flag #2) and committed WLDL Error #3 (play #38 embedded, T5).</t>
        </is>
      </c>
    </row>
    <row r="947">
      <c r="A947" t="inlineStr">
        <is>
          <t>2026-03-21_CNTN_at_WLDL</t>
        </is>
      </c>
      <c r="B947" s="10" t="n">
        <v>46102</v>
      </c>
      <c r="C947" t="inlineStr">
        <is>
          <t>Centennial Varsity Eagles</t>
        </is>
      </c>
      <c r="D947" t="inlineStr">
        <is>
          <t>WLDL</t>
        </is>
      </c>
      <c r="E947" t="inlineStr">
        <is>
          <t>A Lindsay</t>
        </is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inlineStr">
        <is>
          <t>K_L B3 (play #26, Sec4 Strike 3 looking).</t>
        </is>
      </c>
    </row>
    <row r="948">
      <c r="A948" t="inlineStr">
        <is>
          <t>2026-03-23_HMMN_at_CNTN</t>
        </is>
      </c>
      <c r="B948" s="10" t="n">
        <v>46104</v>
      </c>
      <c r="C948" t="inlineStr">
        <is>
          <t>Centennial Varsity Eagles</t>
        </is>
      </c>
      <c r="D948" t="inlineStr">
        <is>
          <t>HMMN</t>
        </is>
      </c>
      <c r="E948" t="inlineStr">
        <is>
          <t>Y Rivera</t>
        </is>
      </c>
      <c r="F948" t="n">
        <v>3</v>
      </c>
      <c r="G948" t="n">
        <v>3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inlineStr">
        <is>
          <t>GO T1 (play #1); K_S T3 (play #21); 1B T5 (play #38); SB 2nd T5 (embedded play #39 Sec4, J Willis AB); R T5 play #39 (scores on CNTN Error #2 by CF C Bade during J Willis AB — no RBI for J Willis). No PA T7 — K Gardner enters mid-AB as sub (play #65).</t>
        </is>
      </c>
    </row>
    <row r="949">
      <c r="A949" t="inlineStr">
        <is>
          <t>2026-03-23_HMMN_at_CNTN</t>
        </is>
      </c>
      <c r="B949" s="10" t="n">
        <v>46104</v>
      </c>
      <c r="C949" t="inlineStr">
        <is>
          <t>Centennial Varsity Eagles</t>
        </is>
      </c>
      <c r="D949" t="inlineStr">
        <is>
          <t>HMMN</t>
        </is>
      </c>
      <c r="E949" t="inlineStr">
        <is>
          <t>J Willis</t>
        </is>
      </c>
      <c r="F949" t="n">
        <v>3</v>
      </c>
      <c r="G949" t="n">
        <v>2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inlineStr">
        <is>
          <t>BB T1 (play #2); CS T1 (embedded play #3 Sec4 — catcher B Harris to 2B B Corrao, out #2 in inning); PO T3 (play #22, to catcher B Harris); 1B T5 (play #39); no RBI play #39 (Y Rivera had already scored on error before ball put in play).</t>
        </is>
      </c>
    </row>
    <row r="950">
      <c r="A950" t="inlineStr">
        <is>
          <t>2026-03-23_HMMN_at_CNTN</t>
        </is>
      </c>
      <c r="B950" s="10" t="n">
        <v>46104</v>
      </c>
      <c r="C950" t="inlineStr">
        <is>
          <t>Centennial Varsity Eagles</t>
        </is>
      </c>
      <c r="D950" t="inlineStr">
        <is>
          <t>HMMN</t>
        </is>
      </c>
      <c r="E950" t="inlineStr">
        <is>
          <t>P Yarnell</t>
        </is>
      </c>
      <c r="F950" t="n">
        <v>3</v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inlineStr">
        <is>
          <t>K_L T1 (play #3, J Willis CS embedded = out #2; P Yarnell K = out #3); GO T3 (play #23); FO T5 (play #40, WP embedded: J Willis advances to 2nd).</t>
        </is>
      </c>
    </row>
    <row r="951">
      <c r="A951" t="inlineStr">
        <is>
          <t>2026-03-23_HMMN_at_CNTN</t>
        </is>
      </c>
      <c r="B951" s="10" t="n">
        <v>46104</v>
      </c>
      <c r="C951" t="inlineStr">
        <is>
          <t>Centennial Varsity Eagles</t>
        </is>
      </c>
      <c r="D951" t="inlineStr">
        <is>
          <t>HMMN</t>
        </is>
      </c>
      <c r="E951" t="inlineStr">
        <is>
          <t>C Stryker</t>
        </is>
      </c>
      <c r="F951" t="n">
        <v>3</v>
      </c>
      <c r="G951" t="n">
        <v>3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inlineStr">
        <is>
          <t>1B T2 (play #10); SB 2nd T2 (embedded play #12 Sec4, G Draminski K AB); GO T4 (play #29); K_S T6 (play #54). Stranded at 3rd end T2 (B Garris LO ends inning after WP advanced C Stryker to 3rd).</t>
        </is>
      </c>
    </row>
    <row r="952">
      <c r="A952" t="inlineStr">
        <is>
          <t>2026-03-23_HMMN_at_CNTN</t>
        </is>
      </c>
      <c r="B952" s="10" t="n">
        <v>46104</v>
      </c>
      <c r="C952" t="inlineStr">
        <is>
          <t>Centennial Varsity Eagles</t>
        </is>
      </c>
      <c r="D952" t="inlineStr">
        <is>
          <t>HMMN</t>
        </is>
      </c>
      <c r="E952" t="inlineStr">
        <is>
          <t>L Tordella</t>
        </is>
      </c>
      <c r="F952" t="n">
        <v>3</v>
      </c>
      <c r="G952" t="n">
        <v>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3</v>
      </c>
      <c r="P952" t="n">
        <v>1</v>
      </c>
      <c r="Q952" t="n">
        <v>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inlineStr">
        <is>
          <t>K_S T2 (play #11); K_S T4 (play #30); K_L T6 (play #55).</t>
        </is>
      </c>
    </row>
    <row r="953">
      <c r="A953" t="inlineStr">
        <is>
          <t>2026-03-23_HMMN_at_CNTN</t>
        </is>
      </c>
      <c r="B953" s="10" t="n">
        <v>46104</v>
      </c>
      <c r="C953" t="inlineStr">
        <is>
          <t>Centennial Varsity Eagles</t>
        </is>
      </c>
      <c r="D953" t="inlineStr">
        <is>
          <t>HMMN</t>
        </is>
      </c>
      <c r="E953" t="inlineStr">
        <is>
          <t>G Draminski</t>
        </is>
      </c>
      <c r="F953" t="n">
        <v>3</v>
      </c>
      <c r="G953" t="n">
        <v>3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inlineStr">
        <is>
          <t>K_S T2 (play #12; C Stryker SB embedded); 1B T4 (play #31, fly ball to RF A Gauthier); FO T6 (play #56, C Proescher inferred — no pitcher attributed in log).</t>
        </is>
      </c>
    </row>
    <row r="954">
      <c r="A954" t="inlineStr">
        <is>
          <t>2026-03-23_HMMN_at_CNTN</t>
        </is>
      </c>
      <c r="B954" s="10" t="n">
        <v>46104</v>
      </c>
      <c r="C954" t="inlineStr">
        <is>
          <t>Centennial Varsity Eagles</t>
        </is>
      </c>
      <c r="D954" t="inlineStr">
        <is>
          <t>HMMN</t>
        </is>
      </c>
      <c r="E954" t="inlineStr">
        <is>
          <t>D Bhatt</t>
        </is>
      </c>
      <c r="F954" t="n">
        <v>2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inlineStr">
        <is>
          <t>BB T2 (play #13); CR N Macomber enters for D Bhatt embedded play #14 Sec4 — N Macomber does not score (B Garris LO ends T2); PO T4 (play #32). D Bhatt pitches B1-B5 play #44 for HMMN (Flag #1).</t>
        </is>
      </c>
    </row>
    <row r="955">
      <c r="A955" t="inlineStr">
        <is>
          <t>2026-03-23_HMMN_at_CNTN</t>
        </is>
      </c>
      <c r="B955" s="10" t="n">
        <v>46104</v>
      </c>
      <c r="C955" t="inlineStr">
        <is>
          <t>Centennial Varsity Eagles</t>
        </is>
      </c>
      <c r="D955" t="inlineStr">
        <is>
          <t>HMMN</t>
        </is>
      </c>
      <c r="E955" t="inlineStr">
        <is>
          <t>G Garris</t>
        </is>
      </c>
      <c r="F955" t="n">
        <v>2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inlineStr">
        <is>
          <t>BB T2 (play #14; WP embedded: C Stryker advances to 3rd); K_S T5 (play #36). No PA T7 — T Thomas enters mid-AB as sub (play #63).</t>
        </is>
      </c>
    </row>
    <row r="956">
      <c r="A956" t="inlineStr">
        <is>
          <t>2026-03-23_HMMN_at_CNTN</t>
        </is>
      </c>
      <c r="B956" s="10" t="n">
        <v>46104</v>
      </c>
      <c r="C956" t="inlineStr">
        <is>
          <t>Centennial Varsity Eagles</t>
        </is>
      </c>
      <c r="D956" t="inlineStr">
        <is>
          <t>HMMN</t>
        </is>
      </c>
      <c r="E956" t="inlineStr">
        <is>
          <t>B Garris</t>
        </is>
      </c>
      <c r="F956" t="n">
        <v>2</v>
      </c>
      <c r="G956" t="n">
        <v>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inlineStr">
        <is>
          <t>LO T2 (play #15, to SS E Rayne); FO T5 (play #37, to LF D Hill). B Garris also pitches B5 plays #45-#49 for HMMN (entry inferred, Flag #2).</t>
        </is>
      </c>
    </row>
    <row r="957">
      <c r="A957" t="inlineStr">
        <is>
          <t>2026-03-23_HMMN_at_CNTN</t>
        </is>
      </c>
      <c r="B957" s="10" t="n">
        <v>46104</v>
      </c>
      <c r="C957" t="inlineStr">
        <is>
          <t>Centennial Varsity Eagles</t>
        </is>
      </c>
      <c r="D957" t="inlineStr">
        <is>
          <t>HMMN</t>
        </is>
      </c>
      <c r="E957" t="inlineStr">
        <is>
          <t>N Macomber</t>
        </is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inlineStr">
        <is>
          <t>GO T7 (play #62); bats in D Bhatt expected batting order spot without documented substitution (Flag #6). Also CR for D Bhatt T2 (play #14 Sec4 embedded) — does not score (B Garris LO ends T2).</t>
        </is>
      </c>
    </row>
    <row r="958">
      <c r="A958" t="inlineStr">
        <is>
          <t>2026-03-23_HMMN_at_CNTN</t>
        </is>
      </c>
      <c r="B958" s="10" t="n">
        <v>46104</v>
      </c>
      <c r="C958" t="inlineStr">
        <is>
          <t>Centennial Varsity Eagles</t>
        </is>
      </c>
      <c r="D958" t="inlineStr">
        <is>
          <t>HMMN</t>
        </is>
      </c>
      <c r="E958" t="inlineStr">
        <is>
          <t>T Thomas</t>
        </is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inlineStr">
        <is>
          <t>Mid-AB sub for G Garris T7 (play #63, Lineup changed note). K_S (Sec4 Strike 3 swinging) — dropped 3rd strike, reaches via PB by catcher B Harris; advances to 2nd on CNTN Error #3 (B Harris). Does not score. K_S counted as AB per dropped 3rd strike rule.</t>
        </is>
      </c>
    </row>
    <row r="959">
      <c r="A959" t="inlineStr">
        <is>
          <t>2026-03-23_HMMN_at_CNTN</t>
        </is>
      </c>
      <c r="B959" s="10" t="n">
        <v>46104</v>
      </c>
      <c r="C959" t="inlineStr">
        <is>
          <t>Centennial Varsity Eagles</t>
        </is>
      </c>
      <c r="D959" t="inlineStr">
        <is>
          <t>HMMN</t>
        </is>
      </c>
      <c r="E959" t="inlineStr">
        <is>
          <t>L Duckworth</t>
        </is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inlineStr">
        <is>
          <t>K_L T7 (play #64, Sec4 Strike 3 looking). L Duckworth also pitches B5 (mid-AB play #50 onward) and B6 for HMMN.</t>
        </is>
      </c>
    </row>
    <row r="960">
      <c r="A960" t="inlineStr">
        <is>
          <t>2026-03-23_HMMN_at_CNTN</t>
        </is>
      </c>
      <c r="B960" s="10" t="n">
        <v>46104</v>
      </c>
      <c r="C960" t="inlineStr">
        <is>
          <t>Centennial Varsity Eagles</t>
        </is>
      </c>
      <c r="D960" t="inlineStr">
        <is>
          <t>HMMN</t>
        </is>
      </c>
      <c r="E960" t="inlineStr">
        <is>
          <t>K Gardner</t>
        </is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inlineStr">
        <is>
          <t>Mid-AB sub for Y Rivera T7 (play #65, Lineup changed note). K_S (Sec4 Strike 3 swinging). T Thomas stranded at 2nd when K Gardner K ends inning and game.</t>
        </is>
      </c>
    </row>
    <row r="961">
      <c r="A961" t="inlineStr">
        <is>
          <t>2026-03-23_HMMN_at_CNTN</t>
        </is>
      </c>
      <c r="B961" s="10" t="n">
        <v>46104</v>
      </c>
      <c r="C961" t="inlineStr">
        <is>
          <t>Hammond Varsity Bears</t>
        </is>
      </c>
      <c r="D961" t="inlineStr">
        <is>
          <t>CNTN</t>
        </is>
      </c>
      <c r="E961" t="inlineStr">
        <is>
          <t>A Gauthier</t>
        </is>
      </c>
      <c r="F961" t="n">
        <v>5</v>
      </c>
      <c r="G961" t="n">
        <v>4</v>
      </c>
      <c r="H961" t="n">
        <v>2</v>
      </c>
      <c r="I961" t="n">
        <v>2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1</v>
      </c>
      <c r="R961" t="n">
        <v>2</v>
      </c>
      <c r="S961" t="n">
        <v>2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inlineStr">
        <is>
          <t>1B B1 (play #4); HBP B2 (play #19); PO B4 (play #35); 1B B5 (play #49, RBI×2: D Hill + C Stachera score); K_S B6 (play #61, Sec4 Strike 3 swinging); SB 2nd B5 (embedded play #50 Sec4, E Rayne 2nd double AB); R B1 play #5 (E Rayne 2B) + B5 play #50 (E Rayne 2B, A Gauthier scores).</t>
        </is>
      </c>
    </row>
    <row r="962">
      <c r="A962" t="inlineStr">
        <is>
          <t>2026-03-23_HMMN_at_CNTN</t>
        </is>
      </c>
      <c r="B962" s="10" t="n">
        <v>46104</v>
      </c>
      <c r="C962" t="inlineStr">
        <is>
          <t>Hammond Varsity Bears</t>
        </is>
      </c>
      <c r="D962" t="inlineStr">
        <is>
          <t>CNTN</t>
        </is>
      </c>
      <c r="E962" t="inlineStr">
        <is>
          <t>E Rayne</t>
        </is>
      </c>
      <c r="F962" t="n">
        <v>4</v>
      </c>
      <c r="G962" t="n">
        <v>4</v>
      </c>
      <c r="H962" t="n">
        <v>3</v>
      </c>
      <c r="I962" t="n">
        <v>0</v>
      </c>
      <c r="J962" t="n">
        <v>3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3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inlineStr">
        <is>
          <t>2B B1 (play #5, RBI: A Gauthier scores); DP B2 (play #20, pop fly to RF G Garris then catcher L Tordella; C Stachera out at home on tag-up = Runner Out; GDP credited to E Rayne per DP outcome rule); 2B B5 (play #41); 2B B5 (play #50, RBI×2: L Choe + A Gauthier score); R B5 play #43 (A Banks 1B, E Rayne scores). B7 play #66 not counted (Flag #7).</t>
        </is>
      </c>
    </row>
    <row r="963">
      <c r="A963" t="inlineStr">
        <is>
          <t>2026-03-23_HMMN_at_CNTN</t>
        </is>
      </c>
      <c r="B963" s="10" t="n">
        <v>46104</v>
      </c>
      <c r="C963" t="inlineStr">
        <is>
          <t>Hammond Varsity Bears</t>
        </is>
      </c>
      <c r="D963" t="inlineStr">
        <is>
          <t>CNTN</t>
        </is>
      </c>
      <c r="E963" t="inlineStr">
        <is>
          <t>C Bade</t>
        </is>
      </c>
      <c r="F963" t="n">
        <v>4</v>
      </c>
      <c r="G963" t="n">
        <v>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inlineStr">
        <is>
          <t>GO B1 (play #6); PO B3 (play #24); GO B5 (play #42); HBP B5 (play #51; pitch seq ends "Ball 4" not HBP notation per Flag #4 — outcome and description confirm HBP). AB cross-check: PA=4 − HBP=1 = 3 ✓</t>
        </is>
      </c>
    </row>
    <row r="964">
      <c r="A964" t="inlineStr">
        <is>
          <t>2026-03-23_HMMN_at_CNTN</t>
        </is>
      </c>
      <c r="B964" s="10" t="n">
        <v>46104</v>
      </c>
      <c r="C964" t="inlineStr">
        <is>
          <t>Hammond Varsity Bears</t>
        </is>
      </c>
      <c r="D964" t="inlineStr">
        <is>
          <t>CNTN</t>
        </is>
      </c>
      <c r="E964" t="inlineStr">
        <is>
          <t>A Banks</t>
        </is>
      </c>
      <c r="F964" t="n">
        <v>4</v>
      </c>
      <c r="G964" t="n">
        <v>3</v>
      </c>
      <c r="H964" t="n">
        <v>2</v>
      </c>
      <c r="I964" t="n">
        <v>2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1</v>
      </c>
      <c r="P964" t="n">
        <v>1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inlineStr">
        <is>
          <t>BB B1 (play #7); 1B B3 (play #25); 1B B5 (play #43, RBI: E Rayne scores); K_L B5 (play #52); R B5 play #46 (C Stachera HBP, A Banks forced home — RBI to C Stachera).</t>
        </is>
      </c>
    </row>
    <row r="965">
      <c r="A965" t="inlineStr">
        <is>
          <t>2026-03-23_HMMN_at_CNTN</t>
        </is>
      </c>
      <c r="B965" s="10" t="n">
        <v>46104</v>
      </c>
      <c r="C965" t="inlineStr">
        <is>
          <t>Hammond Varsity Bears</t>
        </is>
      </c>
      <c r="D965" t="inlineStr">
        <is>
          <t>CNTN</t>
        </is>
      </c>
      <c r="E965" t="inlineStr">
        <is>
          <t>B Harris</t>
        </is>
      </c>
      <c r="F965" t="n">
        <v>4</v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2</v>
      </c>
      <c r="P965" t="n">
        <v>0</v>
      </c>
      <c r="Q965" t="n">
        <v>2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inlineStr">
        <is>
          <t>K_S B1 (play #8, foul-tip DP in the K sequence? No — K_S standard); FC B3 (play #26, A Banks out advancing to 2nd); BB B5 (play #44, then E Ogg CR enters play #45); K_S B5 (play #53, foul tip caught); R: E Ogg (CR) scores on D Hill 1B play #47 — R credited to B Harris per CR rule. B Harris committed CNTN Errors #1 (play #39 embedded) and #3 (play #63). CR E Ogg used in B3 (play #27, does not score) and B5 (play #45, scores play #47) — Flags #5, #6.</t>
        </is>
      </c>
    </row>
    <row r="966">
      <c r="A966" t="inlineStr">
        <is>
          <t>2026-03-23_HMMN_at_CNTN</t>
        </is>
      </c>
      <c r="B966" s="10" t="n">
        <v>46104</v>
      </c>
      <c r="C966" t="inlineStr">
        <is>
          <t>Hammond Varsity Bears</t>
        </is>
      </c>
      <c r="D966" t="inlineStr">
        <is>
          <t>CNTN</t>
        </is>
      </c>
      <c r="E966" t="inlineStr">
        <is>
          <t>B Corrao</t>
        </is>
      </c>
      <c r="F966" t="n">
        <v>4</v>
      </c>
      <c r="G966" t="n">
        <v>3</v>
      </c>
      <c r="H966" t="n">
        <v>2</v>
      </c>
      <c r="I966" t="n">
        <v>0</v>
      </c>
      <c r="J966" t="n">
        <v>2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2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inlineStr">
        <is>
          <t>LO B1 (play #9); 2B B3 (play #27; E Ogg CR for B Harris advances to 3rd but does not score — C Stachera GO ends B3); BB B5 (play #45); R B5 play #47 (D Hill 1B, B Corrao scores); 2B B6 (play #57); R B6 play #60 (L Choe SAC fly, B Corrao scores from 3rd).</t>
        </is>
      </c>
    </row>
    <row r="967">
      <c r="A967" t="inlineStr">
        <is>
          <t>2026-03-23_HMMN_at_CNTN</t>
        </is>
      </c>
      <c r="B967" s="10" t="n">
        <v>46104</v>
      </c>
      <c r="C967" t="inlineStr">
        <is>
          <t>Hammond Varsity Bears</t>
        </is>
      </c>
      <c r="D967" t="inlineStr">
        <is>
          <t>CNTN</t>
        </is>
      </c>
      <c r="E967" t="inlineStr">
        <is>
          <t>C Stachera</t>
        </is>
      </c>
      <c r="F967" t="n">
        <v>4</v>
      </c>
      <c r="G967" t="n">
        <v>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inlineStr">
        <is>
          <t>BB B2 (play #16); GO B3 (play #28); HBP B5 (play #46, RBI: A Banks forced home); R B5 play #49 (A Gauthier 1B, C Stachera scores). Note: C Stachera out at home on E Rayne B2 DP (play #20) = Runner Out; not counted as a PA. C Stachera also pitches T1-T4 for CNTN. AB: PA=4 − BB=1 − HBP=1 = 2 ✓</t>
        </is>
      </c>
    </row>
    <row r="968">
      <c r="A968" t="inlineStr">
        <is>
          <t>2026-03-23_HMMN_at_CNTN</t>
        </is>
      </c>
      <c r="B968" s="10" t="n">
        <v>46104</v>
      </c>
      <c r="C968" t="inlineStr">
        <is>
          <t>Hammond Varsity Bears</t>
        </is>
      </c>
      <c r="D968" t="inlineStr">
        <is>
          <t>CNTN</t>
        </is>
      </c>
      <c r="E968" t="inlineStr">
        <is>
          <t>D Hill</t>
        </is>
      </c>
      <c r="F968" t="n">
        <v>4</v>
      </c>
      <c r="G968" t="n">
        <v>4</v>
      </c>
      <c r="H968" t="n">
        <v>3</v>
      </c>
      <c r="I968" t="n">
        <v>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2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inlineStr">
        <is>
          <t>1B B2 (play #17); GO B4 (play #33); 1B B5 (play #47, RBI×2: B Corrao + E Ogg/B Harris score); SB 2nd B6 (embedded play #60 Sec4, L Choe SAC Fly AB); 1B B6 (play #59); R B5 play #49 (A Gauthier 1B, D Hill scores).</t>
        </is>
      </c>
    </row>
    <row r="969">
      <c r="A969" t="inlineStr">
        <is>
          <t>2026-03-23_HMMN_at_CNTN</t>
        </is>
      </c>
      <c r="B969" s="10" t="n">
        <v>46104</v>
      </c>
      <c r="C969" t="inlineStr">
        <is>
          <t>Hammond Varsity Bears</t>
        </is>
      </c>
      <c r="D969" t="inlineStr">
        <is>
          <t>CNTN</t>
        </is>
      </c>
      <c r="E969" t="inlineStr">
        <is>
          <t>L Choe</t>
        </is>
      </c>
      <c r="F969" t="n">
        <v>4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inlineStr">
        <is>
          <t>SAC B2 (play #18, outcome explicitly "Sacrifice" — bunt; PA+1, SAC+1, no AB); GO B4 (play #34); BB B5 (play #48); SAC Fly B6 (play #60, RBI: B Corrao scores from 3rd; D Hill steals 2nd embedded Sec4); R B5 play #50 (E Rayne 2B, L Choe scores from 3rd). AB: PA=4 − BB=1 − SAC=1 − SAC Fly=1 = 1 ✓</t>
        </is>
      </c>
    </row>
    <row r="970">
      <c r="A970" t="inlineStr">
        <is>
          <t>2026-03-23_HMMN_at_CNTN</t>
        </is>
      </c>
      <c r="B970" s="10" t="n">
        <v>46104</v>
      </c>
      <c r="C970" t="inlineStr">
        <is>
          <t>Hammond Varsity Bears</t>
        </is>
      </c>
      <c r="D970" t="inlineStr">
        <is>
          <t>CNTN</t>
        </is>
      </c>
      <c r="E970" t="inlineStr">
        <is>
          <t>E Ogg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inlineStr">
        <is>
          <t>CR for B Harris twice: B3 (play #27 Sec4 embedded) — E Ogg advances to 3rd on B Corrao 2B, does not score (C Stachera GO ends B3); B5 (play #45 Sec4 embedded) — E Ogg scores on D Hill 1B play #47, R credited to B Harris per CR rule. Zero batting PAs. Flags #5, #6.</t>
        </is>
      </c>
    </row>
    <row r="971">
      <c r="A971" t="inlineStr">
        <is>
          <t>2026-03-26_MRRT_at_CNTN</t>
        </is>
      </c>
      <c r="B971" s="10" t="n">
        <v>46107</v>
      </c>
      <c r="C971" t="inlineStr">
        <is>
          <t>Centennial Varsity Eagles</t>
        </is>
      </c>
      <c r="D971" t="inlineStr">
        <is>
          <t>MRRT</t>
        </is>
      </c>
      <c r="E971" t="inlineStr">
        <is>
          <t>A Schwendeman</t>
        </is>
      </c>
      <c r="F971" t="n">
        <v>4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inlineStr">
        <is>
          <t>K_L T1 (play #1); Walk T5 (play #41); 1B T7 (play #59)</t>
        </is>
      </c>
    </row>
    <row r="972">
      <c r="A972" t="inlineStr">
        <is>
          <t>2026-03-26_MRRT_at_CNTN</t>
        </is>
      </c>
      <c r="B972" s="10" t="n">
        <v>46107</v>
      </c>
      <c r="C972" t="inlineStr">
        <is>
          <t>Centennial Varsity Eagles</t>
        </is>
      </c>
      <c r="D972" t="inlineStr">
        <is>
          <t>MRRT</t>
        </is>
      </c>
      <c r="E972" t="inlineStr">
        <is>
          <t>O Snow</t>
        </is>
      </c>
      <c r="F972" t="n">
        <v>4</v>
      </c>
      <c r="G972" t="n">
        <v>2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inlineStr">
        <is>
          <t>HBP T1 (play #2); K_S T3 (play #22); GO T5 (play #42); HBP T7 (play #60)</t>
        </is>
      </c>
    </row>
    <row r="973">
      <c r="A973" t="inlineStr">
        <is>
          <t>2026-03-26_MRRT_at_CNTN</t>
        </is>
      </c>
      <c r="B973" s="10" t="n">
        <v>46107</v>
      </c>
      <c r="C973" t="inlineStr">
        <is>
          <t>Centennial Varsity Eagles</t>
        </is>
      </c>
      <c r="D973" t="inlineStr">
        <is>
          <t>MRRT</t>
        </is>
      </c>
      <c r="E973" t="inlineStr">
        <is>
          <t>M Parson</t>
        </is>
      </c>
      <c r="F973" t="n">
        <v>4</v>
      </c>
      <c r="G973" t="n">
        <v>3</v>
      </c>
      <c r="H973" t="n">
        <v>2</v>
      </c>
      <c r="I973" t="n">
        <v>2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inlineStr">
        <is>
          <t>Walk T1 (play #3); 1B T4 (play #28); bunt GO T5 (play #43, no SAC language); 1B T7 (play #61, sub for S Grams per Flag #7). Right field position per play descriptions.</t>
        </is>
      </c>
    </row>
    <row r="974">
      <c r="A974" t="inlineStr">
        <is>
          <t>2026-03-26_MRRT_at_CNTN</t>
        </is>
      </c>
      <c r="B974" s="10" t="n">
        <v>46107</v>
      </c>
      <c r="C974" t="inlineStr">
        <is>
          <t>Centennial Varsity Eagles</t>
        </is>
      </c>
      <c r="D974" t="inlineStr">
        <is>
          <t>MRRT</t>
        </is>
      </c>
      <c r="E974" t="inlineStr">
        <is>
          <t>N Brown</t>
        </is>
      </c>
      <c r="F974" t="n">
        <v>4</v>
      </c>
      <c r="G974" t="n">
        <v>3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inlineStr">
        <is>
          <t>FO T1 (play #4); Walk T4 (play #29); 1B T6 (play #48, no pitcher named — see Flag #2); PO T7 (play #62). R T6: scores embedded in A Montgomery K AB (play #52) — mechanism not stated (Flag #6); no RBI awarded.</t>
        </is>
      </c>
    </row>
    <row r="975">
      <c r="A975" t="inlineStr">
        <is>
          <t>2026-03-26_MRRT_at_CNTN</t>
        </is>
      </c>
      <c r="B975" s="10" t="n">
        <v>46107</v>
      </c>
      <c r="C975" t="inlineStr">
        <is>
          <t>Centennial Varsity Eagles</t>
        </is>
      </c>
      <c r="D975" t="inlineStr">
        <is>
          <t>MRRT</t>
        </is>
      </c>
      <c r="E975" t="inlineStr">
        <is>
          <t>A Devito</t>
        </is>
      </c>
      <c r="F975" t="n">
        <v>4</v>
      </c>
      <c r="G975" t="n">
        <v>3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2</v>
      </c>
      <c r="P975" t="n">
        <v>2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inlineStr">
        <is>
          <t>K_L T2 (play #30); Walk T6 (play #49); K_L T7 (play #63); 1B T2 (play #11). Out advancing to 2nd on J Devito FC T6 (play #50) — runner out, not a separate PA.</t>
        </is>
      </c>
    </row>
    <row r="976">
      <c r="A976" t="inlineStr">
        <is>
          <t>2026-03-26_MRRT_at_CNTN</t>
        </is>
      </c>
      <c r="B976" s="10" t="n">
        <v>46107</v>
      </c>
      <c r="C976" t="inlineStr">
        <is>
          <t>Centennial Varsity Eagles</t>
        </is>
      </c>
      <c r="D976" t="inlineStr">
        <is>
          <t>MRRT</t>
        </is>
      </c>
      <c r="E976" t="inlineStr">
        <is>
          <t>J Devito</t>
        </is>
      </c>
      <c r="F976" t="n">
        <v>3</v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inlineStr">
        <is>
          <t>PO T2 (play #12); K_L T4 (play #31); FC T6 (play #50, A Devito out advancing). Advances 2nd→3rd on PB (C B Harris) embedded play #52; stranded when A Montgomery K ends T6.</t>
        </is>
      </c>
    </row>
    <row r="977">
      <c r="A977" t="inlineStr">
        <is>
          <t>2026-03-26_MRRT_at_CNTN</t>
        </is>
      </c>
      <c r="B977" s="10" t="n">
        <v>46107</v>
      </c>
      <c r="C977" t="inlineStr">
        <is>
          <t>Centennial Varsity Eagles</t>
        </is>
      </c>
      <c r="D977" t="inlineStr">
        <is>
          <t>MRRT</t>
        </is>
      </c>
      <c r="E977" t="inlineStr">
        <is>
          <t>Z Magee</t>
        </is>
      </c>
      <c r="F977" t="n">
        <v>3</v>
      </c>
      <c r="G977" t="n">
        <v>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inlineStr">
        <is>
          <t>PO T2 (play #13); HBP T4 (play #32); PO T6 (play #51).</t>
        </is>
      </c>
    </row>
    <row r="978">
      <c r="A978" t="inlineStr">
        <is>
          <t>2026-03-26_MRRT_at_CNTN</t>
        </is>
      </c>
      <c r="B978" s="10" t="n">
        <v>46107</v>
      </c>
      <c r="C978" t="inlineStr">
        <is>
          <t>Centennial Varsity Eagles</t>
        </is>
      </c>
      <c r="D978" t="inlineStr">
        <is>
          <t>MRRT</t>
        </is>
      </c>
      <c r="E978" t="inlineStr">
        <is>
          <t>A Montgomery</t>
        </is>
      </c>
      <c r="F978" t="n">
        <v>3</v>
      </c>
      <c r="G978" t="n">
        <v>3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inlineStr">
        <is>
          <t>GO T2 (play #14); FC T4 (play #33, Z Magee out advancing; M Parson did not score per Flag #5); K_S T6 (play #52) — N Brown scores embedded (mechanism unstated Flag #6), J Devito adv on PB. Note: may be same player as "Alex Montgomery" in repository entry from 2026-03-30_HWRD_at_MRRT.</t>
        </is>
      </c>
    </row>
    <row r="979">
      <c r="A979" t="inlineStr">
        <is>
          <t>2026-03-26_MRRT_at_CNTN</t>
        </is>
      </c>
      <c r="B979" s="10" t="n">
        <v>46107</v>
      </c>
      <c r="C979" t="inlineStr">
        <is>
          <t>Centennial Varsity Eagles</t>
        </is>
      </c>
      <c r="D979" t="inlineStr">
        <is>
          <t>MRRT</t>
        </is>
      </c>
      <c r="E979" t="inlineStr">
        <is>
          <t>M Delmonte</t>
        </is>
      </c>
      <c r="F979" t="n">
        <v>2</v>
      </c>
      <c r="G979" t="n">
        <v>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>
        <is>
          <t>PO T3 (play #20); K_L T5 (play #40). Replaced by A Hlavaty T7 (play #58 lineup note). MRRT Error #1 committed by M Delmonte (LF) play #9 B1.</t>
        </is>
      </c>
    </row>
    <row r="980">
      <c r="A980" t="inlineStr">
        <is>
          <t>2026-03-26_MRRT_at_CNTN</t>
        </is>
      </c>
      <c r="B980" s="10" t="n">
        <v>46107</v>
      </c>
      <c r="C980" t="inlineStr">
        <is>
          <t>Centennial Varsity Eagles</t>
        </is>
      </c>
      <c r="D980" t="inlineStr">
        <is>
          <t>MRRT</t>
        </is>
      </c>
      <c r="E980" t="inlineStr">
        <is>
          <t>A Hlavaty</t>
        </is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inlineStr">
        <is>
          <t>Sub for M Delmonte T7 (play #58 lineup note); GO T7 (play #58).</t>
        </is>
      </c>
    </row>
    <row r="981">
      <c r="A981" t="inlineStr">
        <is>
          <t>2026-03-26_MRRT_at_CNTN</t>
        </is>
      </c>
      <c r="B981" s="10" t="n">
        <v>46107</v>
      </c>
      <c r="C981" t="inlineStr">
        <is>
          <t>Centennial Varsity Eagles</t>
        </is>
      </c>
      <c r="D981" t="inlineStr">
        <is>
          <t>MRRT</t>
        </is>
      </c>
      <c r="E981" t="inlineStr">
        <is>
          <t>S Grams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inlineStr">
        <is>
          <t>Announced batter T7 play #61, replaced by M Parson before any pitch (pre-AB sub, Flag #7). No PA recorded. See Flag #7 for substitution anomaly.</t>
        </is>
      </c>
    </row>
    <row r="982">
      <c r="A982" t="inlineStr">
        <is>
          <t>2026-03-26_MRRT_at_CNTN</t>
        </is>
      </c>
      <c r="B982" s="10" t="n">
        <v>46107</v>
      </c>
      <c r="C982" t="inlineStr">
        <is>
          <t>Marriotts Ridge Varsity Mustangs</t>
        </is>
      </c>
      <c r="D982" t="inlineStr">
        <is>
          <t>CNTN</t>
        </is>
      </c>
      <c r="E982" t="inlineStr">
        <is>
          <t>A Gauthier</t>
        </is>
      </c>
      <c r="F982" t="n">
        <v>4</v>
      </c>
      <c r="G982" t="n">
        <v>3</v>
      </c>
      <c r="H982" t="n">
        <v>2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inlineStr">
        <is>
          <t>LO B1 (play #5); 2B B2 (play #18, RBI L Choe scores); HBP B4 (play #36); 1B B6 (play #54). SB B6: A Gauthier steals 2nd during C Bade HBP AB (play #56 embedded, Flag #3). Stranded all appearances; R=0.</t>
        </is>
      </c>
    </row>
    <row r="983">
      <c r="A983" t="inlineStr">
        <is>
          <t>2026-03-26_MRRT_at_CNTN</t>
        </is>
      </c>
      <c r="B983" s="10" t="n">
        <v>46107</v>
      </c>
      <c r="C983" t="inlineStr">
        <is>
          <t>Marriotts Ridge Varsity Mustangs</t>
        </is>
      </c>
      <c r="D983" t="inlineStr">
        <is>
          <t>CNTN</t>
        </is>
      </c>
      <c r="E983" t="inlineStr">
        <is>
          <t>E Rayne</t>
        </is>
      </c>
      <c r="F983" t="n">
        <v>4</v>
      </c>
      <c r="G983" t="n">
        <v>3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inlineStr">
        <is>
          <t>Walk B1 (play #6) — E Rayne thrown out advancing to home (runner out, embedded play #8); PO B2 (play #19); PO B4 (play #37, B Balighian enters mid-AB); K_L B5 (play #55). Also CNTN starting pitcher T1-T5. R=0.</t>
        </is>
      </c>
    </row>
    <row r="984">
      <c r="A984" t="inlineStr">
        <is>
          <t>2026-03-26_MRRT_at_CNTN</t>
        </is>
      </c>
      <c r="B984" s="10" t="n">
        <v>46107</v>
      </c>
      <c r="C984" t="inlineStr">
        <is>
          <t>Marriotts Ridge Varsity Mustangs</t>
        </is>
      </c>
      <c r="D984" t="inlineStr">
        <is>
          <t>CNTN</t>
        </is>
      </c>
      <c r="E984" t="inlineStr">
        <is>
          <t>C Bade</t>
        </is>
      </c>
      <c r="F984" t="n">
        <v>4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2</v>
      </c>
      <c r="N984" t="n">
        <v>1</v>
      </c>
      <c r="O984" t="n">
        <v>0</v>
      </c>
      <c r="P984" t="n">
        <v>0</v>
      </c>
      <c r="Q984" t="n">
        <v>0</v>
      </c>
      <c r="R984" t="n">
        <v>2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inlineStr">
        <is>
          <t>1B B1 (play #7); Walk B3 (play #23); Walk B4 (play #38); HBP B6 (play #56). SB B3: C Bade steals 2nd during B Harris AB (play #25 embedded, Flag #3). R B1 (scores on B Harris 1B play #9) + R B3 (scores on B Harris 2B play #25) = 2. RBI=0.</t>
        </is>
      </c>
    </row>
    <row r="985">
      <c r="A985" t="inlineStr">
        <is>
          <t>2026-03-26_MRRT_at_CNTN</t>
        </is>
      </c>
      <c r="B985" s="10" t="n">
        <v>46107</v>
      </c>
      <c r="C985" t="inlineStr">
        <is>
          <t>Marriotts Ridge Varsity Mustangs</t>
        </is>
      </c>
      <c r="D985" t="inlineStr">
        <is>
          <t>CNTN</t>
        </is>
      </c>
      <c r="E985" t="inlineStr">
        <is>
          <t>A Banks</t>
        </is>
      </c>
      <c r="F985" t="n">
        <v>4</v>
      </c>
      <c r="G985" t="n">
        <v>4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inlineStr">
        <is>
          <t>1B B1 (play #8) — E Rayne thrown out advancing to home (runner out embedded in this AB); PO B3 (play #24, J Ketterer records out mid-AB); LO B4 (play #39); PO B6 (play #57). No runs or RBIs.</t>
        </is>
      </c>
    </row>
    <row r="986">
      <c r="A986" t="inlineStr">
        <is>
          <t>2026-03-26_MRRT_at_CNTN</t>
        </is>
      </c>
      <c r="B986" s="10" t="n">
        <v>46107</v>
      </c>
      <c r="C986" t="inlineStr">
        <is>
          <t>Marriotts Ridge Varsity Mustangs</t>
        </is>
      </c>
      <c r="D986" t="inlineStr">
        <is>
          <t>CNTN</t>
        </is>
      </c>
      <c r="E986" t="inlineStr">
        <is>
          <t>B Harris</t>
        </is>
      </c>
      <c r="F986" t="n">
        <v>3</v>
      </c>
      <c r="G986" t="n">
        <v>3</v>
      </c>
      <c r="H986" t="n">
        <v>3</v>
      </c>
      <c r="I986" t="n">
        <v>2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inlineStr">
        <is>
          <t>1B B1 (play #9, RBI C Bade scores — aided by MRRT Error #1 M Delmonte); 2B B3 (play #25, RBI C Bade scores; C Bade SB embedded during this AB); 1B B5 (play #44). B7 play #64 not counted (Flag #9). CR E Ogg used ×3: play #10 (B1, stranded), play #26 (B3, stranded), play #45 (B5, E Ogg out on DP). Flag #8: E Ogg used three times; R=0 (B Harris never scores per CR tracking).</t>
        </is>
      </c>
    </row>
    <row r="987">
      <c r="A987" t="inlineStr">
        <is>
          <t>2026-03-26_MRRT_at_CNTN</t>
        </is>
      </c>
      <c r="B987" s="10" t="n">
        <v>46107</v>
      </c>
      <c r="C987" t="inlineStr">
        <is>
          <t>Marriotts Ridge Varsity Mustangs</t>
        </is>
      </c>
      <c r="D987" t="inlineStr">
        <is>
          <t>CNTN</t>
        </is>
      </c>
      <c r="E987" t="inlineStr">
        <is>
          <t>B Corrao</t>
        </is>
      </c>
      <c r="F987" t="n">
        <v>3</v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inlineStr">
        <is>
          <t>PO B1 (play #10); FO B3 (play #26); bunt DP B5 (play #45, GDP: E Ogg out advancing + B Corrao out at 1B). E Ogg CR for B Harris stranded B1 and B3; out on DP B5. No runs.</t>
        </is>
      </c>
    </row>
    <row r="988">
      <c r="A988" t="inlineStr">
        <is>
          <t>2026-03-26_MRRT_at_CNTN</t>
        </is>
      </c>
      <c r="B988" s="10" t="n">
        <v>46107</v>
      </c>
      <c r="C988" t="inlineStr">
        <is>
          <t>Marriotts Ridge Varsity Mustangs</t>
        </is>
      </c>
      <c r="D988" t="inlineStr">
        <is>
          <t>CNTN</t>
        </is>
      </c>
      <c r="E988" t="inlineStr">
        <is>
          <t>C Stachera</t>
        </is>
      </c>
      <c r="F988" t="n">
        <v>3</v>
      </c>
      <c r="G988" t="n">
        <v>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inlineStr">
        <is>
          <t>K_S B2 (play #15); LO B3 (play #27); Walk B5 (play #46). Stranded B5 when D Hill GO ends inning.</t>
        </is>
      </c>
    </row>
    <row r="989">
      <c r="A989" t="inlineStr">
        <is>
          <t>2026-03-26_MRRT_at_CNTN</t>
        </is>
      </c>
      <c r="B989" s="10" t="n">
        <v>46107</v>
      </c>
      <c r="C989" t="inlineStr">
        <is>
          <t>Marriotts Ridge Varsity Mustangs</t>
        </is>
      </c>
      <c r="D989" t="inlineStr">
        <is>
          <t>CNTN</t>
        </is>
      </c>
      <c r="E989" t="inlineStr">
        <is>
          <t>D Hill</t>
        </is>
      </c>
      <c r="F989" t="n">
        <v>3</v>
      </c>
      <c r="G989" t="n">
        <v>3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inlineStr">
        <is>
          <t>PO B2 (play #16); K_L B4 (play #34); GO B5 (play #47).</t>
        </is>
      </c>
    </row>
    <row r="990">
      <c r="A990" t="inlineStr">
        <is>
          <t>2026-03-26_MRRT_at_CNTN</t>
        </is>
      </c>
      <c r="B990" s="10" t="n">
        <v>46107</v>
      </c>
      <c r="C990" t="inlineStr">
        <is>
          <t>Marriotts Ridge Varsity Mustangs</t>
        </is>
      </c>
      <c r="D990" t="inlineStr">
        <is>
          <t>CNTN</t>
        </is>
      </c>
      <c r="E990" t="inlineStr">
        <is>
          <t>L Choe</t>
        </is>
      </c>
      <c r="F990" t="n">
        <v>3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>
        <is>
          <t>Walk B2 (play #17) — advances to 2nd on WP (T Smith) during A Gauthier AB (Flag #3, embedded); scores on A Gauthier 2B (play #18) R=1. HBP B4 (play #35); GO B6 (play #53).</t>
        </is>
      </c>
    </row>
    <row r="991">
      <c r="A991" t="inlineStr">
        <is>
          <t>2026-03-26_MRRT_at_CNTN</t>
        </is>
      </c>
      <c r="B991" s="10" t="n">
        <v>46107</v>
      </c>
      <c r="C991" t="inlineStr">
        <is>
          <t>Marriotts Ridge Varsity Mustangs</t>
        </is>
      </c>
      <c r="D991" t="inlineStr">
        <is>
          <t>CNTN</t>
        </is>
      </c>
      <c r="E991" t="inlineStr">
        <is>
          <t>E Ogg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inlineStr">
        <is>
          <t>CR for B Harris ×3: B1 play #10 (stranded at 2B), B3 play #26 (stranded at 2B), B5 play #45 (out advancing to 2nd — first out of B Corrao DP). Zero batting PAs. Flag #8.</t>
        </is>
      </c>
    </row>
    <row r="992">
      <c r="A992" t="inlineStr">
        <is>
          <t>2026-03-31_CRFT_at_CNTN</t>
        </is>
      </c>
      <c r="B992" s="10" t="n">
        <v>46112</v>
      </c>
      <c r="C992" t="inlineStr">
        <is>
          <t>Crofton Varsity Cardinals</t>
        </is>
      </c>
      <c r="D992" t="inlineStr">
        <is>
          <t>CRFT</t>
        </is>
      </c>
      <c r="E992" t="inlineStr">
        <is>
          <t>M Brown-Mitchell</t>
        </is>
      </c>
      <c r="F992" t="n">
        <v>4</v>
      </c>
      <c r="G992" t="n">
        <v>4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inlineStr">
        <is>
          <t>Triple play #20 (scorer notes misplay, Flag #5). SB play #37 (embedded M Brown-Mitchell steals 2nd during B White AB, T5). R: scores on B White SacFly play #21.</t>
        </is>
      </c>
    </row>
    <row r="993">
      <c r="A993" t="inlineStr">
        <is>
          <t>2026-03-31_CRFT_at_CNTN</t>
        </is>
      </c>
      <c r="B993" s="10" t="n">
        <v>46112</v>
      </c>
      <c r="C993" t="inlineStr">
        <is>
          <t>Crofton Varsity Cardinals</t>
        </is>
      </c>
      <c r="D993" t="inlineStr">
        <is>
          <t>CRFT</t>
        </is>
      </c>
      <c r="E993" t="inlineStr">
        <is>
          <t>B White</t>
        </is>
      </c>
      <c r="F993" t="n">
        <v>4</v>
      </c>
      <c r="G993" t="n">
        <v>3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inlineStr">
        <is>
          <t>SacFly play #21 (M Brown-Mitchell scores, RBI+1). PA(4)-SacFly(1)=AB 3. R: scores on N Kehs 2B play #57.</t>
        </is>
      </c>
    </row>
    <row r="994">
      <c r="A994" t="inlineStr">
        <is>
          <t>2026-03-31_CRFT_at_CNTN</t>
        </is>
      </c>
      <c r="B994" s="10" t="n">
        <v>46112</v>
      </c>
      <c r="C994" t="inlineStr">
        <is>
          <t>Crofton Varsity Cardinals</t>
        </is>
      </c>
      <c r="D994" t="inlineStr">
        <is>
          <t>CRFT</t>
        </is>
      </c>
      <c r="E994" t="inlineStr">
        <is>
          <t>J Gifford</t>
        </is>
      </c>
      <c r="F994" t="n">
        <v>4</v>
      </c>
      <c r="G994" t="n">
        <v>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inlineStr">
        <is>
          <t>K_L play #38. Reaches on error plays #56 (CNTN E#3). R: scores on K Willis error play #58. Pitched B7 — see Pitching sheet.</t>
        </is>
      </c>
    </row>
    <row r="995">
      <c r="A995" t="inlineStr">
        <is>
          <t>2026-03-31_CRFT_at_CNTN</t>
        </is>
      </c>
      <c r="B995" s="10" t="n">
        <v>46112</v>
      </c>
      <c r="C995" t="inlineStr">
        <is>
          <t>Crofton Varsity Cardinals</t>
        </is>
      </c>
      <c r="D995" t="inlineStr">
        <is>
          <t>CRFT</t>
        </is>
      </c>
      <c r="E995" t="inlineStr">
        <is>
          <t>N Truman</t>
        </is>
      </c>
      <c r="F995" t="n">
        <v>2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2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inlineStr">
        <is>
          <t>Replaced by PH N Kehs in T6 (play #43). SB play #24 (embedded N Truman steals 2nd during K Willis AB, T3). R: scores on G Gallow 2B play #13.</t>
        </is>
      </c>
    </row>
    <row r="996">
      <c r="A996" t="inlineStr">
        <is>
          <t>2026-03-31_CRFT_at_CNTN</t>
        </is>
      </c>
      <c r="B996" s="10" t="n">
        <v>46112</v>
      </c>
      <c r="C996" t="inlineStr">
        <is>
          <t>Crofton Varsity Cardinals</t>
        </is>
      </c>
      <c r="D996" t="inlineStr">
        <is>
          <t>CRFT</t>
        </is>
      </c>
      <c r="E996" t="inlineStr">
        <is>
          <t>K Willis</t>
        </is>
      </c>
      <c r="F996" t="n">
        <v>4</v>
      </c>
      <c r="G996" t="n">
        <v>3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2</v>
      </c>
      <c r="S996" t="n">
        <v>0</v>
      </c>
      <c r="T996" t="n">
        <v>2</v>
      </c>
      <c r="U996" t="n">
        <v>0</v>
      </c>
      <c r="V996" t="n">
        <v>0</v>
      </c>
      <c r="W996" t="n">
        <v>0</v>
      </c>
      <c r="X996" t="n">
        <v>0</v>
      </c>
      <c r="Y996" t="inlineStr">
        <is>
          <t>HBP play #11. Reaches on error play #58 (CNTN E#4). SB×2 plays #59 (steals 2nd and 3rd, embedded in X Bejar walk AB, T7). R×2: scores on G Gallow 2B play #13 + unstated mechanism play #59 (Flag #6). AB=PA(4)-HBP(1)=3.</t>
        </is>
      </c>
    </row>
    <row r="997">
      <c r="A997" t="inlineStr">
        <is>
          <t>2026-03-31_CRFT_at_CNTN</t>
        </is>
      </c>
      <c r="B997" s="10" t="n">
        <v>46112</v>
      </c>
      <c r="C997" t="inlineStr">
        <is>
          <t>Crofton Varsity Cardinals</t>
        </is>
      </c>
      <c r="D997" t="inlineStr">
        <is>
          <t>CRFT</t>
        </is>
      </c>
      <c r="E997" t="inlineStr">
        <is>
          <t>X Bejar</t>
        </is>
      </c>
      <c r="F997" t="n">
        <v>4</v>
      </c>
      <c r="G997" t="n">
        <v>3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2</v>
      </c>
      <c r="P997" t="n">
        <v>1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inlineStr">
        <is>
          <t>K_S play #12; K_L play #28. 1B play #45. AB=PA(4)-BB(1)=3.</t>
        </is>
      </c>
    </row>
    <row r="998">
      <c r="A998" t="inlineStr">
        <is>
          <t>2026-03-31_CRFT_at_CNTN</t>
        </is>
      </c>
      <c r="B998" s="10" t="n">
        <v>46112</v>
      </c>
      <c r="C998" t="inlineStr">
        <is>
          <t>Crofton Varsity Cardinals</t>
        </is>
      </c>
      <c r="D998" t="inlineStr">
        <is>
          <t>CRFT</t>
        </is>
      </c>
      <c r="E998" t="inlineStr">
        <is>
          <t>G Gallow</t>
        </is>
      </c>
      <c r="F998" t="n">
        <v>4</v>
      </c>
      <c r="G998" t="n">
        <v>4</v>
      </c>
      <c r="H998" t="n">
        <v>2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2</v>
      </c>
      <c r="P998" t="n">
        <v>2</v>
      </c>
      <c r="Q998" t="n">
        <v>0</v>
      </c>
      <c r="R998" t="n">
        <v>0</v>
      </c>
      <c r="S998" t="n">
        <v>3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inlineStr">
        <is>
          <t>2B play #13 (RBI+2: N Truman+K Willis score). 1B bunt play #46 (RBI+1: N Kehs/L Davis CR scores). K_L×2 plays #29,#60.</t>
        </is>
      </c>
    </row>
    <row r="999">
      <c r="A999" t="inlineStr">
        <is>
          <t>2026-03-31_CRFT_at_CNTN</t>
        </is>
      </c>
      <c r="B999" s="10" t="n">
        <v>46112</v>
      </c>
      <c r="C999" t="inlineStr">
        <is>
          <t>Crofton Varsity Cardinals</t>
        </is>
      </c>
      <c r="D999" t="inlineStr">
        <is>
          <t>CRFT</t>
        </is>
      </c>
      <c r="E999" t="inlineStr">
        <is>
          <t>E Colgan</t>
        </is>
      </c>
      <c r="F999" t="n">
        <v>4</v>
      </c>
      <c r="G999" t="n">
        <v>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3</v>
      </c>
      <c r="P999" t="n">
        <v>3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inlineStr">
        <is>
          <t>SAC play #47 (X Bejar scores, RBI+1). K_L×3 plays #14,#30,#61. AB=PA(4)-SAC(1)=3.</t>
        </is>
      </c>
    </row>
    <row r="1000">
      <c r="A1000" t="inlineStr">
        <is>
          <t>2026-03-31_CRFT_at_CNTN</t>
        </is>
      </c>
      <c r="B1000" s="10" t="n">
        <v>46112</v>
      </c>
      <c r="C1000" t="inlineStr">
        <is>
          <t>Crofton Varsity Cardinals</t>
        </is>
      </c>
      <c r="D1000" t="inlineStr">
        <is>
          <t>CRFT</t>
        </is>
      </c>
      <c r="E1000" t="inlineStr">
        <is>
          <t>M Davis</t>
        </is>
      </c>
      <c r="F1000" t="n">
        <v>3</v>
      </c>
      <c r="G1000" t="n">
        <v>3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inlineStr">
        <is>
          <t>K_L play #48. Phantom T8 entry (play #65) skipped per Flag #8 — no outcome recorded.</t>
        </is>
      </c>
    </row>
    <row r="1001">
      <c r="A1001" t="inlineStr">
        <is>
          <t>2026-03-31_CRFT_at_CNTN</t>
        </is>
      </c>
      <c r="B1001" s="10" t="n">
        <v>46112</v>
      </c>
      <c r="C1001" t="inlineStr">
        <is>
          <t>Crofton Varsity Cardinals</t>
        </is>
      </c>
      <c r="D1001" t="inlineStr">
        <is>
          <t>CRFT</t>
        </is>
      </c>
      <c r="E1001" t="inlineStr">
        <is>
          <t>N Kehs</t>
        </is>
      </c>
      <c r="F1001" t="n">
        <v>2</v>
      </c>
      <c r="G1001" t="n">
        <v>2</v>
      </c>
      <c r="H1001" t="n">
        <v>2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2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>
        <is>
          <t>PH for N Truman starting T6 play #43. 1B play #43. 2B play #57 (RBI+1: B White scores). R×2: L Davis CR scores at play #46 — credited to original player N Kehs per courtesy runner rule; N Kehs scores on K Willis error play #58.</t>
        </is>
      </c>
    </row>
    <row r="1002">
      <c r="A1002" t="inlineStr">
        <is>
          <t>2026-03-31_CRFT_at_CNTN</t>
        </is>
      </c>
      <c r="B1002" s="10" t="n">
        <v>46112</v>
      </c>
      <c r="C1002" t="inlineStr">
        <is>
          <t>Crofton Varsity Cardinals</t>
        </is>
      </c>
      <c r="D1002" t="inlineStr">
        <is>
          <t>CRFT</t>
        </is>
      </c>
      <c r="E1002" t="inlineStr">
        <is>
          <t>L Davis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inlineStr">
        <is>
          <t>CR for N Kehs T6 plays #44,#46. Scores at play #46 (G Gallow bunt 1B) — run credited to original player N Kehs per courtesy runner rule. Zero batting PAs.</t>
        </is>
      </c>
    </row>
    <row r="1003">
      <c r="A1003" t="inlineStr">
        <is>
          <t>2026-03-31_CRFT_at_CNTN</t>
        </is>
      </c>
      <c r="B1003" s="10" t="n">
        <v>46112</v>
      </c>
      <c r="C1003" t="inlineStr">
        <is>
          <t>Crofton Varsity Cardinals</t>
        </is>
      </c>
      <c r="D1003" t="inlineStr">
        <is>
          <t>CNTN</t>
        </is>
      </c>
      <c r="E1003" t="inlineStr">
        <is>
          <t>A Gauthier</t>
        </is>
      </c>
      <c r="F1003" t="n">
        <v>3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inlineStr">
        <is>
          <t>GDP play #19 (double play: D Hill out at 2nd, A Gauthier out at 1st). Replaced by PH A Li in B7.</t>
        </is>
      </c>
    </row>
    <row r="1004">
      <c r="A1004" t="inlineStr">
        <is>
          <t>2026-03-31_CRFT_at_CNTN</t>
        </is>
      </c>
      <c r="B1004" s="10" t="n">
        <v>46112</v>
      </c>
      <c r="C1004" t="inlineStr">
        <is>
          <t>Crofton Varsity Cardinals</t>
        </is>
      </c>
      <c r="D1004" t="inlineStr">
        <is>
          <t>CNTN</t>
        </is>
      </c>
      <c r="E1004" t="inlineStr">
        <is>
          <t>E Rayne</t>
        </is>
      </c>
      <c r="F1004" t="n">
        <v>3</v>
      </c>
      <c r="G1004" t="n">
        <v>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>
        <is>
          <t>Walk play #5. GO×2 plays #25,#42. Also CNTN opening pitcher (T1-T3) — see Pitching sheet.</t>
        </is>
      </c>
    </row>
    <row r="1005">
      <c r="A1005" t="inlineStr">
        <is>
          <t>2026-03-31_CRFT_at_CNTN</t>
        </is>
      </c>
      <c r="B1005" s="10" t="n">
        <v>46112</v>
      </c>
      <c r="C1005" t="inlineStr">
        <is>
          <t>Crofton Varsity Cardinals</t>
        </is>
      </c>
      <c r="D1005" t="inlineStr">
        <is>
          <t>CNTN</t>
        </is>
      </c>
      <c r="E1005" t="inlineStr">
        <is>
          <t>C Bade</t>
        </is>
      </c>
      <c r="F1005" t="n">
        <v>3</v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inlineStr">
        <is>
          <t>CS play #7 (caught stealing 2nd — embedded in A Banks walk AB, B1). FC play #6. K_S play #26. AB=PA(3)-BB(1)=2.</t>
        </is>
      </c>
    </row>
    <row r="1006">
      <c r="A1006" t="inlineStr">
        <is>
          <t>2026-03-31_CRFT_at_CNTN</t>
        </is>
      </c>
      <c r="B1006" s="10" t="n">
        <v>46112</v>
      </c>
      <c r="C1006" t="inlineStr">
        <is>
          <t>Crofton Varsity Cardinals</t>
        </is>
      </c>
      <c r="D1006" t="inlineStr">
        <is>
          <t>CNTN</t>
        </is>
      </c>
      <c r="E1006" t="inlineStr">
        <is>
          <t>A Banks</t>
        </is>
      </c>
      <c r="F1006" t="n">
        <v>3</v>
      </c>
      <c r="G1006" t="n">
        <v>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inlineStr">
        <is>
          <t>GDP play #50 (A Banks DP: C Bade out at 2nd, A Banks out at 1st). K_S play #27. AB=PA(3)-BB(1)=2.</t>
        </is>
      </c>
    </row>
    <row r="1007">
      <c r="A1007" t="inlineStr">
        <is>
          <t>2026-03-31_CRFT_at_CNTN</t>
        </is>
      </c>
      <c r="B1007" s="10" t="n">
        <v>46112</v>
      </c>
      <c r="C1007" t="inlineStr">
        <is>
          <t>Crofton Varsity Cardinals</t>
        </is>
      </c>
      <c r="D1007" t="inlineStr">
        <is>
          <t>CNTN</t>
        </is>
      </c>
      <c r="E1007" t="inlineStr">
        <is>
          <t>B Harris</t>
        </is>
      </c>
      <c r="F1007" t="n">
        <v>3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3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inlineStr">
        <is>
          <t>BB×3 plays #8,#31,#51. CR E Ogg used ×3 (plays #9,#32,#52) — E Ogg did not score. AB=0.</t>
        </is>
      </c>
    </row>
    <row r="1008">
      <c r="A1008" t="inlineStr">
        <is>
          <t>2026-03-31_CRFT_at_CNTN</t>
        </is>
      </c>
      <c r="B1008" s="10" t="n">
        <v>46112</v>
      </c>
      <c r="C1008" t="inlineStr">
        <is>
          <t>Crofton Varsity Cardinals</t>
        </is>
      </c>
      <c r="D1008" t="inlineStr">
        <is>
          <t>CNTN</t>
        </is>
      </c>
      <c r="E1008" t="inlineStr">
        <is>
          <t>E Ogg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inlineStr">
        <is>
          <t>CR for B Harris ×3: B1 play #9 (advances to 2nd, stranded), B4 play #32 (out advancing to 2nd on B Corrao FC), B6 play #52 (advances to 2nd, stranded). Zero batting PAs.</t>
        </is>
      </c>
    </row>
    <row r="1009">
      <c r="A1009" t="inlineStr">
        <is>
          <t>2026-03-31_CRFT_at_CNTN</t>
        </is>
      </c>
      <c r="B1009" s="10" t="n">
        <v>46112</v>
      </c>
      <c r="C1009" t="inlineStr">
        <is>
          <t>Crofton Varsity Cardinals</t>
        </is>
      </c>
      <c r="D1009" t="inlineStr">
        <is>
          <t>CNTN</t>
        </is>
      </c>
      <c r="E1009" t="inlineStr">
        <is>
          <t>B Corrao</t>
        </is>
      </c>
      <c r="F1009" t="n">
        <v>3</v>
      </c>
      <c r="G1009" t="n">
        <v>2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2</v>
      </c>
      <c r="Y1009" t="inlineStr">
        <is>
          <t>FC×2 plays #9,#32 (E Ogg=CR for B Harris is the runner put out each time). AB=PA(3)-BB(1)=2.</t>
        </is>
      </c>
    </row>
    <row r="1010">
      <c r="A1010" t="inlineStr">
        <is>
          <t>2026-03-31_CRFT_at_CNTN</t>
        </is>
      </c>
      <c r="B1010" s="10" t="n">
        <v>46112</v>
      </c>
      <c r="C1010" t="inlineStr">
        <is>
          <t>Crofton Varsity Cardinals</t>
        </is>
      </c>
      <c r="D1010" t="inlineStr">
        <is>
          <t>CNTN</t>
        </is>
      </c>
      <c r="E1010" t="inlineStr">
        <is>
          <t>C Stachera</t>
        </is>
      </c>
      <c r="F1010" t="n">
        <v>3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inlineStr">
        <is>
          <t>K_S play #33. AB=PA(3)-BB(1)=2.</t>
        </is>
      </c>
    </row>
    <row r="1011">
      <c r="A1011" t="inlineStr">
        <is>
          <t>2026-03-31_CRFT_at_CNTN</t>
        </is>
      </c>
      <c r="B1011" s="10" t="n">
        <v>46112</v>
      </c>
      <c r="C1011" t="inlineStr">
        <is>
          <t>Crofton Varsity Cardinals</t>
        </is>
      </c>
      <c r="D1011" t="inlineStr">
        <is>
          <t>CNTN</t>
        </is>
      </c>
      <c r="E1011" t="inlineStr">
        <is>
          <t>D Hill</t>
        </is>
      </c>
      <c r="F1011" t="n">
        <v>2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inlineStr">
        <is>
          <t>1B play #17. Replaced by PH L Rivkin in B7 (play #62). AB=PA(2)-BB(1)=1.</t>
        </is>
      </c>
    </row>
    <row r="1012">
      <c r="A1012" t="inlineStr">
        <is>
          <t>2026-03-31_CRFT_at_CNTN</t>
        </is>
      </c>
      <c r="B1012" s="10" t="n">
        <v>46112</v>
      </c>
      <c r="C1012" t="inlineStr">
        <is>
          <t>Crofton Varsity Cardinals</t>
        </is>
      </c>
      <c r="D1012" t="inlineStr">
        <is>
          <t>CNTN</t>
        </is>
      </c>
      <c r="E1012" t="inlineStr">
        <is>
          <t>L Choe</t>
        </is>
      </c>
      <c r="F1012" t="n">
        <v>2</v>
      </c>
      <c r="G1012" t="n">
        <v>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2</v>
      </c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inlineStr">
        <is>
          <t>K_S play #18; K_L play #40. Replaced by PH W Sisolak in B7 (play #63).</t>
        </is>
      </c>
    </row>
    <row r="1013">
      <c r="A1013" t="inlineStr">
        <is>
          <t>2026-03-31_CRFT_at_CNTN</t>
        </is>
      </c>
      <c r="B1013" s="10" t="n">
        <v>46112</v>
      </c>
      <c r="C1013" t="inlineStr">
        <is>
          <t>Crofton Varsity Cardinals</t>
        </is>
      </c>
      <c r="D1013" t="inlineStr">
        <is>
          <t>CNTN</t>
        </is>
      </c>
      <c r="E1013" t="inlineStr">
        <is>
          <t>L Rivkin</t>
        </is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inlineStr">
        <is>
          <t>PH for D Hill in B7 play #62. K_S.</t>
        </is>
      </c>
    </row>
    <row r="1014">
      <c r="A1014" t="inlineStr">
        <is>
          <t>2026-03-31_CRFT_at_CNTN</t>
        </is>
      </c>
      <c r="B1014" s="10" t="n">
        <v>46112</v>
      </c>
      <c r="C1014" t="inlineStr">
        <is>
          <t>Crofton Varsity Cardinals</t>
        </is>
      </c>
      <c r="D1014" t="inlineStr">
        <is>
          <t>CNTN</t>
        </is>
      </c>
      <c r="E1014" t="inlineStr">
        <is>
          <t>W Sisolak</t>
        </is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inlineStr">
        <is>
          <t>PH for L Choe in B7 play #63. Ground Out.</t>
        </is>
      </c>
    </row>
    <row r="1015">
      <c r="A1015" t="inlineStr">
        <is>
          <t>2026-03-31_CRFT_at_CNTN</t>
        </is>
      </c>
      <c r="B1015" s="10" t="n">
        <v>46112</v>
      </c>
      <c r="C1015" t="inlineStr">
        <is>
          <t>Crofton Varsity Cardinals</t>
        </is>
      </c>
      <c r="D1015" t="inlineStr">
        <is>
          <t>CNTN</t>
        </is>
      </c>
      <c r="E1015" t="inlineStr">
        <is>
          <t>A Li</t>
        </is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inlineStr">
        <is>
          <t>PH for A Gauthier in B7 play #64. K_L.</t>
        </is>
      </c>
    </row>
    <row r="1016">
      <c r="A1016" t="inlineStr">
        <is>
          <t>2026-03-31_CNTN_at_WLTR</t>
        </is>
      </c>
      <c r="B1016" s="10" t="n">
        <v>46112</v>
      </c>
      <c r="C1016" t="inlineStr">
        <is>
          <t>Walter Johnson Varsity Wildcats</t>
        </is>
      </c>
      <c r="D1016" t="inlineStr">
        <is>
          <t>CNTN</t>
        </is>
      </c>
      <c r="E1016" t="inlineStr">
        <is>
          <t>A Gauthier</t>
        </is>
      </c>
      <c r="F1016" t="n">
        <v>4</v>
      </c>
      <c r="G1016" t="n">
        <v>3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inlineStr">
        <is>
          <t>3B play #53 (T6). Walk plays #15 (RBI+1: B Corrao scores) and two FO/PO. AB=PA(4)-BB(1)=3.</t>
        </is>
      </c>
    </row>
    <row r="1017">
      <c r="A1017" t="inlineStr">
        <is>
          <t>2026-03-31_CNTN_at_WLTR</t>
        </is>
      </c>
      <c r="B1017" s="10" t="n">
        <v>46112</v>
      </c>
      <c r="C1017" t="inlineStr">
        <is>
          <t>Walter Johnson Varsity Wildcats</t>
        </is>
      </c>
      <c r="D1017" t="inlineStr">
        <is>
          <t>CNTN</t>
        </is>
      </c>
      <c r="E1017" t="inlineStr">
        <is>
          <t>E Rayne</t>
        </is>
      </c>
      <c r="F1017" t="n">
        <v>4</v>
      </c>
      <c r="G1017" t="n">
        <v>2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2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inlineStr">
        <is>
          <t>Walk play #16 (RBI+1: D Hill scores). CS play #37 (pickoff at 1st — catcher S Weston to 1B — embedded in C Bade K AB, T4). D3S out at 1st play #54 (K_S). AB=PA(4)-BB(2)=2.</t>
        </is>
      </c>
    </row>
    <row r="1018">
      <c r="A1018" t="inlineStr">
        <is>
          <t>2026-03-31_CNTN_at_WLTR</t>
        </is>
      </c>
      <c r="B1018" s="10" t="n">
        <v>46112</v>
      </c>
      <c r="C1018" t="inlineStr">
        <is>
          <t>Walter Johnson Varsity Wildcats</t>
        </is>
      </c>
      <c r="D1018" t="inlineStr">
        <is>
          <t>CNTN</t>
        </is>
      </c>
      <c r="E1018" t="inlineStr">
        <is>
          <t>C Bade</t>
        </is>
      </c>
      <c r="F1018" t="n">
        <v>4</v>
      </c>
      <c r="G1018" t="n">
        <v>3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2</v>
      </c>
      <c r="P1018" t="n">
        <v>1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inlineStr">
        <is>
          <t>HBP play #59 (T7). Reaches on error play #3 (WLTR E#1). K_L play #17; K_S play #37. Out on B Harris FC play #61 (T7). AB=PA(4)-HBP(1)=3.</t>
        </is>
      </c>
    </row>
    <row r="1019">
      <c r="A1019" t="inlineStr">
        <is>
          <t>2026-03-31_CNTN_at_WLTR</t>
        </is>
      </c>
      <c r="B1019" s="10" t="n">
        <v>46112</v>
      </c>
      <c r="C1019" t="inlineStr">
        <is>
          <t>Walter Johnson Varsity Wildcats</t>
        </is>
      </c>
      <c r="D1019" t="inlineStr">
        <is>
          <t>CNTN</t>
        </is>
      </c>
      <c r="E1019" t="inlineStr">
        <is>
          <t>A Banks</t>
        </is>
      </c>
      <c r="F1019" t="n">
        <v>4</v>
      </c>
      <c r="G1019" t="n">
        <v>3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2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inlineStr">
        <is>
          <t>K_S play #4; K_L play #60. AB=PA(4)-BB(1)=3.</t>
        </is>
      </c>
    </row>
    <row r="1020">
      <c r="A1020" t="inlineStr">
        <is>
          <t>2026-03-31_CNTN_at_WLTR</t>
        </is>
      </c>
      <c r="B1020" s="10" t="n">
        <v>46112</v>
      </c>
      <c r="C1020" t="inlineStr">
        <is>
          <t>Walter Johnson Varsity Wildcats</t>
        </is>
      </c>
      <c r="D1020" t="inlineStr">
        <is>
          <t>CNTN</t>
        </is>
      </c>
      <c r="E1020" t="inlineStr">
        <is>
          <t>B Harris</t>
        </is>
      </c>
      <c r="F1020" t="n">
        <v>4</v>
      </c>
      <c r="G1020" t="n">
        <v>4</v>
      </c>
      <c r="H1020" t="n">
        <v>2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inlineStr">
        <is>
          <t>2B play #10; 1B play #24. K (foul tip=K_S) play #44. FC play #61. CR E Ogg used ×3 (plays #11,#26,#62). R: E Ogg scores at play #13 — credited to original player B Harris.</t>
        </is>
      </c>
    </row>
    <row r="1021">
      <c r="A1021" t="inlineStr">
        <is>
          <t>2026-03-31_CNTN_at_WLTR</t>
        </is>
      </c>
      <c r="B1021" s="10" t="n">
        <v>46112</v>
      </c>
      <c r="C1021" t="inlineStr">
        <is>
          <t>Walter Johnson Varsity Wildcats</t>
        </is>
      </c>
      <c r="D1021" t="inlineStr">
        <is>
          <t>CNTN</t>
        </is>
      </c>
      <c r="E1021" t="inlineStr">
        <is>
          <t>E Ogg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inlineStr">
        <is>
          <t>CR for B Harris ×3: T2 play #11 (scores at play #13 — credited to B Harris), T3 play #26 (advances to 3rd on error, stranded), T7 play #62 (B Corrao K ends inning). Zero batting PAs.</t>
        </is>
      </c>
    </row>
    <row r="1022">
      <c r="A1022" t="inlineStr">
        <is>
          <t>2026-03-31_CNTN_at_WLTR</t>
        </is>
      </c>
      <c r="B1022" s="10" t="n">
        <v>46112</v>
      </c>
      <c r="C1022" t="inlineStr">
        <is>
          <t>Walter Johnson Varsity Wildcats</t>
        </is>
      </c>
      <c r="D1022" t="inlineStr">
        <is>
          <t>CNTN</t>
        </is>
      </c>
      <c r="E1022" t="inlineStr">
        <is>
          <t>B Corrao</t>
        </is>
      </c>
      <c r="F1022" t="n">
        <v>4</v>
      </c>
      <c r="G1022" t="n">
        <v>4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inlineStr">
        <is>
          <t>1B play #11. K_S play #62. R: scores on A Gauthier walk play #15.</t>
        </is>
      </c>
    </row>
    <row r="1023">
      <c r="A1023" t="inlineStr">
        <is>
          <t>2026-03-31_CNTN_at_WLTR</t>
        </is>
      </c>
      <c r="B1023" s="10" t="n">
        <v>46112</v>
      </c>
      <c r="C1023" t="inlineStr">
        <is>
          <t>Walter Johnson Varsity Wildcats</t>
        </is>
      </c>
      <c r="D1023" t="inlineStr">
        <is>
          <t>CNTN</t>
        </is>
      </c>
      <c r="E1023" t="inlineStr">
        <is>
          <t>C Stachera</t>
        </is>
      </c>
      <c r="F1023" t="n">
        <v>3</v>
      </c>
      <c r="G1023" t="n">
        <v>3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2</v>
      </c>
      <c r="P1023" t="n">
        <v>0</v>
      </c>
      <c r="Q1023" t="n">
        <v>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inlineStr">
        <is>
          <t>Reaches on error play #26 (WLTR E#3); CR C Proescher used (play #27). K_S×2 plays #12,#46. Phantom T8 entry (play #68) skipped — no outcome. Also CNTN pitcher B1-B3 — see Pitching sheet.</t>
        </is>
      </c>
    </row>
    <row r="1024">
      <c r="A1024" t="inlineStr">
        <is>
          <t>2026-03-31_CNTN_at_WLTR</t>
        </is>
      </c>
      <c r="B1024" s="10" t="n">
        <v>46112</v>
      </c>
      <c r="C1024" t="inlineStr">
        <is>
          <t>Walter Johnson Varsity Wildcats</t>
        </is>
      </c>
      <c r="D1024" t="inlineStr">
        <is>
          <t>CNTN</t>
        </is>
      </c>
      <c r="E1024" t="inlineStr">
        <is>
          <t>C Proescher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inlineStr">
        <is>
          <t>CR for C Stachera (T3, play #27). C Stachera reaches on error play #26; C Proescher runs. Stranded at 2nd (D Hill K play #27, L Choe K play #28). Zero batting PAs.</t>
        </is>
      </c>
    </row>
    <row r="1025">
      <c r="A1025" t="inlineStr">
        <is>
          <t>2026-03-31_CNTN_at_WLTR</t>
        </is>
      </c>
      <c r="B1025" s="10" t="n">
        <v>46112</v>
      </c>
      <c r="C1025" t="inlineStr">
        <is>
          <t>Walter Johnson Varsity Wildcats</t>
        </is>
      </c>
      <c r="D1025" t="inlineStr">
        <is>
          <t>CNTN</t>
        </is>
      </c>
      <c r="E1025" t="inlineStr">
        <is>
          <t>D Hill</t>
        </is>
      </c>
      <c r="F1025" t="n">
        <v>3</v>
      </c>
      <c r="G1025" t="n">
        <v>2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inlineStr">
        <is>
          <t>1B play #13 (RBI+1: E Ogg/B Harris scores). K_L play #27. R: scores on E Rayne walk play #16. AB=PA(3)-BB(1)=2.</t>
        </is>
      </c>
    </row>
    <row r="1026">
      <c r="A1026" t="inlineStr">
        <is>
          <t>2026-03-31_CNTN_at_WLTR</t>
        </is>
      </c>
      <c r="B1026" s="10" t="n">
        <v>46112</v>
      </c>
      <c r="C1026" t="inlineStr">
        <is>
          <t>Walter Johnson Varsity Wildcats</t>
        </is>
      </c>
      <c r="D1026" t="inlineStr">
        <is>
          <t>CNTN</t>
        </is>
      </c>
      <c r="E1026" t="inlineStr">
        <is>
          <t>L Choe</t>
        </is>
      </c>
      <c r="F1026" t="n">
        <v>3</v>
      </c>
      <c r="G1026" t="n">
        <v>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inlineStr">
        <is>
          <t>K_S play #28. Reaches on error play #52 (WLTR E#4). CS play #53 (pickoff at 1st — catcher S Weston to 1B — embedded in A Gauthier Triple AB, T6, constitutes out #2). AB=PA(3)-BB(1)=2.</t>
        </is>
      </c>
    </row>
    <row r="1027">
      <c r="A1027" t="inlineStr">
        <is>
          <t>2026-03-31_CNTN_at_WLTR</t>
        </is>
      </c>
      <c r="B1027" s="10" t="n">
        <v>46112</v>
      </c>
      <c r="C1027" t="inlineStr">
        <is>
          <t>Centennial Varsity Eagles</t>
        </is>
      </c>
      <c r="D1027" t="inlineStr">
        <is>
          <t>WLTR</t>
        </is>
      </c>
      <c r="E1027" t="inlineStr">
        <is>
          <t>J Gilder</t>
        </is>
      </c>
      <c r="F1027" t="n">
        <v>4</v>
      </c>
      <c r="G1027" t="n">
        <v>3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2</v>
      </c>
      <c r="P1027" t="n">
        <v>0</v>
      </c>
      <c r="Q1027" t="n">
        <v>2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inlineStr">
        <is>
          <t>1B play #40. SacFly play #57 (RBI+1: H Bauer scores). K_S×2 plays #5,#23. AB=PA(4)-SacFly(1)=3. Also WLTR pitcher T7 — see Pitching sheet.</t>
        </is>
      </c>
    </row>
    <row r="1028">
      <c r="A1028" t="inlineStr">
        <is>
          <t>2026-03-31_CNTN_at_WLTR</t>
        </is>
      </c>
      <c r="B1028" s="10" t="n">
        <v>46112</v>
      </c>
      <c r="C1028" t="inlineStr">
        <is>
          <t>Centennial Varsity Eagles</t>
        </is>
      </c>
      <c r="D1028" t="inlineStr">
        <is>
          <t>WLTR</t>
        </is>
      </c>
      <c r="E1028" t="inlineStr">
        <is>
          <t>S Weston</t>
        </is>
      </c>
      <c r="F1028" t="n">
        <v>4</v>
      </c>
      <c r="G1028" t="n">
        <v>2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2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inlineStr">
        <is>
          <t>1B play #6. BB×2 plays #29,#41. FO play #58. SB play #7: CR C Martin steals 2nd — credited to original player S Weston per courtesy runner rule. R: C Martin CR scores on WP play #9 — credited to S Weston. AB=PA(4)-BB(2)=2.</t>
        </is>
      </c>
    </row>
    <row r="1029">
      <c r="A1029" t="inlineStr">
        <is>
          <t>2026-03-31_CNTN_at_WLTR</t>
        </is>
      </c>
      <c r="B1029" s="10" t="n">
        <v>46112</v>
      </c>
      <c r="C1029" t="inlineStr">
        <is>
          <t>Centennial Varsity Eagles</t>
        </is>
      </c>
      <c r="D1029" t="inlineStr">
        <is>
          <t>WLTR</t>
        </is>
      </c>
      <c r="E1029" t="inlineStr">
        <is>
          <t>C Martin</t>
        </is>
      </c>
      <c r="F1029" t="n">
        <v>2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inlineStr">
        <is>
          <t>CR for S Weston B1 play #7 (SB credited to S Weston; run credited to S Weston — zero PAs as CR). PH for E Retzlaff starting B4 play #39. K_S play #39. SAC play #56. AB=PA(2)-SAC(1)=1.</t>
        </is>
      </c>
    </row>
    <row r="1030">
      <c r="A1030" t="inlineStr">
        <is>
          <t>2026-03-31_CNTN_at_WLTR</t>
        </is>
      </c>
      <c r="B1030" s="10" t="n">
        <v>46112</v>
      </c>
      <c r="C1030" t="inlineStr">
        <is>
          <t>Centennial Varsity Eagles</t>
        </is>
      </c>
      <c r="D1030" t="inlineStr">
        <is>
          <t>WLTR</t>
        </is>
      </c>
      <c r="E1030" t="inlineStr">
        <is>
          <t>J Pena Simon</t>
        </is>
      </c>
      <c r="F1030" t="n">
        <v>4</v>
      </c>
      <c r="G1030" t="n">
        <v>3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1</v>
      </c>
      <c r="V1030" t="n">
        <v>1</v>
      </c>
      <c r="W1030" t="n">
        <v>0</v>
      </c>
      <c r="X1030" t="n">
        <v>0</v>
      </c>
      <c r="Y1030" t="inlineStr">
        <is>
          <t>1B play #63. BB play #30. GDP play #42 (J Pena Simon out + H Bauer out, Flag #5). K_S play #7. SB play #64 (steals 2nd during G Matalia IBB AB, B7). CS play #66 (caught stealing home — B Harris to L Choe — embedded in S Gilcrest AB, B7, Flag #2). AB=PA(4)-BB(1)=3.</t>
        </is>
      </c>
    </row>
    <row r="1031">
      <c r="A1031" t="inlineStr">
        <is>
          <t>2026-03-31_CNTN_at_WLTR</t>
        </is>
      </c>
      <c r="B1031" s="10" t="n">
        <v>46112</v>
      </c>
      <c r="C1031" t="inlineStr">
        <is>
          <t>Centennial Varsity Eagles</t>
        </is>
      </c>
      <c r="D1031" t="inlineStr">
        <is>
          <t>WLTR</t>
        </is>
      </c>
      <c r="E1031" t="inlineStr">
        <is>
          <t>G Matalia</t>
        </is>
      </c>
      <c r="F1031" t="n">
        <v>4</v>
      </c>
      <c r="G1031" t="n">
        <v>3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2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inlineStr">
        <is>
          <t>1B play #8 (swinging bunt). D3S out at 1st play #31 (K_S). K_L play #47. IBB play #64. AB=PA(4)-BB(1)=3.</t>
        </is>
      </c>
    </row>
    <row r="1032">
      <c r="A1032" t="inlineStr">
        <is>
          <t>2026-03-31_CNTN_at_WLTR</t>
        </is>
      </c>
      <c r="B1032" s="10" t="n">
        <v>46112</v>
      </c>
      <c r="C1032" t="inlineStr">
        <is>
          <t>Centennial Varsity Eagles</t>
        </is>
      </c>
      <c r="D1032" t="inlineStr">
        <is>
          <t>WLTR</t>
        </is>
      </c>
      <c r="E1032" t="inlineStr">
        <is>
          <t>L Rayment-Cruz</t>
        </is>
      </c>
      <c r="F1032" t="n">
        <v>4</v>
      </c>
      <c r="G1032" t="n">
        <v>3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inlineStr">
        <is>
          <t>1B bunt play #32. Reaches on error play #48 (CNTN E#4). K_S play #9. IBB play #65. SB play #50 (steals 2nd during E Taylor K AB, B5). AB=PA(4)-BB(1)=3. Also WLTR opening pitcher — see Pitching sheet.</t>
        </is>
      </c>
    </row>
    <row r="1033">
      <c r="A1033" t="inlineStr">
        <is>
          <t>2026-03-31_CNTN_at_WLTR</t>
        </is>
      </c>
      <c r="B1033" s="10" t="n">
        <v>46112</v>
      </c>
      <c r="C1033" t="inlineStr">
        <is>
          <t>Centennial Varsity Eagles</t>
        </is>
      </c>
      <c r="D1033" t="inlineStr">
        <is>
          <t>WLTR</t>
        </is>
      </c>
      <c r="E1033" t="inlineStr">
        <is>
          <t>S Gilcrest</t>
        </is>
      </c>
      <c r="F1033" t="n">
        <v>4</v>
      </c>
      <c r="G1033" t="n">
        <v>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2</v>
      </c>
      <c r="P1033" t="n">
        <v>1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inlineStr">
        <is>
          <t>K_S play #19; K_L play #66. FC play #33. GO play #49.</t>
        </is>
      </c>
    </row>
    <row r="1034">
      <c r="A1034" t="inlineStr">
        <is>
          <t>2026-03-31_CNTN_at_WLTR</t>
        </is>
      </c>
      <c r="B1034" s="10" t="n">
        <v>46112</v>
      </c>
      <c r="C1034" t="inlineStr">
        <is>
          <t>Centennial Varsity Eagles</t>
        </is>
      </c>
      <c r="D1034" t="inlineStr">
        <is>
          <t>WLTR</t>
        </is>
      </c>
      <c r="E1034" t="inlineStr">
        <is>
          <t>E Taylor</t>
        </is>
      </c>
      <c r="F1034" t="n">
        <v>4</v>
      </c>
      <c r="G1034" t="n">
        <v>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3</v>
      </c>
      <c r="P1034" t="n">
        <v>0</v>
      </c>
      <c r="Q1034" t="n">
        <v>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inlineStr">
        <is>
          <t>K_S×3 plays #34,#50,#67. Reaches on error play #20 (CNTN E#1, error by C Stachera P).</t>
        </is>
      </c>
    </row>
    <row r="1035">
      <c r="A1035" t="inlineStr">
        <is>
          <t>2026-03-31_CNTN_at_WLTR</t>
        </is>
      </c>
      <c r="B1035" s="10" t="n">
        <v>46112</v>
      </c>
      <c r="C1035" t="inlineStr">
        <is>
          <t>Centennial Varsity Eagles</t>
        </is>
      </c>
      <c r="D1035" t="inlineStr">
        <is>
          <t>WLTR</t>
        </is>
      </c>
      <c r="E1035" t="inlineStr">
        <is>
          <t>T Alexander</t>
        </is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inlineStr">
        <is>
          <t>K_S play #21 (B2). Replaced by PH H Bauer starting B4 play #38.</t>
        </is>
      </c>
    </row>
    <row r="1036">
      <c r="A1036" t="inlineStr">
        <is>
          <t>2026-03-31_CNTN_at_WLTR</t>
        </is>
      </c>
      <c r="B1036" s="10" t="n">
        <v>46112</v>
      </c>
      <c r="C1036" t="inlineStr">
        <is>
          <t>Centennial Varsity Eagles</t>
        </is>
      </c>
      <c r="D1036" t="inlineStr">
        <is>
          <t>WLTR</t>
        </is>
      </c>
      <c r="E1036" t="inlineStr">
        <is>
          <t>E Retzlaff</t>
        </is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inlineStr">
        <is>
          <t>D3S play #22 (B2) — batter reached safely, not an out. K_L per Section 4 sequence (Strike 3 looking). Log notes passed ball as mechanism. Replaced by PH C Martin mid-AB at B4 play #39.</t>
        </is>
      </c>
    </row>
    <row r="1037">
      <c r="A1037" t="inlineStr">
        <is>
          <t>2026-03-31_CNTN_at_WLTR</t>
        </is>
      </c>
      <c r="B1037" s="10" t="n">
        <v>46112</v>
      </c>
      <c r="C1037" t="inlineStr">
        <is>
          <t>Centennial Varsity Eagles</t>
        </is>
      </c>
      <c r="D1037" t="inlineStr">
        <is>
          <t>WLTR</t>
        </is>
      </c>
      <c r="E1037" t="inlineStr">
        <is>
          <t>H Bauer</t>
        </is>
      </c>
      <c r="F1037" t="n">
        <v>2</v>
      </c>
      <c r="G1037" t="n">
        <v>2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inlineStr">
        <is>
          <t>PH for T Alexander starting B4. 1B bunt play #38. Reaches on error play #55 (CNTN E#5). SB play #57 (steals 3rd during J Gilder SacFly AB, B6). R: scores on J Gilder SacFly play #57.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6" customWidth="1" min="4" max="4"/>
    <col width="14" customWidth="1" min="5" max="5"/>
    <col width="8" customWidth="1" min="6" max="6"/>
    <col width="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6" customWidth="1" min="15" max="15"/>
    <col width="9" customWidth="1" min="16" max="16"/>
    <col width="6" customWidth="1" min="17" max="17"/>
    <col width="75" customWidth="1" min="18" max="18"/>
  </cols>
  <sheetData>
    <row r="1">
      <c r="A1" s="1" t="inlineStr">
        <is>
          <t>Game_ID</t>
        </is>
      </c>
      <c r="B1" s="1" t="inlineStr">
        <is>
          <t>Game_Date</t>
        </is>
      </c>
      <c r="C1" s="1" t="inlineStr">
        <is>
          <t>Opponent</t>
        </is>
      </c>
      <c r="D1" s="1" t="inlineStr">
        <is>
          <t>Team</t>
        </is>
      </c>
      <c r="E1" s="1" t="inlineStr">
        <is>
          <t>Pitcher</t>
        </is>
      </c>
      <c r="F1" s="1" t="inlineStr">
        <is>
          <t>Outs_Recorded</t>
        </is>
      </c>
      <c r="G1" s="1" t="inlineStr">
        <is>
          <t>BF</t>
        </is>
      </c>
      <c r="H1" s="1" t="inlineStr">
        <is>
          <t>H_Allowed</t>
        </is>
      </c>
      <c r="I1" s="1" t="inlineStr">
        <is>
          <t>1B_Allowed</t>
        </is>
      </c>
      <c r="J1" s="1" t="inlineStr">
        <is>
          <t>2B_Allowed</t>
        </is>
      </c>
      <c r="K1" s="1" t="inlineStr">
        <is>
          <t>3B_Allowed</t>
        </is>
      </c>
      <c r="L1" s="1" t="inlineStr">
        <is>
          <t>HR_Allowed</t>
        </is>
      </c>
      <c r="M1" s="1" t="inlineStr">
        <is>
          <t>BB_Allowed</t>
        </is>
      </c>
      <c r="N1" s="1" t="inlineStr">
        <is>
          <t>HBP_Allowed</t>
        </is>
      </c>
      <c r="O1" s="1" t="inlineStr">
        <is>
          <t>K</t>
        </is>
      </c>
      <c r="P1" s="1" t="inlineStr">
        <is>
          <t>R_Allowed</t>
        </is>
      </c>
      <c r="Q1" s="1" t="inlineStr">
        <is>
          <t>WP</t>
        </is>
      </c>
      <c r="R1" s="1" t="inlineStr">
        <is>
          <t>Notes</t>
        </is>
      </c>
    </row>
    <row r="2" ht="40" customHeight="1">
      <c r="A2" t="inlineStr">
        <is>
          <t>2026-03-10_RVRH_at_WSTF</t>
        </is>
      </c>
      <c r="B2" s="10" t="n">
        <v>46091</v>
      </c>
      <c r="C2" t="inlineStr">
        <is>
          <t>Westfield High School</t>
        </is>
      </c>
      <c r="D2" t="inlineStr">
        <is>
          <t>RVRH</t>
        </is>
      </c>
      <c r="E2" t="inlineStr">
        <is>
          <t>R Walsh</t>
        </is>
      </c>
      <c r="F2" t="n">
        <v>6</v>
      </c>
      <c r="G2" t="n">
        <v>9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inlineStr">
        <is>
          <t>B1-B2; exit not explicitly logged — inferred from J Norwood pitching B3</t>
        </is>
      </c>
    </row>
    <row r="3" ht="40" customHeight="1">
      <c r="A3" t="inlineStr">
        <is>
          <t>2026-03-10_RVRH_at_WSTF</t>
        </is>
      </c>
      <c r="B3" s="10" t="n">
        <v>46091</v>
      </c>
      <c r="C3" t="inlineStr">
        <is>
          <t>Westfield High School</t>
        </is>
      </c>
      <c r="D3" t="inlineStr">
        <is>
          <t>RVRH</t>
        </is>
      </c>
      <c r="E3" t="inlineStr">
        <is>
          <t>J Norwood</t>
        </is>
      </c>
      <c r="F3" t="n">
        <v>3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inlineStr">
        <is>
          <t>B3; entry not logged with 'Lineup changed' note; inferred from play descriptions; also bats and plays 1B</t>
        </is>
      </c>
    </row>
    <row r="4" ht="40" customHeight="1">
      <c r="A4" t="inlineStr">
        <is>
          <t>2026-03-10_RVRH_at_WSTF</t>
        </is>
      </c>
      <c r="B4" s="10" t="n">
        <v>46091</v>
      </c>
      <c r="C4" t="inlineStr">
        <is>
          <t>Westfield High School</t>
        </is>
      </c>
      <c r="D4" t="inlineStr">
        <is>
          <t>RVRH</t>
        </is>
      </c>
      <c r="E4" t="inlineStr">
        <is>
          <t>J Jenkins</t>
        </is>
      </c>
      <c r="F4" t="n">
        <v>3</v>
      </c>
      <c r="G4" t="n">
        <v>5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inlineStr">
        <is>
          <t>B4; 'Lineup changed: J Jenkins in at pitcher' play #36; WP embedded in play #40 pitch sequence</t>
        </is>
      </c>
    </row>
    <row r="5" ht="40" customHeight="1">
      <c r="A5" t="inlineStr">
        <is>
          <t>2026-03-10_RVRH_at_WSTF</t>
        </is>
      </c>
      <c r="B5" s="10" t="n">
        <v>46091</v>
      </c>
      <c r="C5" t="inlineStr">
        <is>
          <t>Westfield High School</t>
        </is>
      </c>
      <c r="D5" t="inlineStr">
        <is>
          <t>RVRH</t>
        </is>
      </c>
      <c r="E5" t="inlineStr">
        <is>
          <t>R Ronayne</t>
        </is>
      </c>
      <c r="F5" t="n">
        <v>6</v>
      </c>
      <c r="G5" t="n">
        <v>9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2</v>
      </c>
      <c r="Q5" t="n">
        <v>0</v>
      </c>
      <c r="R5" t="inlineStr">
        <is>
          <t>B5-B6; also PH bats T7; HBP to WSTF_#9 play #45</t>
        </is>
      </c>
    </row>
    <row r="6" ht="40" customHeight="1">
      <c r="A6" t="inlineStr">
        <is>
          <t>2026-03-10_RVRH_at_WSTF</t>
        </is>
      </c>
      <c r="B6" s="10" t="n">
        <v>46091</v>
      </c>
      <c r="C6" t="inlineStr">
        <is>
          <t>Westfield High School</t>
        </is>
      </c>
      <c r="D6" t="inlineStr">
        <is>
          <t>RVRH</t>
        </is>
      </c>
      <c r="E6" t="inlineStr">
        <is>
          <t>C Reis</t>
        </is>
      </c>
      <c r="F6" t="n">
        <v>3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inlineStr">
        <is>
          <t>B7; 'Lineup changed: C Reis in at pitcher' play #63; also bats</t>
        </is>
      </c>
    </row>
    <row r="7" ht="40" customHeight="1">
      <c r="A7" t="inlineStr">
        <is>
          <t>2026-03-10_RVRH_at_WSTF</t>
        </is>
      </c>
      <c r="B7" s="10" t="n">
        <v>46091</v>
      </c>
      <c r="C7" t="inlineStr">
        <is>
          <t>Westfield High School</t>
        </is>
      </c>
      <c r="D7" t="inlineStr">
        <is>
          <t>RVRH</t>
        </is>
      </c>
      <c r="E7" t="inlineStr">
        <is>
          <t>C Nichols</t>
        </is>
      </c>
      <c r="F7" t="n">
        <v>2</v>
      </c>
      <c r="G7" t="n">
        <v>9</v>
      </c>
      <c r="H7" t="n">
        <v>5</v>
      </c>
      <c r="I7" t="n">
        <v>4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5</v>
      </c>
      <c r="Q7" t="n">
        <v>0</v>
      </c>
      <c r="R7" t="inlineStr">
        <is>
          <t>B8; walk-off loss — game ended with 2 outs; 5 R allowed in final inning; also bats</t>
        </is>
      </c>
    </row>
    <row r="8" ht="40" customHeight="1">
      <c r="A8" t="inlineStr">
        <is>
          <t>2026-03-10_RVRH_at_WSTF</t>
        </is>
      </c>
      <c r="B8" s="10" t="n">
        <v>46091</v>
      </c>
      <c r="C8" t="inlineStr">
        <is>
          <t>Westfield High School</t>
        </is>
      </c>
      <c r="D8" t="inlineStr">
        <is>
          <t>WSTF</t>
        </is>
      </c>
      <c r="E8" t="inlineStr">
        <is>
          <t>WSTF_#1</t>
        </is>
      </c>
      <c r="F8" t="n">
        <v>6</v>
      </c>
      <c r="G8" t="n">
        <v>10</v>
      </c>
      <c r="H8" t="n">
        <v>4</v>
      </c>
      <c r="I8" t="n">
        <v>2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inlineStr">
        <is>
          <t>T1-T2; 'Lineup changed: #1 in at pitcher' noted play #1; allowed 3 R in T1</t>
        </is>
      </c>
    </row>
    <row r="9" ht="40" customHeight="1">
      <c r="A9" t="inlineStr">
        <is>
          <t>2026-03-10_RVRH_at_WSTF</t>
        </is>
      </c>
      <c r="B9" s="10" t="n">
        <v>46091</v>
      </c>
      <c r="C9" t="inlineStr">
        <is>
          <t>Westfield High School</t>
        </is>
      </c>
      <c r="D9" t="inlineStr">
        <is>
          <t>WSTF</t>
        </is>
      </c>
      <c r="E9" t="inlineStr">
        <is>
          <t>WSTF_#9</t>
        </is>
      </c>
      <c r="F9" t="n">
        <v>6</v>
      </c>
      <c r="G9" t="n">
        <v>11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4</v>
      </c>
      <c r="P9" t="n">
        <v>0</v>
      </c>
      <c r="Q9" t="n">
        <v>0</v>
      </c>
      <c r="R9" t="inlineStr">
        <is>
          <t>T3 + partial T4 (3 BF, 0 outs) + T8; non-consecutive stints combined; entry to T3 not explicitly logged; also bats</t>
        </is>
      </c>
    </row>
    <row r="10" ht="40" customHeight="1">
      <c r="A10" t="inlineStr">
        <is>
          <t>2026-03-10_RVRH_at_WSTF</t>
        </is>
      </c>
      <c r="B10" s="10" t="n">
        <v>46091</v>
      </c>
      <c r="C10" t="inlineStr">
        <is>
          <t>Westfield High School</t>
        </is>
      </c>
      <c r="D10" t="inlineStr">
        <is>
          <t>WSTF</t>
        </is>
      </c>
      <c r="E10" t="inlineStr">
        <is>
          <t>WSTF_#8</t>
        </is>
      </c>
      <c r="F10" t="n">
        <v>5</v>
      </c>
      <c r="G10" t="n">
        <v>8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t="n">
        <v>4</v>
      </c>
      <c r="Q10" t="n">
        <v>0</v>
      </c>
      <c r="R10" t="inlineStr">
        <is>
          <t>Partial T4 (play #31 onward, 3 outs) + partial T5 (plays #41-43, 2 outs); entry inferred from '#8 pitching' note play #31; 4 R allowed in T4 on consecutive singles</t>
        </is>
      </c>
    </row>
    <row r="11" ht="40" customHeight="1">
      <c r="A11" t="inlineStr">
        <is>
          <t>2026-03-10_RVRH_at_WSTF</t>
        </is>
      </c>
      <c r="B11" s="10" t="n">
        <v>46091</v>
      </c>
      <c r="C11" t="inlineStr">
        <is>
          <t>Westfield High School</t>
        </is>
      </c>
      <c r="D11" t="inlineStr">
        <is>
          <t>WSTF</t>
        </is>
      </c>
      <c r="E11" t="inlineStr">
        <is>
          <t>WSTF_#3</t>
        </is>
      </c>
      <c r="F11" t="n">
        <v>3</v>
      </c>
      <c r="G11" t="n">
        <v>3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inlineStr">
        <is>
          <t>Partial T5 (play #44, 1 out) + partial T6 (plays #51-52, 2 outs incl. E McCoy CS); entry inferred from '#3 pitching' note play #44; also bats</t>
        </is>
      </c>
    </row>
    <row r="12" ht="40" customHeight="1">
      <c r="A12" t="inlineStr">
        <is>
          <t>2026-03-10_RVRH_at_WSTF</t>
        </is>
      </c>
      <c r="B12" s="10" t="n">
        <v>46091</v>
      </c>
      <c r="C12" t="inlineStr">
        <is>
          <t>Westfield High School</t>
        </is>
      </c>
      <c r="D12" t="inlineStr">
        <is>
          <t>WSTF</t>
        </is>
      </c>
      <c r="E12" t="inlineStr">
        <is>
          <t>WSTF_#2</t>
        </is>
      </c>
      <c r="F12" t="n">
        <v>4</v>
      </c>
      <c r="G12" t="n">
        <v>7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2</v>
      </c>
      <c r="P12" t="n">
        <v>0</v>
      </c>
      <c r="Q12" t="n">
        <v>0</v>
      </c>
      <c r="R12" t="inlineStr">
        <is>
          <t>Partial T6 (plays #53-54, 1 out) + T7 (plays #58-62, 3 outs); PB embedded in play #61 pitch seq (R Miller advances to 2nd — not in schema); also bats</t>
        </is>
      </c>
    </row>
    <row r="13">
      <c r="A13" t="inlineStr">
        <is>
          <t>2026-03-14_WTTN_at_RVRH</t>
        </is>
      </c>
      <c r="B13" s="10" t="n">
        <v>46095</v>
      </c>
      <c r="C13" t="inlineStr">
        <is>
          <t>Wootton Varsity Patriots</t>
        </is>
      </c>
      <c r="D13" t="inlineStr">
        <is>
          <t>RVRH</t>
        </is>
      </c>
      <c r="E13" t="inlineStr">
        <is>
          <t>H Zhang</t>
        </is>
      </c>
      <c r="F13" t="n">
        <v>6</v>
      </c>
      <c r="G13" t="n">
        <v>8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1</v>
      </c>
      <c r="R13" t="inlineStr">
        <is>
          <t>T1-T2; WP during J Arnold AB T1 (play #3, Section 4 — J Reid advances to 2nd); K type discrepancy play #4 (Section 3 'looking' vs Section 4 'swinging' — K_S recorded per Section 4); also bats and plays 1B</t>
        </is>
      </c>
    </row>
    <row r="14">
      <c r="A14" t="inlineStr">
        <is>
          <t>2026-03-14_WTTN_at_RVRH</t>
        </is>
      </c>
      <c r="B14" s="10" t="n">
        <v>46095</v>
      </c>
      <c r="C14" t="inlineStr">
        <is>
          <t>Wootton Varsity Patriots</t>
        </is>
      </c>
      <c r="D14" t="inlineStr">
        <is>
          <t>RVRH</t>
        </is>
      </c>
      <c r="E14" t="inlineStr">
        <is>
          <t>J Jenkins</t>
        </is>
      </c>
      <c r="F14" t="n">
        <v>6</v>
      </c>
      <c r="G14" t="n">
        <v>9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3</v>
      </c>
      <c r="P14" t="n">
        <v>2</v>
      </c>
      <c r="Q14" t="n">
        <v>1</v>
      </c>
      <c r="R14" t="inlineStr">
        <is>
          <t>T3-T4; 'Lineup changed: J Jenkins in at pitcher' play #16; WP during N Zweig K T4 (play #32, Section 4 — A Grainger scores, L Avila to 3rd, J Allen to 2nd); PB during L Avila walk T4 (play #30, Section 4 — A Grainger advances to 2nd) — PB not in schema, noted here</t>
        </is>
      </c>
    </row>
    <row r="15">
      <c r="A15" t="inlineStr">
        <is>
          <t>2026-03-14_WTTN_at_RVRH</t>
        </is>
      </c>
      <c r="B15" s="10" t="n">
        <v>46095</v>
      </c>
      <c r="C15" t="inlineStr">
        <is>
          <t>Wootton Varsity Patriots</t>
        </is>
      </c>
      <c r="D15" t="inlineStr">
        <is>
          <t>RVRH</t>
        </is>
      </c>
      <c r="E15" t="inlineStr">
        <is>
          <t>J Norwood</t>
        </is>
      </c>
      <c r="F15" t="n">
        <v>3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inlineStr">
        <is>
          <t>T5; 'Lineup changed: J Norwood in at pitcher' play #40; 2 WP events embedded in J Arnold AB T5 (play #43, Section 4) — J Reid advances 1st to 2nd on WP, then 2nd to 3rd on separate WP; J Reid stranded; Flag #10; also bats and plays 1B</t>
        </is>
      </c>
    </row>
    <row r="16">
      <c r="A16" t="inlineStr">
        <is>
          <t>2026-03-14_WTTN_at_RVRH</t>
        </is>
      </c>
      <c r="B16" s="10" t="n">
        <v>46095</v>
      </c>
      <c r="C16" t="inlineStr">
        <is>
          <t>Wootton Varsity Patriots</t>
        </is>
      </c>
      <c r="D16" t="inlineStr">
        <is>
          <t>RVRH</t>
        </is>
      </c>
      <c r="E16" t="inlineStr">
        <is>
          <t>C Reis</t>
        </is>
      </c>
      <c r="F16" t="n">
        <v>3</v>
      </c>
      <c r="G16" t="n">
        <v>7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inlineStr">
        <is>
          <t>T6; 'C Reis in for pitcher J Norwood' inferred from play #49 description; IBB to K Schmelzer play #53; WP during K Schmelzer IBB AB (play #53, Section 4 — J Allen to 3rd, N Zweig to 2nd); also bats</t>
        </is>
      </c>
    </row>
    <row r="17">
      <c r="A17" t="inlineStr">
        <is>
          <t>2026-03-14_WTTN_at_RVRH</t>
        </is>
      </c>
      <c r="B17" s="10" t="n">
        <v>46095</v>
      </c>
      <c r="C17" t="inlineStr">
        <is>
          <t>Wootton Varsity Patriots</t>
        </is>
      </c>
      <c r="D17" t="inlineStr">
        <is>
          <t>RVRH</t>
        </is>
      </c>
      <c r="E17" t="inlineStr">
        <is>
          <t>E McCoy</t>
        </is>
      </c>
      <c r="F17" t="n">
        <v>3</v>
      </c>
      <c r="G17" t="n">
        <v>5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inlineStr">
        <is>
          <t>T7; 'E McCoy in for pitcher C Reis' inferred from play #60 description; also T8 but play #71 incomplete (Flag #1); J Allen T8 counted in BF (no outcome recorded); also bats</t>
        </is>
      </c>
    </row>
    <row r="18">
      <c r="A18" t="inlineStr">
        <is>
          <t>2026-03-14_WTTN_at_RVRH</t>
        </is>
      </c>
      <c r="B18" s="10" t="n">
        <v>46095</v>
      </c>
      <c r="C18" t="inlineStr">
        <is>
          <t>Wootton Varsity Patriots</t>
        </is>
      </c>
      <c r="D18" t="inlineStr">
        <is>
          <t>WTTN</t>
        </is>
      </c>
      <c r="E18" t="inlineStr">
        <is>
          <t>L Avila</t>
        </is>
      </c>
      <c r="F18" t="n">
        <v>8</v>
      </c>
      <c r="G18" t="n">
        <v>15</v>
      </c>
      <c r="H18" t="n">
        <v>5</v>
      </c>
      <c r="I18" t="n">
        <v>3</v>
      </c>
      <c r="J18" t="n">
        <v>2</v>
      </c>
      <c r="K18" t="n">
        <v>0</v>
      </c>
      <c r="L18" t="n">
        <v>0</v>
      </c>
      <c r="M18" t="n">
        <v>2</v>
      </c>
      <c r="N18" t="n">
        <v>2</v>
      </c>
      <c r="O18" t="n">
        <v>0</v>
      </c>
      <c r="P18" t="n">
        <v>4</v>
      </c>
      <c r="Q18" t="n">
        <v>0</v>
      </c>
      <c r="R18" t="inlineStr">
        <is>
          <t>B1-B3 (plays #6-#26); 'Lineup changed: L Avila in at pitcher' play #6; Flag #11 (L Avila also bats T1 as late sub for L Veizis); 8 outs include pickoff out embedded in A Fields AB B2 (play #15, Section 4)</t>
        </is>
      </c>
    </row>
    <row r="19">
      <c r="A19" t="inlineStr">
        <is>
          <t>2026-03-14_WTTN_at_RVRH</t>
        </is>
      </c>
      <c r="B19" s="10" t="n">
        <v>46095</v>
      </c>
      <c r="C19" t="inlineStr">
        <is>
          <t>Wootton Varsity Patriots</t>
        </is>
      </c>
      <c r="D19" t="inlineStr">
        <is>
          <t>WTTN</t>
        </is>
      </c>
      <c r="E19" t="inlineStr">
        <is>
          <t>J Allen</t>
        </is>
      </c>
      <c r="F19" t="n">
        <v>4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inlineStr">
        <is>
          <t>B3 play #27 + B4 plays #35-#39; 'Lineup changed: J Allen in at pitcher' play #27 (mid-inning entry); also bats T2, T4, T6</t>
        </is>
      </c>
    </row>
    <row r="20">
      <c r="A20" t="inlineStr">
        <is>
          <t>2026-03-14_WTTN_at_RVRH</t>
        </is>
      </c>
      <c r="B20" s="10" t="n">
        <v>46095</v>
      </c>
      <c r="C20" t="inlineStr">
        <is>
          <t>Wootton Varsity Patriots</t>
        </is>
      </c>
      <c r="D20" t="inlineStr">
        <is>
          <t>WTTN</t>
        </is>
      </c>
      <c r="E20" t="inlineStr">
        <is>
          <t>L Phillips</t>
        </is>
      </c>
      <c r="F20" t="n">
        <v>3</v>
      </c>
      <c r="G20" t="n">
        <v>5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inlineStr">
        <is>
          <t>B5; 'Lineup changed: L Phillips in at pitcher' play #44</t>
        </is>
      </c>
    </row>
    <row r="21">
      <c r="A21" t="inlineStr">
        <is>
          <t>2026-03-14_WTTN_at_RVRH</t>
        </is>
      </c>
      <c r="B21" s="10" t="n">
        <v>46095</v>
      </c>
      <c r="C21" t="inlineStr">
        <is>
          <t>Wootton Varsity Patriots</t>
        </is>
      </c>
      <c r="D21" t="inlineStr">
        <is>
          <t>WTTN</t>
        </is>
      </c>
      <c r="E21" t="inlineStr">
        <is>
          <t>T Cornet</t>
        </is>
      </c>
      <c r="F21" t="n">
        <v>3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inlineStr">
        <is>
          <t>B6; 'Lineup changed: T Cornet in at pitcher' play #56 (also 'A Grainger in at pitcher' listed same note — T Cornet confirmed via outcome description 'T Cornet pitching'); also bats T1, T3, T5-T7</t>
        </is>
      </c>
    </row>
    <row r="22">
      <c r="A22" t="inlineStr">
        <is>
          <t>2026-03-14_WTTN_at_RVRH</t>
        </is>
      </c>
      <c r="B22" s="10" t="n">
        <v>46095</v>
      </c>
      <c r="C22" t="inlineStr">
        <is>
          <t>Wootton Varsity Patriots</t>
        </is>
      </c>
      <c r="D22" t="inlineStr">
        <is>
          <t>WTTN</t>
        </is>
      </c>
      <c r="E22" t="inlineStr">
        <is>
          <t>B Graham</t>
        </is>
      </c>
      <c r="F22" t="n">
        <v>3</v>
      </c>
      <c r="G22" t="n">
        <v>7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2</v>
      </c>
      <c r="Q22" t="n">
        <v>0</v>
      </c>
      <c r="R22" t="inlineStr">
        <is>
          <t>B7; 'Lineup changed: B Graham in at pitcher' play #64; HBP: J Norwood play #66; Flag #7 — C Reis advances to 2nd during J Norwood HBP AB (play #66) with mechanism unspecified</t>
        </is>
      </c>
    </row>
    <row r="23">
      <c r="A23" t="inlineStr">
        <is>
          <t>2026-03-21_RVRH_at_GLFR</t>
        </is>
      </c>
      <c r="B23" s="10" t="n">
        <v>46102</v>
      </c>
      <c r="C23" t="inlineStr">
        <is>
          <t>Guilford Park Varsity Panthers</t>
        </is>
      </c>
      <c r="D23" t="inlineStr">
        <is>
          <t>RVRH</t>
        </is>
      </c>
      <c r="E23" t="inlineStr">
        <is>
          <t>R Walsh</t>
        </is>
      </c>
      <c r="F23" t="n">
        <v>9</v>
      </c>
      <c r="G23" t="n">
        <v>14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5</v>
      </c>
      <c r="N23" t="n">
        <v>0</v>
      </c>
      <c r="O23" t="n">
        <v>5</v>
      </c>
      <c r="P23" t="n">
        <v>2</v>
      </c>
      <c r="Q23" t="n">
        <v>0</v>
      </c>
      <c r="R23" t="inlineStr">
        <is>
          <t>B1–B3; 'Lineup changed: R Walsh in at pitcher' not explicit — R Walsh named as pitcher in B1 play #18/#21 descriptions; B1: K×3 (B S dropped 3rd out, A A K, S T K), BB×2 (L R, L L), BF=5, Outs=3, R=0; B2: 3B (J H), SAC Fly out (M R), K×2 (I W, J S), BF=4, Outs=3, R=1 (J H scores on SAC Fly); B3: BB×3 (B S, A A, L R), FC-DP ×2 outs (L L), FC 1 out (S T), BF=5, Outs=3, R=1 (B S scores); WP=0 confirmed from Sec4 B1–B3 sequences; also bats</t>
        </is>
      </c>
    </row>
    <row r="24">
      <c r="A24" t="inlineStr">
        <is>
          <t>2026-03-21_RVRH_at_GLFR</t>
        </is>
      </c>
      <c r="B24" s="10" t="n">
        <v>46102</v>
      </c>
      <c r="C24" t="inlineStr">
        <is>
          <t>Guilford Park Varsity Panthers</t>
        </is>
      </c>
      <c r="D24" t="inlineStr">
        <is>
          <t>RVRH</t>
        </is>
      </c>
      <c r="E24" t="inlineStr">
        <is>
          <t>J Norwood</t>
        </is>
      </c>
      <c r="F24" t="n">
        <v>5</v>
      </c>
      <c r="G24" t="n">
        <v>11</v>
      </c>
      <c r="H24" t="n">
        <v>3</v>
      </c>
      <c r="I24" t="n">
        <v>2</v>
      </c>
      <c r="J24" t="n">
        <v>1</v>
      </c>
      <c r="K24" t="n">
        <v>0</v>
      </c>
      <c r="L24" t="n">
        <v>0</v>
      </c>
      <c r="M24" t="n">
        <v>3</v>
      </c>
      <c r="N24" t="n">
        <v>1</v>
      </c>
      <c r="O24" t="n">
        <v>3</v>
      </c>
      <c r="P24" t="n">
        <v>3</v>
      </c>
      <c r="Q24" t="n">
        <v>1</v>
      </c>
      <c r="R24" t="inlineStr">
        <is>
          <t>B4–B5 (through play #66); Flag #7 — entry inferred from play descriptions, no explicit lineup note; B4: HBP J H, 1B M R, K I W, K J S, 1B B S (2R: M R + J H), K A A; BF=6, Outs=3; WP B4: Sec4 #51 B S advances to 3rd on WP during A A K AB; PB B4: Sec4 #50 J H to 3rd + M R to 2nd on passed ball during B S AB — PB not in schema, noted here; B5: BB L R, 2B L L, BB S T, Infield Fly J H, Walk M R; BF=5, Outs=2 (J H IF + Z M CS home); R B5: L L steals home (play #66, during M R walk AB) = 1; A Wu takes over at play #67; also bats and plays 1B</t>
        </is>
      </c>
    </row>
    <row r="25">
      <c r="A25" t="inlineStr">
        <is>
          <t>2026-03-21_RVRH_at_GLFR</t>
        </is>
      </c>
      <c r="B25" s="10" t="n">
        <v>46102</v>
      </c>
      <c r="C25" t="inlineStr">
        <is>
          <t>Guilford Park Varsity Panthers</t>
        </is>
      </c>
      <c r="D25" t="inlineStr">
        <is>
          <t>RVRH</t>
        </is>
      </c>
      <c r="E25" t="inlineStr">
        <is>
          <t>A Wu</t>
        </is>
      </c>
      <c r="F25" t="n">
        <v>1</v>
      </c>
      <c r="G25" t="n">
        <v>2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inlineStr">
        <is>
          <t>B5 from play #67; 'Lineup changed: A Wu in at pitcher' play #67 notes; 1B I W (S T scores on throw, R_Allowed=1; Flag #10); K_L J S (Sec4 #68 'Strike 3 looking'); M R and I W stranded to end game</t>
        </is>
      </c>
    </row>
    <row r="26">
      <c r="A26" t="inlineStr">
        <is>
          <t>2026-03-21_RVRH_at_GLFR</t>
        </is>
      </c>
      <c r="B26" s="10" t="n">
        <v>46102</v>
      </c>
      <c r="C26" t="inlineStr">
        <is>
          <t>Guilford Park Varsity Panthers</t>
        </is>
      </c>
      <c r="D26" t="inlineStr">
        <is>
          <t>GLFR</t>
        </is>
      </c>
      <c r="E26" t="inlineStr">
        <is>
          <t>GLFR_BS</t>
        </is>
      </c>
      <c r="F26" t="n">
        <v>3</v>
      </c>
      <c r="G26" t="n">
        <v>16</v>
      </c>
      <c r="H26" t="n">
        <v>5</v>
      </c>
      <c r="I26" t="n">
        <v>5</v>
      </c>
      <c r="J26" t="n">
        <v>0</v>
      </c>
      <c r="K26" t="n">
        <v>0</v>
      </c>
      <c r="L26" t="n">
        <v>0</v>
      </c>
      <c r="M26" t="n">
        <v>2</v>
      </c>
      <c r="N26" t="n">
        <v>2</v>
      </c>
      <c r="O26" t="n">
        <v>1</v>
      </c>
      <c r="P26" t="n">
        <v>12</v>
      </c>
      <c r="Q26" t="n">
        <v>1</v>
      </c>
      <c r="R26" t="inlineStr">
        <is>
          <t>T1; 'Lineup changed: B S in at pitcher' play #1 notes; K: R Walsh (dropped 3rd strike, K_S, Sec4 #1); outs: E McCoy K (#8), J Norwood Fly Out (#12), A Fields Fly Out (#16); H: C Reis×2 1B, C Naecker 1B, A Fields 1B, R Walsh 1B; HBP: G Dang (#6), H Zhang (#13); BB: J Norwood (#3), A Contreras (#9); WP: Sec4 #14 (C Reis to 3rd + H Zhang to 2nd on WP during C Naecker AB); PB on R Walsh dropped 3rd strike play #1 (Flag #12) — PB on GLFR catcher, not schema field, noted here; GLFR name abbreviated per Flag #3; also bats</t>
        </is>
      </c>
    </row>
    <row r="27">
      <c r="A27" t="inlineStr">
        <is>
          <t>2026-03-21_RVRH_at_GLFR</t>
        </is>
      </c>
      <c r="B27" s="10" t="n">
        <v>46102</v>
      </c>
      <c r="C27" t="inlineStr">
        <is>
          <t>Guilford Park Varsity Panthers</t>
        </is>
      </c>
      <c r="D27" t="inlineStr">
        <is>
          <t>GLFR</t>
        </is>
      </c>
      <c r="E27" t="inlineStr">
        <is>
          <t>GLFR_AA</t>
        </is>
      </c>
      <c r="F27" t="n">
        <v>9</v>
      </c>
      <c r="G27" t="n">
        <v>15</v>
      </c>
      <c r="H27" t="n">
        <v>5</v>
      </c>
      <c r="I27" t="n">
        <v>4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3</v>
      </c>
      <c r="Q27" t="n">
        <v>1</v>
      </c>
      <c r="R27" t="inlineStr">
        <is>
          <t>T2–T4; T2 entry inferred from play descriptions ('A A pitching' plays #24/#26), no lineup note; T4 pitcher inferred — no pitcher change note and A A was last named pitcher; T2: BB E McCoy, 1B A Contreras, K R Walsh (K_L Sec4 #24), 1B C Reis, FoulTip-K J Norwood, FO H Zhang; BF=6, R=2; T3: 1B C Naecker, GO G Dang, K_L A Fields (Sec4 #34), GO E McCoy; BF=4, R=0; WP T3: Sec4 #34 C Naecker advances to 3rd on WP during A Fields K AB; T4: PO A Contreras, GO R Walsh, 2B C Reis, 1B J Norwood (R: R Miller/C Reis CR), GO H Zhang; BF=5, R=1; GLFR name abbreviated per Flag #3; also bats</t>
        </is>
      </c>
    </row>
    <row r="28">
      <c r="A28" t="inlineStr">
        <is>
          <t>2026-03-21_RVRH_at_GLFR</t>
        </is>
      </c>
      <c r="B28" s="10" t="n">
        <v>46102</v>
      </c>
      <c r="C28" t="inlineStr">
        <is>
          <t>Guilford Park Varsity Panthers</t>
        </is>
      </c>
      <c r="D28" t="inlineStr">
        <is>
          <t>GLFR</t>
        </is>
      </c>
      <c r="E28" t="inlineStr">
        <is>
          <t>GLFR_LL</t>
        </is>
      </c>
      <c r="F28" t="n">
        <v>3</v>
      </c>
      <c r="G28" t="n">
        <v>10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5</v>
      </c>
      <c r="N28" t="n">
        <v>0</v>
      </c>
      <c r="O28" t="n">
        <v>1</v>
      </c>
      <c r="P28" t="n">
        <v>4</v>
      </c>
      <c r="Q28" t="n">
        <v>0</v>
      </c>
      <c r="R28" t="inlineStr">
        <is>
          <t>T5; entry inferred from play descriptions ('L L pitching' plays #53/#55/#60/#61), no lineup note; BB: R Ronayne, L Kreisl, B Bixby, R Miller, H Zhang (5 BB); H: B Mougey 1B (#52), R Walsh 2B (#57); K_L B Mougey (#61, Sec4 #61 'Strike 3 looking'); Outs: E Skolkin FC (#54), J Norwood SAC Fly (#59), B Mougey K (#61); R_Allowed=4 (B Mougey #56, E Skolkin #57, L Kreisl #57, B Bixby #59); GLFR name abbreviated per Flag #3; also bats</t>
        </is>
      </c>
    </row>
    <row r="29">
      <c r="A29" t="inlineStr">
        <is>
          <t>2026-03-23_WLDL_at_RVRH</t>
        </is>
      </c>
      <c r="B29" s="10" t="n">
        <v>46104</v>
      </c>
      <c r="C29" t="inlineStr">
        <is>
          <t>Wilde Lake Varsity Cats</t>
        </is>
      </c>
      <c r="D29" t="inlineStr">
        <is>
          <t>RVRH</t>
        </is>
      </c>
      <c r="E29" t="inlineStr">
        <is>
          <t>J Jenkins</t>
        </is>
      </c>
      <c r="F29" t="n">
        <v>9</v>
      </c>
      <c r="G29" t="n">
        <v>11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4</v>
      </c>
      <c r="P29" t="n">
        <v>0</v>
      </c>
      <c r="Q29" t="n">
        <v>0</v>
      </c>
      <c r="R29" t="inlineStr">
        <is>
          <t>T1–T3; lineup note play #1; duplicate lineup note at play #20 (Flag #3); T1: T Sommer K_S, D Coleman K_L, N Dalesio K_L — 3 K, 3 outs, BF=3; T2: J Bunnell GO, R Schmidt GO, B Habershon BB, W Switzer K_L — 1 K, 1 BB, 3 outs, BF=4; T3: D Linares Bunt Out, A Lindsay BB (CS embedded in D Coleman AB), T Sommer 1B, D Coleman GO — 3 outs (bunt, CS, GO), 1 BB, 1 H, BF=4; A Lindsay CS at 3rd (Sec4 #23) logged as embedded in D Coleman AB (Flag #8)</t>
        </is>
      </c>
    </row>
    <row r="30">
      <c r="A30" t="inlineStr">
        <is>
          <t>2026-03-23_WLDL_at_RVRH</t>
        </is>
      </c>
      <c r="B30" s="10" t="n">
        <v>46104</v>
      </c>
      <c r="C30" t="inlineStr">
        <is>
          <t>Wilde Lake Varsity Cats</t>
        </is>
      </c>
      <c r="D30" t="inlineStr">
        <is>
          <t>RVRH</t>
        </is>
      </c>
      <c r="E30" t="inlineStr">
        <is>
          <t>C Nichols</t>
        </is>
      </c>
      <c r="F30" t="n">
        <v>3</v>
      </c>
      <c r="G30" t="n">
        <v>5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inlineStr">
        <is>
          <t>T4; 'Lineup changed: C Nichols in at pitcher' play #42; N Dalesio 1B, J Bunnell K_L, R Schmidt K_L, B Habershon 1B, N Gilchrist K_S; also bats (see batting row)</t>
        </is>
      </c>
    </row>
    <row r="31">
      <c r="A31" t="inlineStr">
        <is>
          <t>2026-03-23_WLDL_at_RVRH</t>
        </is>
      </c>
      <c r="B31" s="10" t="n">
        <v>46104</v>
      </c>
      <c r="C31" t="inlineStr">
        <is>
          <t>Wilde Lake Varsity Cats</t>
        </is>
      </c>
      <c r="D31" t="inlineStr">
        <is>
          <t>RVRH</t>
        </is>
      </c>
      <c r="E31" t="inlineStr">
        <is>
          <t>E Skolkin</t>
        </is>
      </c>
      <c r="F31" t="n">
        <v>3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3</v>
      </c>
      <c r="P31" t="n">
        <v>0</v>
      </c>
      <c r="Q31" t="n">
        <v>0</v>
      </c>
      <c r="R31" t="inlineStr">
        <is>
          <t>T5; 'Lineup changed: E Skolkin in at pitcher' play #59; J Nguyen BB, D Bouadi K_S, E Griffiths K_L, D Tang K_S</t>
        </is>
      </c>
    </row>
    <row r="32">
      <c r="A32" t="inlineStr">
        <is>
          <t>2026-03-23_WLDL_at_RVRH</t>
        </is>
      </c>
      <c r="B32" s="10" t="n">
        <v>46104</v>
      </c>
      <c r="C32" t="inlineStr">
        <is>
          <t>Wilde Lake Varsity Cats</t>
        </is>
      </c>
      <c r="D32" t="inlineStr">
        <is>
          <t>WLDL</t>
        </is>
      </c>
      <c r="E32" t="inlineStr">
        <is>
          <t>T Sommer</t>
        </is>
      </c>
      <c r="F32" t="n">
        <v>6</v>
      </c>
      <c r="G32" t="n">
        <v>11</v>
      </c>
      <c r="H32" t="n">
        <v>5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2</v>
      </c>
      <c r="Q32" t="n">
        <v>0</v>
      </c>
      <c r="R32" t="inlineStr">
        <is>
          <t>B1–B2; entry inferred from 'T Sommer pitching' at play #14 — no B1 lineup note; B1: R Walsh GO, C Reis LO, J Norwood 1B (pickoff out ends inning) — H=1, BF=3, Outs=3; B2: H Zhang 2B, C Naecker 1B, G Dang K_S, A Fields 1B, E McCoy 1B, A Contreras HBP, R Walsh K_S, C Reis GO — H=4, HBP=1, K=2, BF=8, Outs=3, R=2; PB by J Bunnell (catcher) during G Dang K AB (play #14 Sec4): H Zhang scores — PB not in pitching schema, noted here; also bats and fields</t>
        </is>
      </c>
    </row>
    <row r="33">
      <c r="A33" t="inlineStr">
        <is>
          <t>2026-03-23_WLDL_at_RVRH</t>
        </is>
      </c>
      <c r="B33" s="10" t="n">
        <v>46104</v>
      </c>
      <c r="C33" t="inlineStr">
        <is>
          <t>Wilde Lake Varsity Cats</t>
        </is>
      </c>
      <c r="D33" t="inlineStr">
        <is>
          <t>WLDL</t>
        </is>
      </c>
      <c r="E33" t="inlineStr">
        <is>
          <t>R Schmidt</t>
        </is>
      </c>
      <c r="F33" t="n">
        <v>2</v>
      </c>
      <c r="G33" t="n">
        <v>13</v>
      </c>
      <c r="H33" t="n">
        <v>8</v>
      </c>
      <c r="I33" t="n">
        <v>6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8</v>
      </c>
      <c r="Q33" t="n">
        <v>1</v>
      </c>
      <c r="R33" t="inlineStr">
        <is>
          <t>B3 plays #24–#36; entry inferred from 'R Schmidt pitching' at plays #25/#29/#31 — no lineup note; B Habershon takes over at play #37; BF=13: J Norwood (error), H Zhang (HBP), C Naecker (1B), G Dang (3B), A Fields (1B), E McCoy (K_S), A Contreras (FO), R Walsh (BB), C Reis (1B), J Norwood (2B), H Zhang (1B), C Naecker (1B), G Dang (1B); Outs=2: E McCoy K_S (#29), A Contreras FO (#30); WP=1: Sec4 #33 C Reis steals 2nd then advances to 3rd on WP during J Norwood 2B AB; PB during C Reis AB (Sec4 #32): A Fields scores on PB — charged to catcher, not in schema, noted here; R_Allowed=8: J Norwood+H Zhang+C Naecker on G Dang 3B (#27), B Bixby/G Dang on A Fields 1B (#28), A Fields on PB + R Walsh on C Reis 1B (#32), C Reis on J Norwood 2B (#33), J Norwood on H Zhang 1B (#34); also bats and plays SS</t>
        </is>
      </c>
    </row>
    <row r="34">
      <c r="A34" t="inlineStr">
        <is>
          <t>2026-03-23_WLDL_at_RVRH</t>
        </is>
      </c>
      <c r="B34" s="10" t="n">
        <v>46104</v>
      </c>
      <c r="C34" t="inlineStr">
        <is>
          <t>Wilde Lake Varsity Cats</t>
        </is>
      </c>
      <c r="D34" t="inlineStr">
        <is>
          <t>WLDL</t>
        </is>
      </c>
      <c r="E34" t="inlineStr">
        <is>
          <t>B Habershon</t>
        </is>
      </c>
      <c r="F34" t="n">
        <v>4</v>
      </c>
      <c r="G34" t="n">
        <v>18</v>
      </c>
      <c r="H34" t="n">
        <v>5</v>
      </c>
      <c r="I34" t="n">
        <v>3</v>
      </c>
      <c r="J34" t="n">
        <v>1</v>
      </c>
      <c r="K34" t="n">
        <v>1</v>
      </c>
      <c r="L34" t="n">
        <v>0</v>
      </c>
      <c r="M34" t="n">
        <v>7</v>
      </c>
      <c r="N34" t="n">
        <v>0</v>
      </c>
      <c r="O34" t="n">
        <v>1</v>
      </c>
      <c r="P34" t="n">
        <v>12</v>
      </c>
      <c r="Q34" t="n">
        <v>2</v>
      </c>
      <c r="R34" t="inlineStr">
        <is>
          <t>B3 plays #37–#41 + B4 plays #47–#58 + B5 partial (play #63, B Mougey no outcome); B3: A Fields BB, E McCoy BB, A Contreras 2B, R Walsh BB, C Reis FC; WP B3: Sec4 #37 H Zhang scores on WP (R_Allowed+1), Sec4 #38 C Naecker scores on WP (R_Allowed+1); B3 Outs=1 (C Reis FC #41), BF=5, H=1 (A Contreras 2B), BB=3, R=4 (H Zhang WP + C Naecker WP + B Bixby + A Fields on A Contreras 2B); B4: J Norwood BB, R Ronayne BB, C Nichols BB, B Mougey K_L, A Fields BB, B Bixby FC, R Miller 1B, A Wu 1B, L Kreisl FC, J Norwood 3B, R Ronayne 1B, C Nichols FC; B4 Outs=3 (B Mougey K, L Kreisl FC #55 R Miller out, C Nichols FC #58 R Ronayne out), Flag #5: B Bixby FC #52 records no out explicitly — outs counted only where explicitly recorded; B4 BF=12, H=4 (R Miller 1B, A Wu 1B, J Norwood 3B, R Ronayne 1B), BB=4, K=1, R=8; PB during R Ronayne BB B4 (Sec4 #48: J Norwood to 2nd) — charged to catcher, not in schema, noted here; B5: BF=1 (B Mougey, no outcome, Flag #1); also bats T2 and T4</t>
        </is>
      </c>
    </row>
    <row r="35">
      <c r="A35" t="inlineStr">
        <is>
          <t>2026-03-25_RVRH_at_HMMN</t>
        </is>
      </c>
      <c r="B35" s="10" t="n">
        <v>46106</v>
      </c>
      <c r="C35" t="inlineStr">
        <is>
          <t>Hammond Varsity Bears</t>
        </is>
      </c>
      <c r="D35" t="inlineStr">
        <is>
          <t>RVRH</t>
        </is>
      </c>
      <c r="E35" t="inlineStr">
        <is>
          <t>H Zhang</t>
        </is>
      </c>
      <c r="F35" t="n">
        <v>18</v>
      </c>
      <c r="G35" t="n">
        <v>25</v>
      </c>
      <c r="H35" t="n">
        <v>6</v>
      </c>
      <c r="I35" t="n">
        <v>6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3</v>
      </c>
      <c r="P35" t="n">
        <v>2</v>
      </c>
      <c r="Q35" t="n">
        <v>0</v>
      </c>
      <c r="R35" t="inlineStr">
        <is>
          <t>B1–B6; entry inferred from pitcher role in B1 (named 'H Zhang pitching' in play descriptions); B1: Y Rivera K_S, P Yarnell 1B, C Stryker PO, J Willis PO — BF=4, Outs=3, H=1, K=1, R=0; B2: B Garris FO, G Draminski GO, L Tordella HBP, N Macomber GO — BF=4, Outs=3, HBP=1, R=0; B3: G Garris GO, Y Rivera GO, P Yarnell GO — BF=3, Outs=3, R=0; B4: C Stryker 1B, J Willis K_S, B Garris FO, G Draminski FC — BF=4, Outs=3, H=1, K=1, R=0; B5: L Tordella K_L, N Macomber 1B, G Garris PO, Y Rivera GO — BF=4, Outs=3, H=1, K=1, R=0; B6: P Yarnell FO, C Stryker 1B, J Willis 1B, B Garris 1B, G Draminski SAC, L Tordella GO — BF=6, Outs=3, H=3, R=2 (C Stryker on J Willis 1B + A Contreras E; J Willis on G Draminski SAC); no WPs detected in Sec4 B sequences; also bats and plays 1B</t>
        </is>
      </c>
    </row>
    <row r="36">
      <c r="A36" t="inlineStr">
        <is>
          <t>2026-03-25_RVRH_at_HMMN</t>
        </is>
      </c>
      <c r="B36" s="10" t="n">
        <v>46106</v>
      </c>
      <c r="C36" t="inlineStr">
        <is>
          <t>Hammond Varsity Bears</t>
        </is>
      </c>
      <c r="D36" t="inlineStr">
        <is>
          <t>RVRH</t>
        </is>
      </c>
      <c r="E36" t="inlineStr">
        <is>
          <t>E McCoy</t>
        </is>
      </c>
      <c r="F36" t="n">
        <v>3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inlineStr">
        <is>
          <t>B7; entry inferred from 'E McCoy pitching' in play #73 description; N Macomber GO, G Garris FO, T Thomas K_S; also bats and fields</t>
        </is>
      </c>
    </row>
    <row r="37">
      <c r="A37" t="inlineStr">
        <is>
          <t>2026-03-25_RVRH_at_HMMN</t>
        </is>
      </c>
      <c r="B37" s="10" t="n">
        <v>46106</v>
      </c>
      <c r="C37" t="inlineStr">
        <is>
          <t>Hammond Varsity Bears</t>
        </is>
      </c>
      <c r="D37" t="inlineStr">
        <is>
          <t>HMMN</t>
        </is>
      </c>
      <c r="E37" t="inlineStr">
        <is>
          <t>P Yarnell</t>
        </is>
      </c>
      <c r="F37" t="n">
        <v>6</v>
      </c>
      <c r="G37" t="n">
        <v>15</v>
      </c>
      <c r="H37" t="n">
        <v>7</v>
      </c>
      <c r="I37" t="n">
        <v>5</v>
      </c>
      <c r="J37" t="n">
        <v>2</v>
      </c>
      <c r="K37" t="n">
        <v>0</v>
      </c>
      <c r="L37" t="n">
        <v>0</v>
      </c>
      <c r="M37" t="n">
        <v>2</v>
      </c>
      <c r="N37" t="n">
        <v>0</v>
      </c>
      <c r="O37" t="n">
        <v>3</v>
      </c>
      <c r="P37" t="n">
        <v>5</v>
      </c>
      <c r="Q37" t="n">
        <v>0</v>
      </c>
      <c r="R37" t="inlineStr">
        <is>
          <t>T1–T3 through play #23; 'Lineup changed: P Yarnell in at pitcher' play #1; T1: R Walsh 2B, C Reis 1B, J Norwood BB, H Zhang SAC fly, C Naecker K_L, G Dang K_S — BF=6, Outs=3, H=2, BB=1, K=2, R=1 (R Walsh on SAC fly); T2: A Fields K_S, E McCoy PO, A Contreras PO — BF=3, Outs=3, K=1, R=0; T3 partial (plays #18–#23): R Walsh BB, C Reis 1B, J Norwood 1B, H Zhang 2B, C Naecker 1B, G Dang 1B — BF=6, Outs=0, H=5, BB=1, R=4 (R Walsh on J Norwood 1B; C Reis on H Zhang 2B; H Zhang/McClellan + J Norwood on C Naecker 1B); also bats B1/B3/B6 and plays SS; 3 errors at SS flagged separately</t>
        </is>
      </c>
    </row>
    <row r="38">
      <c r="A38" t="inlineStr">
        <is>
          <t>2026-03-25_RVRH_at_HMMN</t>
        </is>
      </c>
      <c r="B38" s="10" t="n">
        <v>46106</v>
      </c>
      <c r="C38" t="inlineStr">
        <is>
          <t>Hammond Varsity Bears</t>
        </is>
      </c>
      <c r="D38" t="inlineStr">
        <is>
          <t>HMMN</t>
        </is>
      </c>
      <c r="E38" t="inlineStr">
        <is>
          <t>L Duckworth</t>
        </is>
      </c>
      <c r="F38" t="n">
        <v>3</v>
      </c>
      <c r="G38" t="n">
        <v>6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3</v>
      </c>
      <c r="Q38" t="n">
        <v>2</v>
      </c>
      <c r="R38" t="inlineStr">
        <is>
          <t>T3 from play #24; 'Lineup changed: L Duckworth in at pitcher' play #24; A Fields 1B, E McCoy SAC, A Contreras Error-ROE, R Walsh GO, C Reis BB, J Norwood K_L; BF=6, Outs=3, H=1, BB=1, K=1; WP=1 (Sec4 #24: C Naecker scores on WP during A Fields AB); WP=2 (Sec4 #29: C Reis advances to 2nd on WP during J Norwood K AB); R_Allowed=3: C Naecker on WP (#24), G Dang on A Fields 1B (#24), A Fields on R Walsh GO (#27)</t>
        </is>
      </c>
    </row>
    <row r="39">
      <c r="A39" t="inlineStr">
        <is>
          <t>2026-03-25_RVRH_at_HMMN</t>
        </is>
      </c>
      <c r="B39" s="10" t="n">
        <v>46106</v>
      </c>
      <c r="C39" t="inlineStr">
        <is>
          <t>Hammond Varsity Bears</t>
        </is>
      </c>
      <c r="D39" t="inlineStr">
        <is>
          <t>HMMN</t>
        </is>
      </c>
      <c r="E39" t="inlineStr">
        <is>
          <t>K Gardner</t>
        </is>
      </c>
      <c r="F39" t="n">
        <v>9</v>
      </c>
      <c r="G39" t="n">
        <v>18</v>
      </c>
      <c r="H39" t="n">
        <v>5</v>
      </c>
      <c r="I39" t="n">
        <v>5</v>
      </c>
      <c r="J39" t="n">
        <v>0</v>
      </c>
      <c r="K39" t="n">
        <v>0</v>
      </c>
      <c r="L39" t="n">
        <v>0</v>
      </c>
      <c r="M39" t="n">
        <v>2</v>
      </c>
      <c r="N39" t="n">
        <v>2</v>
      </c>
      <c r="O39" t="n">
        <v>0</v>
      </c>
      <c r="P39" t="n">
        <v>3</v>
      </c>
      <c r="Q39" t="n">
        <v>0</v>
      </c>
      <c r="R39" t="inlineStr">
        <is>
          <t>T4–T6; 'Lineup changed: K Gardner in at pitcher' play #33; T4: H Zhang 1B (CR C McClellan in), C Naecker FO, G Dang BB (CR E Skolkin in), A Fields BB, E McCoy LO, A Contreras PO — BF=6, Outs=3, H=1, BB=2, R=0; E by SS P Yarnell (HMMN E=2) advancing C McClellan to 3rd (T4 play #36, embedded, Flag #5) — no WP, charged to P Yarnell; T5: R Walsh FO, C Reis 1B, J Norwood 1B, H Zhang HBP (CR C McClellan in), C Naecker SAC fly, G Dang FO — BF=6, Outs=3, H=2, HBP=1, R=1 (C Reis on SAC fly); T6: A Fields 1B, E McCoy FO, A Contreras HBP, R Walsh GO, C Reis 1B, J Norwood FO — BF=6, Outs=3, H=2, HBP=1, R=2 (A Contreras + A Fields on C Reis 1B)</t>
        </is>
      </c>
    </row>
    <row r="40">
      <c r="A40" t="inlineStr">
        <is>
          <t>2026-03-25_RVRH_at_HMMN</t>
        </is>
      </c>
      <c r="B40" s="10" t="n">
        <v>46106</v>
      </c>
      <c r="C40" t="inlineStr">
        <is>
          <t>Hammond Varsity Bears</t>
        </is>
      </c>
      <c r="D40" t="inlineStr">
        <is>
          <t>HMMN</t>
        </is>
      </c>
      <c r="E40" t="inlineStr">
        <is>
          <t>G Draminski</t>
        </is>
      </c>
      <c r="F40" t="n">
        <v>3</v>
      </c>
      <c r="G40" t="n">
        <v>6</v>
      </c>
      <c r="H40" t="n">
        <v>2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2</v>
      </c>
      <c r="Q40" t="n">
        <v>0</v>
      </c>
      <c r="R40" t="inlineStr">
        <is>
          <t>T7; named 'G Draminski pitching' play #66; H Zhang HR, C Naecker BB, R Ronayne K_L, A Fields 1B, E McCoy PO, A Contreras FO; BF=6, Outs=3, H=2, BB=1, K=1, HR=1; R_Allowed=2: H Zhang HR solo (#65), C Naecker scores on E by SS P Yarnell during E McCoy PO AB (#69) — error by fielder, still R_Allowed for active pitcher; also bats B2/B4/B6 and plays 2B</t>
        </is>
      </c>
    </row>
    <row r="41">
      <c r="A41" t="inlineStr">
        <is>
          <t>2026-03-27_GLNL_at_RVRH</t>
        </is>
      </c>
      <c r="B41" s="10" t="n">
        <v>46108</v>
      </c>
      <c r="C41" t="inlineStr">
        <is>
          <t>Glenelg Varsity Gladiators</t>
        </is>
      </c>
      <c r="D41" t="inlineStr">
        <is>
          <t>RVRH</t>
        </is>
      </c>
      <c r="E41" t="inlineStr">
        <is>
          <t>R Walsh</t>
        </is>
      </c>
      <c r="F41" t="n">
        <v>12</v>
      </c>
      <c r="G41" t="n">
        <v>16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4</v>
      </c>
      <c r="P41" t="n">
        <v>0</v>
      </c>
      <c r="Q41" t="n">
        <v>0</v>
      </c>
      <c r="R41" t="inlineStr">
        <is>
          <t>T1–T4; 'Lineup changed: R Walsh in at pitcher' play #1; T1: M Melhuish FO, A Baker PO, C Lease Error-ROE (not a hit), B Conlon FO — BF=4, Outs=3; T2: J Miles PO, A Nazelrod K_L, S Tong K_S — BF=3, Outs=3, K=2; T3: C Brown HBP, T Blayman 1B-bunt, M Melhuish IF Out, A Baker FO, C Lease FC — BF=5, Outs=3, H=1, HBP=1; T4: B Conlon HBP, J Miles FC (B Conlon out), A Nazelrod K_S, S Tong K_L — BF=4, Outs=3, HBP=1, K=2; also bats</t>
        </is>
      </c>
    </row>
    <row r="42">
      <c r="A42" t="inlineStr">
        <is>
          <t>2026-03-27_GLNL_at_RVRH</t>
        </is>
      </c>
      <c r="B42" s="10" t="n">
        <v>46108</v>
      </c>
      <c r="C42" t="inlineStr">
        <is>
          <t>Glenelg Varsity Gladiators</t>
        </is>
      </c>
      <c r="D42" t="inlineStr">
        <is>
          <t>RVRH</t>
        </is>
      </c>
      <c r="E42" t="inlineStr">
        <is>
          <t>C Reis</t>
        </is>
      </c>
      <c r="F42" t="n">
        <v>3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inlineStr">
        <is>
          <t>T5; 'Lineup changed: C Reis in at pitcher' play #54; C Brown HBP, M Shriner PO, B Burkhardt FC (C Brown out), P Moreau K_S; also bats and plays RF</t>
        </is>
      </c>
    </row>
    <row r="43">
      <c r="A43" t="inlineStr">
        <is>
          <t>2026-03-27_GLNL_at_RVRH</t>
        </is>
      </c>
      <c r="B43" s="10" t="n">
        <v>46108</v>
      </c>
      <c r="C43" t="inlineStr">
        <is>
          <t>Glenelg Varsity Gladiators</t>
        </is>
      </c>
      <c r="D43" t="inlineStr">
        <is>
          <t>GLNL</t>
        </is>
      </c>
      <c r="E43" t="inlineStr">
        <is>
          <t>M Melhuish</t>
        </is>
      </c>
      <c r="F43" t="n">
        <v>7</v>
      </c>
      <c r="G43" t="n">
        <v>14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4</v>
      </c>
      <c r="N43" t="n">
        <v>2</v>
      </c>
      <c r="O43" t="n">
        <v>1</v>
      </c>
      <c r="P43" t="n">
        <v>5</v>
      </c>
      <c r="Q43" t="n">
        <v>0</v>
      </c>
      <c r="R43" t="inlineStr">
        <is>
          <t>B1–B2 + B3 through play #26; entry inferred — M Melhuish named in B1 plays #5,#7,#8,#9; B1: R Walsh BB, C Reis HBP, J Norwood BB, H Zhang GDP (2 outs + R Walsh scores), C Naecker K_S — BF=5, Outs=3, BB=2, HBP=1, K=1, R=1; PB by GLNL catcher during J Norwood walk B1 (Sec4 #7: R Walsh to 3rd, C Reis to 2nd) — PB not in pitching schema, noted here; B2: G Dang 1B (CR B Bixby), A Fields FO, E McCoy DP-line-out (B Bixby out) — BF=3, Outs=3, H=1, R=0; B3 plays #21–#26: A Contreras 1B, R Walsh BB, C Reis HBP, J Norwood BB, H Zhang SAC fly, C Naecker 1B — BF=6, Outs=1, H=2, BB=2, HBP=1, R=4 (A Contreras on J Norwood BB, R Walsh on H Zhang SAC fly, J Norwood on throw + C Reis on C Naecker 1B); also bats T1, T3 and plays P</t>
        </is>
      </c>
    </row>
    <row r="44">
      <c r="A44" t="inlineStr">
        <is>
          <t>2026-03-27_GLNL_at_RVRH</t>
        </is>
      </c>
      <c r="B44" s="10" t="n">
        <v>46108</v>
      </c>
      <c r="C44" t="inlineStr">
        <is>
          <t>Glenelg Varsity Gladiators</t>
        </is>
      </c>
      <c r="D44" t="inlineStr">
        <is>
          <t>GLNL</t>
        </is>
      </c>
      <c r="E44" t="inlineStr">
        <is>
          <t>N Cohen</t>
        </is>
      </c>
      <c r="F44" t="n">
        <v>1</v>
      </c>
      <c r="G44" t="n">
        <v>10</v>
      </c>
      <c r="H44" t="n">
        <v>4</v>
      </c>
      <c r="I44" t="n">
        <v>3</v>
      </c>
      <c r="J44" t="n">
        <v>1</v>
      </c>
      <c r="K44" t="n">
        <v>0</v>
      </c>
      <c r="L44" t="n">
        <v>0</v>
      </c>
      <c r="M44" t="n">
        <v>4</v>
      </c>
      <c r="N44" t="n">
        <v>1</v>
      </c>
      <c r="O44" t="n">
        <v>0</v>
      </c>
      <c r="P44" t="n">
        <v>9</v>
      </c>
      <c r="Q44" t="n">
        <v>1</v>
      </c>
      <c r="R44" t="inlineStr">
        <is>
          <t>B3 from play #27 (G Dang SAC fly) through play #36 (G Dang 2B); Flag #2: circular substitution in Sec4 #27 — N Cohen credited as active pitcher per final pitcher entry in sequence; BF=10: G Dang SAC fly, A Fields BB, E McCoy 1B, A Contreras BB, R Walsh HBP, C Reis 1B, J Norwood BB, H Zhang BB, C Naecker 1B, G Dang 2B; Outs=1 (G Dang SAC fly); WP=1 (Sec4 #27: C Naecker advances to 3rd on WP during G Dang SAC fly AB); R_Allowed=9: C Naecker (SAC fly from 3rd after WP), A Fields (R Walsh HBP), E McCoy (C Reis 1B), A Contreras (J Norwood BB forced), C McClellan/R Walsh (H Zhang BB forced), J Norwood (C Naecker 1B), C Reis (C Naecker 1B), C Naecker (G Dang 2B), H Zhang (G Dang 2B)</t>
        </is>
      </c>
    </row>
    <row r="45">
      <c r="A45" t="inlineStr">
        <is>
          <t>2026-03-27_GLNL_at_RVRH</t>
        </is>
      </c>
      <c r="B45" s="10" t="n">
        <v>46108</v>
      </c>
      <c r="C45" t="inlineStr">
        <is>
          <t>Glenelg Varsity Gladiators</t>
        </is>
      </c>
      <c r="D45" t="inlineStr">
        <is>
          <t>GLNL</t>
        </is>
      </c>
      <c r="E45" t="inlineStr">
        <is>
          <t>C Starcher</t>
        </is>
      </c>
      <c r="F45" t="n">
        <v>4</v>
      </c>
      <c r="G45" t="n">
        <v>13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n">
        <v>4</v>
      </c>
      <c r="N45" t="n">
        <v>0</v>
      </c>
      <c r="O45" t="n">
        <v>0</v>
      </c>
      <c r="P45" t="n">
        <v>5</v>
      </c>
      <c r="Q45" t="n">
        <v>2</v>
      </c>
      <c r="R45" t="inlineStr">
        <is>
          <t>B3 from play #37 (A Fields BB) through end + all of B4; 'C Starcher in for pitcher N Cohen' Sec4 #37; B3 (plays #37–#40): A Fields BB, E McCoy Error-ROE (not H), A Contreras BB, R Walsh PO — BF=4, Outs=1, BB=2, R=2 (A Fields on error, B Bixby/G Dang CR on error — no RBI for E McCoy); WP B3: Sec4 #38 B Bixby to 3rd + A Fields to 2nd on WP during E McCoy AB; B4 (plays #45–#53): C Reis 1B, J Norwood BB, H Zhang 1B, C Naecker SAC fly, G Dang SAC fly, A Fields 1B, E McCoy 1B, B Bixby BB, C McClellan GO — BF=9, Outs=3, H=4 (all 1B), BB=2, R=3 (R Miller/C Reis on C Naecker SAC fly, J Norwood on G Dang SAC fly, H Zhang on E McCoy 1B on throw); WP B4: Sec4 #52 A Fields to 3rd + E McCoy to 2nd on WP during B Bixby walk AB; B Burkhardt subs for C Starcher as batter T5 (play #56 note)</t>
        </is>
      </c>
    </row>
    <row r="46">
      <c r="A46" t="inlineStr">
        <is>
          <t>2026-03-30_FLLS_at_RVRH</t>
        </is>
      </c>
      <c r="B46" s="10" t="n">
        <v>46111</v>
      </c>
      <c r="C46" t="inlineStr">
        <is>
          <t>Fallston Varsity Cougars</t>
        </is>
      </c>
      <c r="D46" t="inlineStr">
        <is>
          <t>RVRH</t>
        </is>
      </c>
      <c r="E46" t="inlineStr">
        <is>
          <t>J Jenkins</t>
        </is>
      </c>
      <c r="F46" t="n">
        <v>12</v>
      </c>
      <c r="G46" t="n">
        <v>18</v>
      </c>
      <c r="H46" t="n">
        <v>4</v>
      </c>
      <c r="I46" t="n">
        <v>4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5</v>
      </c>
      <c r="P46" t="n">
        <v>1</v>
      </c>
      <c r="Q46" t="n">
        <v>2</v>
      </c>
      <c r="R46" t="inlineStr">
        <is>
          <t>T1–T4; 'Lineup changed: J Jenkins in at pitcher' play #1; T1: E Slicher GO, W Kregel K_S, Z Loewe 1B, F Rebasti K_S — BF=4, Outs=3, H=1, K=2; WP T1: Sec4 #4 Z Loewe advances to 2nd on WP during F Rebasti K AB; T2: R Conley K_L, G Kersch Error-ROE, J Potler BB (CR R Cullison), J Schilpp K_L, I Bishoff 1B, E Slicher FO — BF=6, Outs=3, H=1, BB=1, K=2; T3: W Kregel GO, Z Loewe 1B, F Rebasti GO, R Conley FO — BF=4, Outs=3, H=1, R=1 (Z Loewe on F Rebasti GO); T4: G Kersch GO, J Potler 1B (CR C Blair), J Schilpp FC (C Blair out), I Bishoff K_S — BF=4, Outs=3, H=1, K=1; WP T4: Sec4 #33 J Schilpp advances to 3rd on WP during I Bishoff K AB</t>
        </is>
      </c>
    </row>
    <row r="47">
      <c r="A47" t="inlineStr">
        <is>
          <t>2026-03-30_FLLS_at_RVRH</t>
        </is>
      </c>
      <c r="B47" s="10" t="n">
        <v>46111</v>
      </c>
      <c r="C47" t="inlineStr">
        <is>
          <t>Fallston Varsity Cougars</t>
        </is>
      </c>
      <c r="D47" t="inlineStr">
        <is>
          <t>RVRH</t>
        </is>
      </c>
      <c r="E47" t="inlineStr">
        <is>
          <t>C Reis</t>
        </is>
      </c>
      <c r="F47" t="n">
        <v>6</v>
      </c>
      <c r="G47" t="n">
        <v>10</v>
      </c>
      <c r="H47" t="n">
        <v>3</v>
      </c>
      <c r="I47" t="n">
        <v>2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3</v>
      </c>
      <c r="P47" t="n">
        <v>2</v>
      </c>
      <c r="Q47" t="n">
        <v>0</v>
      </c>
      <c r="R47" t="inlineStr">
        <is>
          <t>T5–T6; entry inferred from 'C Reis pitching' in play descriptions (#43,#44,#45,#53); T5: E Slicher 1B, W Kregel 1B, Z Loewe FC (W Kregel out), F Rebasti BB (E Slicher scores on G Dang error during AB; Flag #3), R Conley K_S, G Kersch K_S — BF=6, Outs=3, H=2, BB=1, K=2, R=1; T6: J Potler HR (solo), J Schilpp GO, I Bishoff K_L, E Slicher FO — BF=4, Outs=3, HR=1, H=1, K=1, R=1; also bats and plays RF</t>
        </is>
      </c>
    </row>
    <row r="48">
      <c r="A48" t="inlineStr">
        <is>
          <t>2026-03-30_FLLS_at_RVRH</t>
        </is>
      </c>
      <c r="B48" s="10" t="n">
        <v>46111</v>
      </c>
      <c r="C48" t="inlineStr">
        <is>
          <t>Fallston Varsity Cougars</t>
        </is>
      </c>
      <c r="D48" t="inlineStr">
        <is>
          <t>RVRH</t>
        </is>
      </c>
      <c r="E48" t="inlineStr">
        <is>
          <t>R Walsh</t>
        </is>
      </c>
      <c r="F48" t="n">
        <v>3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0</v>
      </c>
      <c r="R48" t="inlineStr">
        <is>
          <t>T7; named 'R Walsh pitching' play #61, 'P R Walsh' play #62, 'R Walsh pitching' play #63; W Kregel K_L, Z Loewe GO, F Rebasti K_S; also bats and plays SS</t>
        </is>
      </c>
    </row>
    <row r="49">
      <c r="A49" t="inlineStr">
        <is>
          <t>2026-03-30_FLLS_at_RVRH</t>
        </is>
      </c>
      <c r="B49" s="10" t="n">
        <v>46111</v>
      </c>
      <c r="C49" t="inlineStr">
        <is>
          <t>Fallston Varsity Cougars</t>
        </is>
      </c>
      <c r="D49" t="inlineStr">
        <is>
          <t>FLLS</t>
        </is>
      </c>
      <c r="E49" t="inlineStr">
        <is>
          <t>C Flanagan</t>
        </is>
      </c>
      <c r="F49" t="n">
        <v>9</v>
      </c>
      <c r="G49" t="n">
        <v>15</v>
      </c>
      <c r="H49" t="n">
        <v>4</v>
      </c>
      <c r="I49" t="n">
        <v>2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2</v>
      </c>
      <c r="P49" t="n">
        <v>3</v>
      </c>
      <c r="Q49" t="n">
        <v>0</v>
      </c>
      <c r="R49" t="inlineStr">
        <is>
          <t>B1–B3; 'Lineup changed: C Flanagan in at pitcher' play #5; B1: R Walsh 1B, C Reis GO, J Norwood 2B, H Zhang HR (2-run), C Naecker PO, G Dang HBP (CR C McClellan in), A Fields BB, E McCoy K_S — BF=8, Outs=3, H=3 (1B+2B+HR), BB=1, HBP=1, K=1, HR=1, R=3; B2: A Contreras FO, R Walsh K_S, C Reis FO — BF=3, Outs=3, R=0; B3: J Norwood FO, H Zhang FO, C Naecker 1B, G Dang K_S (foul tip) — BF=4, Outs=3, H=1, K=1, R=0; no WPs detected in Sec4 B1–B3 sequences</t>
        </is>
      </c>
    </row>
    <row r="50">
      <c r="A50" t="inlineStr">
        <is>
          <t>2026-03-30_FLLS_at_RVRH</t>
        </is>
      </c>
      <c r="B50" s="10" t="n">
        <v>46111</v>
      </c>
      <c r="C50" t="inlineStr">
        <is>
          <t>Fallston Varsity Cougars</t>
        </is>
      </c>
      <c r="D50" t="inlineStr">
        <is>
          <t>FLLS</t>
        </is>
      </c>
      <c r="E50" t="inlineStr">
        <is>
          <t>R Cullison</t>
        </is>
      </c>
      <c r="F50" t="n">
        <v>9</v>
      </c>
      <c r="G50" t="n">
        <v>18</v>
      </c>
      <c r="H50" t="n">
        <v>7</v>
      </c>
      <c r="I50" t="n">
        <v>5</v>
      </c>
      <c r="J50" t="n">
        <v>2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4</v>
      </c>
      <c r="Q50" t="n">
        <v>1</v>
      </c>
      <c r="R50" t="inlineStr">
        <is>
          <t>B4–B6 + B7 (0 outs); 'Lineup changed: R Cullison in at pitcher' play #34; B4: A Fields FO, E McCoy BB, A Contreras 1B, R Walsh 2B (E McCoy scores), C Reis SAC fly (A Contreras scores), J Norwood FO — BF=6, Outs=3, H=2, BB=1, R=2; B5: H Zhang 1B (CR B Bixby — stranded at 3rd), C Naecker 1B, G Dang FO, A Fields FO, E McCoy FO — BF=5, Outs=3, H=2, R=0; B6: A Contreras GO, R Walsh K_L, C Reis 1B, J Norwood 2B (C Reis scores on throw; Flag #4), H Zhang 1B (J Norwood scores), C Naecker PO — BF=6, Outs=3, H=3, K=1, R=2; WP B6: Sec4 #59 J Norwood advances to 3rd on WP during H Zhang 1B AB; B7: G Dang no outcome (Flag #1), BF=1, Outs=0; also plays CR for J Potler T2 (FLLS batting half) and bats for FLLS</t>
        </is>
      </c>
    </row>
    <row r="51">
      <c r="A51" t="inlineStr">
        <is>
          <t>2026-03-07_ELNR_at_NRTH</t>
        </is>
      </c>
      <c r="B51" s="10" t="n">
        <v>46088</v>
      </c>
      <c r="C51" t="inlineStr">
        <is>
          <t>North Point Varsity Eagles</t>
        </is>
      </c>
      <c r="D51" t="inlineStr">
        <is>
          <t>ELNR</t>
        </is>
      </c>
      <c r="E51" t="inlineStr">
        <is>
          <t>J Burke</t>
        </is>
      </c>
      <c r="F51" t="n">
        <v>3</v>
      </c>
      <c r="G51" t="n">
        <v>12</v>
      </c>
      <c r="H51" t="n">
        <v>5</v>
      </c>
      <c r="I51" t="n">
        <v>5</v>
      </c>
      <c r="J51" t="n">
        <v>0</v>
      </c>
      <c r="K51" t="n">
        <v>0</v>
      </c>
      <c r="L51" t="n">
        <v>0</v>
      </c>
      <c r="M51" t="n">
        <v>3</v>
      </c>
      <c r="N51" t="n">
        <v>0</v>
      </c>
      <c r="O51" t="n">
        <v>1</v>
      </c>
      <c r="P51" t="n">
        <v>7</v>
      </c>
      <c r="Q51" t="n">
        <v>0</v>
      </c>
      <c r="R51" t="inlineStr">
        <is>
          <t>B1. PB during Seq#16 (T Roy/C Pettko advance) — PB not in schema, noted here. J Burke also bats T2/T4.</t>
        </is>
      </c>
    </row>
    <row r="52">
      <c r="A52" t="inlineStr">
        <is>
          <t>2026-03-07_ELNR_at_NRTH</t>
        </is>
      </c>
      <c r="B52" s="10" t="n">
        <v>46088</v>
      </c>
      <c r="C52" t="inlineStr">
        <is>
          <t>North Point Varsity Eagles</t>
        </is>
      </c>
      <c r="D52" t="inlineStr">
        <is>
          <t>ELNR</t>
        </is>
      </c>
      <c r="E52" t="inlineStr">
        <is>
          <t>M Keaton</t>
        </is>
      </c>
      <c r="F52" t="n">
        <v>9</v>
      </c>
      <c r="G52" t="n">
        <v>17</v>
      </c>
      <c r="H52" t="n">
        <v>4</v>
      </c>
      <c r="I52" t="n">
        <v>2</v>
      </c>
      <c r="J52" t="n">
        <v>1</v>
      </c>
      <c r="K52" t="n">
        <v>0</v>
      </c>
      <c r="L52" t="n">
        <v>1</v>
      </c>
      <c r="M52" t="n">
        <v>2</v>
      </c>
      <c r="N52" t="n">
        <v>1</v>
      </c>
      <c r="O52" t="n">
        <v>0</v>
      </c>
      <c r="P52" t="n">
        <v>6</v>
      </c>
      <c r="Q52" t="n">
        <v>1</v>
      </c>
      <c r="R52" t="inlineStr">
        <is>
          <t>B2-B4; entry per Lineup changed note play #24. WP B2: S Dixon advances to 2nd (Seq#28).</t>
        </is>
      </c>
    </row>
    <row r="53">
      <c r="A53" t="inlineStr">
        <is>
          <t>2026-03-07_ELNR_at_NRTH</t>
        </is>
      </c>
      <c r="B53" s="10" t="n">
        <v>46088</v>
      </c>
      <c r="C53" t="inlineStr">
        <is>
          <t>North Point Varsity Eagles</t>
        </is>
      </c>
      <c r="D53" t="inlineStr">
        <is>
          <t>ELNR</t>
        </is>
      </c>
      <c r="E53" t="inlineStr">
        <is>
          <t>A Kennell</t>
        </is>
      </c>
      <c r="F53" t="n">
        <v>3</v>
      </c>
      <c r="G53" t="n">
        <v>7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1</v>
      </c>
      <c r="Q53" t="n">
        <v>1</v>
      </c>
      <c r="R53" t="inlineStr">
        <is>
          <t>B5; entry inferred from play descriptions (plays #59-60); no Lineup changed note. WP B5: T Roy advances to 3rd (Seq#55). A Kennell also bats T2/T3.</t>
        </is>
      </c>
    </row>
    <row r="54">
      <c r="A54" t="inlineStr">
        <is>
          <t>2026-03-07_ELNR_at_NRTH</t>
        </is>
      </c>
      <c r="B54" s="10" t="n">
        <v>46088</v>
      </c>
      <c r="C54" t="inlineStr">
        <is>
          <t>North Point Varsity Eagles</t>
        </is>
      </c>
      <c r="D54" t="inlineStr">
        <is>
          <t>NRTH</t>
        </is>
      </c>
      <c r="E54" t="inlineStr">
        <is>
          <t>C Pettko</t>
        </is>
      </c>
      <c r="F54" t="n">
        <v>6</v>
      </c>
      <c r="G54" t="n">
        <v>11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2</v>
      </c>
      <c r="N54" t="n">
        <v>2</v>
      </c>
      <c r="O54" t="n">
        <v>1</v>
      </c>
      <c r="P54" t="n">
        <v>0</v>
      </c>
      <c r="Q54" t="n">
        <v>0</v>
      </c>
      <c r="R54" t="inlineStr">
        <is>
          <t>T1-T2; entry inferred from play descriptions — no Lineup changed note (Flag #11). C Pettko also bats for NRTH.</t>
        </is>
      </c>
    </row>
    <row r="55">
      <c r="A55" t="inlineStr">
        <is>
          <t>2026-03-07_ELNR_at_NRTH</t>
        </is>
      </c>
      <c r="B55" s="10" t="n">
        <v>46088</v>
      </c>
      <c r="C55" t="inlineStr">
        <is>
          <t>North Point Varsity Eagles</t>
        </is>
      </c>
      <c r="D55" t="inlineStr">
        <is>
          <t>NRTH</t>
        </is>
      </c>
      <c r="E55" t="inlineStr">
        <is>
          <t>A Harding</t>
        </is>
      </c>
      <c r="F55" t="n">
        <v>3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2</v>
      </c>
      <c r="P55" t="n">
        <v>1</v>
      </c>
      <c r="Q55" t="n">
        <v>0</v>
      </c>
      <c r="R55" t="inlineStr">
        <is>
          <t>T3; entry inferred — no Lineup changed note. Balk T3 (Seq#33, play #33) — not in schema, noted here; R_Allowed=1 (C Knight scores on balk). A Harding also bats for NRTH.</t>
        </is>
      </c>
    </row>
    <row r="56">
      <c r="A56" t="inlineStr">
        <is>
          <t>2026-03-07_ELNR_at_NRTH</t>
        </is>
      </c>
      <c r="B56" s="10" t="n">
        <v>46088</v>
      </c>
      <c r="C56" t="inlineStr">
        <is>
          <t>North Point Varsity Eagles</t>
        </is>
      </c>
      <c r="D56" t="inlineStr">
        <is>
          <t>NRTH</t>
        </is>
      </c>
      <c r="E56" t="inlineStr">
        <is>
          <t>Z Bowman</t>
        </is>
      </c>
      <c r="F56" t="n">
        <v>3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inlineStr">
        <is>
          <t>T4; entry inferred. Replaced by J Smith per play #50 note. Z Bowman also bats for NRTH.</t>
        </is>
      </c>
    </row>
    <row r="57">
      <c r="A57" t="inlineStr">
        <is>
          <t>2026-03-07_ELNR_at_NRTH</t>
        </is>
      </c>
      <c r="B57" s="10" t="n">
        <v>46088</v>
      </c>
      <c r="C57" t="inlineStr">
        <is>
          <t>North Point Varsity Eagles</t>
        </is>
      </c>
      <c r="D57" t="inlineStr">
        <is>
          <t>NRTH</t>
        </is>
      </c>
      <c r="E57" t="inlineStr">
        <is>
          <t>J Smith</t>
        </is>
      </c>
      <c r="F57" t="n">
        <v>3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T5; entry per play #50 note ("J Smith in for pitcher Z Bowman"). T White at-bat (play #62, T6) has no recorded outcome — scoring artifact per Flag #1; not counted as BF. J Smith also bats for NRTH (B5).</t>
        </is>
      </c>
    </row>
    <row r="58">
      <c r="A58" t="inlineStr">
        <is>
          <t>2026-03-14_NRTH_at_ARND</t>
        </is>
      </c>
      <c r="B58" s="10" t="n">
        <v>46095</v>
      </c>
      <c r="C58" t="inlineStr">
        <is>
          <t>ARND</t>
        </is>
      </c>
      <c r="D58" t="inlineStr">
        <is>
          <t>NRTH</t>
        </is>
      </c>
      <c r="E58" t="inlineStr">
        <is>
          <t>C Pettko</t>
        </is>
      </c>
      <c r="F58" t="n">
        <v>4</v>
      </c>
      <c r="G58" t="n">
        <v>14</v>
      </c>
      <c r="H58" t="n">
        <v>3</v>
      </c>
      <c r="I58" t="n">
        <v>2</v>
      </c>
      <c r="J58" t="n">
        <v>1</v>
      </c>
      <c r="K58" t="n">
        <v>0</v>
      </c>
      <c r="L58" t="n">
        <v>0</v>
      </c>
      <c r="M58" t="n">
        <v>2</v>
      </c>
      <c r="N58" t="n">
        <v>3</v>
      </c>
      <c r="O58" t="n">
        <v>2</v>
      </c>
      <c r="P58" t="n">
        <v>6</v>
      </c>
      <c r="Q58" t="n">
        <v>2</v>
      </c>
      <c r="R58" t="inlineStr">
        <is>
          <t>B1 plays#5-11 + B2 plays#16-21,#23; entry inferred play#5; WP x2 plays#17,#19; pitcher anomaly B2 (Flag#4)</t>
        </is>
      </c>
    </row>
    <row r="59">
      <c r="A59" t="inlineStr">
        <is>
          <t>2026-03-14_NRTH_at_ARND</t>
        </is>
      </c>
      <c r="B59" s="10" t="n">
        <v>46095</v>
      </c>
      <c r="C59" t="inlineStr">
        <is>
          <t>ARND</t>
        </is>
      </c>
      <c r="D59" t="inlineStr">
        <is>
          <t>NRTH</t>
        </is>
      </c>
      <c r="E59" t="inlineStr">
        <is>
          <t>T Roy</t>
        </is>
      </c>
      <c r="F59" t="n">
        <v>3</v>
      </c>
      <c r="G59" t="n">
        <v>10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n">
        <v>0</v>
      </c>
      <c r="O59" t="n">
        <v>0</v>
      </c>
      <c r="P59" t="n">
        <v>2</v>
      </c>
      <c r="Q59" t="n">
        <v>1</v>
      </c>
      <c r="R59" t="inlineStr">
        <is>
          <t>Non-consecutive: B2 plays#22,#25; B3 plays#31-35; B4 plays#40-41; WP x1 play#22; pitcher anomaly B2 (Flag#4)</t>
        </is>
      </c>
    </row>
    <row r="60">
      <c r="A60" t="inlineStr">
        <is>
          <t>2026-03-14_NRTH_at_ARND</t>
        </is>
      </c>
      <c r="B60" s="10" t="n">
        <v>46095</v>
      </c>
      <c r="C60" t="inlineStr">
        <is>
          <t>ARND</t>
        </is>
      </c>
      <c r="D60" t="inlineStr">
        <is>
          <t>NRTH</t>
        </is>
      </c>
      <c r="E60" t="inlineStr">
        <is>
          <t>J Smith</t>
        </is>
      </c>
      <c r="F60" t="n">
        <v>5</v>
      </c>
      <c r="G60" t="n">
        <v>10</v>
      </c>
      <c r="H60" t="n">
        <v>3</v>
      </c>
      <c r="I60" t="n">
        <v>2</v>
      </c>
      <c r="J60" t="n">
        <v>0</v>
      </c>
      <c r="K60" t="n">
        <v>1</v>
      </c>
      <c r="L60" t="n">
        <v>0</v>
      </c>
      <c r="M60" t="n">
        <v>2</v>
      </c>
      <c r="N60" t="n">
        <v>0</v>
      </c>
      <c r="O60" t="n">
        <v>1</v>
      </c>
      <c r="P60" t="n">
        <v>6</v>
      </c>
      <c r="Q60" t="n">
        <v>1</v>
      </c>
      <c r="R60" t="inlineStr">
        <is>
          <t>Entry play#22 note; B2 plays#24,#26; B4 plays#42-49; WP x1 play#26</t>
        </is>
      </c>
    </row>
    <row r="61">
      <c r="A61" t="inlineStr">
        <is>
          <t>2026-03-14_NRTH_at_ARND</t>
        </is>
      </c>
      <c r="B61" s="10" t="n">
        <v>46095</v>
      </c>
      <c r="C61" t="inlineStr">
        <is>
          <t>ARND</t>
        </is>
      </c>
      <c r="D61" t="inlineStr">
        <is>
          <t>NRTH</t>
        </is>
      </c>
      <c r="E61" t="inlineStr">
        <is>
          <t>W Kwisnek</t>
        </is>
      </c>
      <c r="F61" t="n">
        <v>0</v>
      </c>
      <c r="G61" t="n">
        <v>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n">
        <v>0</v>
      </c>
      <c r="O61" t="n">
        <v>0</v>
      </c>
      <c r="P61" t="n">
        <v>3</v>
      </c>
      <c r="Q61" t="n">
        <v>1</v>
      </c>
      <c r="R61" t="inlineStr">
        <is>
          <t>Entry play#59; B5 incomplete (Flag#1); WP x1 play#63; 1 unattributed run play#63 score 19-&gt;21</t>
        </is>
      </c>
    </row>
    <row r="62">
      <c r="A62" t="inlineStr">
        <is>
          <t>2026-03-14_NRTH_at_ARND</t>
        </is>
      </c>
      <c r="B62" s="10" t="n">
        <v>46095</v>
      </c>
      <c r="C62" t="inlineStr">
        <is>
          <t>NRTH</t>
        </is>
      </c>
      <c r="D62" t="inlineStr">
        <is>
          <t>ARND</t>
        </is>
      </c>
      <c r="E62" t="inlineStr">
        <is>
          <t>G O'Donnell</t>
        </is>
      </c>
      <c r="F62" t="n">
        <v>6</v>
      </c>
      <c r="G62" t="n">
        <v>8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4</v>
      </c>
      <c r="P62" t="n">
        <v>0</v>
      </c>
      <c r="Q62" t="n">
        <v>0</v>
      </c>
      <c r="R62" t="inlineStr">
        <is>
          <t>Entry play#1; T1 plays#1-4 + T2 plays#12-15; exit T3 play#27 (J Witcher in)</t>
        </is>
      </c>
    </row>
    <row r="63">
      <c r="A63" t="inlineStr">
        <is>
          <t>2026-03-14_NRTH_at_ARND</t>
        </is>
      </c>
      <c r="B63" s="10" t="n">
        <v>46095</v>
      </c>
      <c r="C63" t="inlineStr">
        <is>
          <t>NRTH</t>
        </is>
      </c>
      <c r="D63" t="inlineStr">
        <is>
          <t>ARND</t>
        </is>
      </c>
      <c r="E63" t="inlineStr">
        <is>
          <t>J Witcher</t>
        </is>
      </c>
      <c r="F63" t="n">
        <v>6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3</v>
      </c>
      <c r="P63" t="n">
        <v>0</v>
      </c>
      <c r="Q63" t="n">
        <v>0</v>
      </c>
      <c r="R63" t="inlineStr">
        <is>
          <t>Entry play#27; T3 plays#27-29 + T4 plays#36-39; exit T5 play#50 (L Atherton in)</t>
        </is>
      </c>
    </row>
    <row r="64">
      <c r="A64" t="inlineStr">
        <is>
          <t>2026-03-14_NRTH_at_ARND</t>
        </is>
      </c>
      <c r="B64" s="10" t="n">
        <v>46095</v>
      </c>
      <c r="C64" t="inlineStr">
        <is>
          <t>NRTH</t>
        </is>
      </c>
      <c r="D64" t="inlineStr">
        <is>
          <t>ARND</t>
        </is>
      </c>
      <c r="E64" t="inlineStr">
        <is>
          <t>L Atherton</t>
        </is>
      </c>
      <c r="F64" t="n">
        <v>3</v>
      </c>
      <c r="G64" t="n">
        <v>4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1</v>
      </c>
      <c r="R64" t="inlineStr">
        <is>
          <t>Entry play#50; T5 plays#50-53; WP x1 play#52 (W Kwisnek scores); PB noted play#52 (W Kwisnek adv 3rd)</t>
        </is>
      </c>
    </row>
    <row r="65">
      <c r="A65" t="inlineStr">
        <is>
          <t>2026-03-14_NRTH_at_MRRT</t>
        </is>
      </c>
      <c r="B65" s="10" t="n">
        <v>46095</v>
      </c>
      <c r="C65" t="inlineStr">
        <is>
          <t>MRRT</t>
        </is>
      </c>
      <c r="D65" t="inlineStr">
        <is>
          <t>NRTH</t>
        </is>
      </c>
      <c r="E65" t="inlineStr">
        <is>
          <t>A Espejo</t>
        </is>
      </c>
      <c r="F65" t="n">
        <v>6</v>
      </c>
      <c r="G65" t="n">
        <v>15</v>
      </c>
      <c r="H65" t="n">
        <v>4</v>
      </c>
      <c r="I65" t="n">
        <v>3</v>
      </c>
      <c r="J65" t="n">
        <v>0</v>
      </c>
      <c r="K65" t="n">
        <v>1</v>
      </c>
      <c r="L65" t="n">
        <v>0</v>
      </c>
      <c r="M65" t="n">
        <v>4</v>
      </c>
      <c r="N65" t="n">
        <v>2</v>
      </c>
      <c r="O65" t="n">
        <v>2</v>
      </c>
      <c r="P65" t="n">
        <v>7</v>
      </c>
      <c r="Q65" t="n">
        <v>2</v>
      </c>
      <c r="R65" t="inlineStr">
        <is>
          <t>B1 plays#5-10 + B2 plays#15-23; no lineup entry note (Flag#4); WP: Seq#9 (Z Magee adv 3rd) + Seq#23 (N Brown scores); E by A Thomas (play#9) not charged to pitcher</t>
        </is>
      </c>
    </row>
    <row r="66">
      <c r="A66" t="inlineStr">
        <is>
          <t>2026-03-14_NRTH_at_MRRT</t>
        </is>
      </c>
      <c r="B66" s="10" t="n">
        <v>46095</v>
      </c>
      <c r="C66" t="inlineStr">
        <is>
          <t>MRRT</t>
        </is>
      </c>
      <c r="D66" t="inlineStr">
        <is>
          <t>NRTH</t>
        </is>
      </c>
      <c r="E66" t="inlineStr">
        <is>
          <t>E Zimmerman</t>
        </is>
      </c>
      <c r="F66" t="n">
        <v>6</v>
      </c>
      <c r="G66" t="n">
        <v>12</v>
      </c>
      <c r="H66" t="n">
        <v>2</v>
      </c>
      <c r="I66" t="n">
        <v>1</v>
      </c>
      <c r="J66" t="n">
        <v>0</v>
      </c>
      <c r="K66" t="n">
        <v>0</v>
      </c>
      <c r="L66" t="n">
        <v>1</v>
      </c>
      <c r="M66" t="n">
        <v>2</v>
      </c>
      <c r="N66" t="n">
        <v>0</v>
      </c>
      <c r="O66" t="n">
        <v>6</v>
      </c>
      <c r="P66" t="n">
        <v>3</v>
      </c>
      <c r="Q66" t="n">
        <v>1</v>
      </c>
      <c r="R66" t="inlineStr">
        <is>
          <t>B3 plays#29-36 + B4 plays#40-43; no lineup entry note (Flag#5); WP Seq#36 (S Thomas scores); 6 K (3 per inning); E by Z Bowman plays#30,#34 not charged to pitcher</t>
        </is>
      </c>
    </row>
    <row r="67">
      <c r="A67" t="inlineStr">
        <is>
          <t>2026-03-14_NRTH_at_MRRT</t>
        </is>
      </c>
      <c r="B67" s="10" t="n">
        <v>46095</v>
      </c>
      <c r="C67" t="inlineStr">
        <is>
          <t>MRRT</t>
        </is>
      </c>
      <c r="D67" t="inlineStr">
        <is>
          <t>NRTH</t>
        </is>
      </c>
      <c r="E67" t="inlineStr">
        <is>
          <t>Z Bowman</t>
        </is>
      </c>
      <c r="F67" t="n">
        <v>3</v>
      </c>
      <c r="G67" t="n">
        <v>9</v>
      </c>
      <c r="H67" t="n">
        <v>4</v>
      </c>
      <c r="I67" t="n">
        <v>3</v>
      </c>
      <c r="J67" t="n">
        <v>1</v>
      </c>
      <c r="K67" t="n">
        <v>0</v>
      </c>
      <c r="L67" t="n">
        <v>0</v>
      </c>
      <c r="M67" t="n">
        <v>2</v>
      </c>
      <c r="N67" t="n">
        <v>0</v>
      </c>
      <c r="O67" t="n">
        <v>1</v>
      </c>
      <c r="P67" t="n">
        <v>5</v>
      </c>
      <c r="Q67" t="n">
        <v>0</v>
      </c>
      <c r="R67" t="inlineStr">
        <is>
          <t>B5 plays#49-57; no lineup entry note (Flag#3); E as P play#56 (J Ketterer adv on E Z Bowman embedded B Balighian K); E by S Dixon play#51 and A Williams play#54 not charged to pitcher</t>
        </is>
      </c>
    </row>
    <row r="68">
      <c r="A68" t="inlineStr">
        <is>
          <t>2026-03-14_NRTH_at_MRRT</t>
        </is>
      </c>
      <c r="B68" s="10" t="n">
        <v>46095</v>
      </c>
      <c r="C68" t="inlineStr">
        <is>
          <t>NRTH</t>
        </is>
      </c>
      <c r="D68" t="inlineStr">
        <is>
          <t>MRRT</t>
        </is>
      </c>
      <c r="E68" t="inlineStr">
        <is>
          <t>S Thomas</t>
        </is>
      </c>
      <c r="F68" t="n">
        <v>6</v>
      </c>
      <c r="G68" t="n">
        <v>8</v>
      </c>
      <c r="H68" t="n">
        <v>2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inlineStr">
        <is>
          <t>T1 plays#1-4 + T2 plays#11-14; entry noted play#1 (Lineup changed: S Thomas in at pitcher, Flag#9)</t>
        </is>
      </c>
    </row>
    <row r="69">
      <c r="A69" t="inlineStr">
        <is>
          <t>2026-03-14_NRTH_at_MRRT</t>
        </is>
      </c>
      <c r="B69" s="10" t="n">
        <v>46095</v>
      </c>
      <c r="C69" t="inlineStr">
        <is>
          <t>NRTH</t>
        </is>
      </c>
      <c r="D69" t="inlineStr">
        <is>
          <t>MRRT</t>
        </is>
      </c>
      <c r="E69" t="inlineStr">
        <is>
          <t>J Yeich</t>
        </is>
      </c>
      <c r="F69" t="n">
        <v>6</v>
      </c>
      <c r="G69" t="n">
        <v>8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inlineStr">
        <is>
          <t>T3 plays#24-28 + T4 plays#37-39; entry play#24; WP Seq#25 (T Roy adv to 3rd during A Espejo walk AB); K: W Kwisnek T4 (dropped 3rd strike)</t>
        </is>
      </c>
    </row>
    <row r="70">
      <c r="A70" t="inlineStr">
        <is>
          <t>2026-03-14_NRTH_at_MRRT</t>
        </is>
      </c>
      <c r="B70" s="10" t="n">
        <v>46095</v>
      </c>
      <c r="C70" t="inlineStr">
        <is>
          <t>NRTH</t>
        </is>
      </c>
      <c r="D70" t="inlineStr">
        <is>
          <t>MRRT</t>
        </is>
      </c>
      <c r="E70" t="inlineStr">
        <is>
          <t>T Smith</t>
        </is>
      </c>
      <c r="F70" t="n">
        <v>3</v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2</v>
      </c>
      <c r="P70" t="n">
        <v>0</v>
      </c>
      <c r="Q70" t="n">
        <v>0</v>
      </c>
      <c r="R70" t="inlineStr">
        <is>
          <t>T5 plays#44-48; entry play#44</t>
        </is>
      </c>
    </row>
    <row r="71">
      <c r="A71" t="inlineStr">
        <is>
          <t>2026-03-14_NRTH_at_MRRT</t>
        </is>
      </c>
      <c r="B71" s="10" t="n">
        <v>46095</v>
      </c>
      <c r="C71" t="inlineStr">
        <is>
          <t>NRTH</t>
        </is>
      </c>
      <c r="D71" t="inlineStr">
        <is>
          <t>MRRT</t>
        </is>
      </c>
      <c r="E71" t="inlineStr">
        <is>
          <t>R Marsili</t>
        </is>
      </c>
      <c r="F71" t="n">
        <v>3</v>
      </c>
      <c r="G71" t="n">
        <v>6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inlineStr">
        <is>
          <t>T6 plays#58-63; entry play#58</t>
        </is>
      </c>
    </row>
    <row r="72">
      <c r="A72" t="inlineStr">
        <is>
          <t>2026-03-20_PTXN_at_NRTH</t>
        </is>
      </c>
      <c r="B72" s="10" t="n">
        <v>46101</v>
      </c>
      <c r="C72" t="inlineStr">
        <is>
          <t>PTXN</t>
        </is>
      </c>
      <c r="D72" t="inlineStr">
        <is>
          <t>NRTH</t>
        </is>
      </c>
      <c r="E72" t="inlineStr">
        <is>
          <t>A Espejo</t>
        </is>
      </c>
      <c r="F72" t="n">
        <v>15</v>
      </c>
      <c r="G72" t="n">
        <v>24</v>
      </c>
      <c r="H72" t="n">
        <v>5</v>
      </c>
      <c r="I72" t="n">
        <v>3</v>
      </c>
      <c r="J72" t="n">
        <v>1</v>
      </c>
      <c r="K72" t="n">
        <v>0</v>
      </c>
      <c r="L72" t="n">
        <v>0</v>
      </c>
      <c r="M72" t="n">
        <v>4</v>
      </c>
      <c r="N72" t="n">
        <v>0</v>
      </c>
      <c r="O72" t="n">
        <v>2</v>
      </c>
      <c r="P72" t="n">
        <v>6</v>
      </c>
      <c r="Q72" t="n">
        <v>0</v>
      </c>
      <c r="R72" t="inlineStr">
        <is>
          <t>T1 plays#1-5 + T2 plays#12-18 + T3 plays#25-28 + T4 plays#32-34 + T5 plays#38-42; entry play#1; PB events charged to C A Williams, not pitcher</t>
        </is>
      </c>
    </row>
    <row r="73">
      <c r="A73" t="inlineStr">
        <is>
          <t>2026-03-20_PTXN_at_NRTH</t>
        </is>
      </c>
      <c r="B73" s="10" t="n">
        <v>46101</v>
      </c>
      <c r="C73" t="inlineStr">
        <is>
          <t>PTXN</t>
        </is>
      </c>
      <c r="D73" t="inlineStr">
        <is>
          <t>NRTH</t>
        </is>
      </c>
      <c r="E73" t="inlineStr">
        <is>
          <t>C Pettko</t>
        </is>
      </c>
      <c r="F73" t="n">
        <v>6</v>
      </c>
      <c r="G73" t="n">
        <v>11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3</v>
      </c>
      <c r="N73" t="n">
        <v>1</v>
      </c>
      <c r="O73" t="n">
        <v>3</v>
      </c>
      <c r="P73" t="n">
        <v>1</v>
      </c>
      <c r="Q73" t="n">
        <v>0</v>
      </c>
      <c r="R73" t="inlineStr">
        <is>
          <t>T6 plays#48-54 + T7 plays#61-64; IW (L Powell T6) counted in BB_Allowed; R N Sands T6 scored on E by A Williams (embedded D Bradley GO AB play#50, Flag#7)</t>
        </is>
      </c>
    </row>
    <row r="74">
      <c r="A74" t="inlineStr">
        <is>
          <t>2026-03-20_PTXN_at_NRTH</t>
        </is>
      </c>
      <c r="B74" s="10" t="n">
        <v>46101</v>
      </c>
      <c r="C74" t="inlineStr">
        <is>
          <t>NRTH</t>
        </is>
      </c>
      <c r="D74" t="inlineStr">
        <is>
          <t>PTXN</t>
        </is>
      </c>
      <c r="E74" t="inlineStr">
        <is>
          <t>C White</t>
        </is>
      </c>
      <c r="F74" t="n">
        <v>15</v>
      </c>
      <c r="G74" t="n">
        <v>22</v>
      </c>
      <c r="H74" t="n">
        <v>5</v>
      </c>
      <c r="I74" t="n">
        <v>5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9</v>
      </c>
      <c r="P74" t="n">
        <v>3</v>
      </c>
      <c r="Q74" t="n">
        <v>0</v>
      </c>
      <c r="R74" t="inlineStr">
        <is>
          <t>B1-B5; no lineup entry note (see Flag#2); 9 K (A Espejo+A Thomas+W Kwisnek B1, E Zimmerman+W Kwisnek B3, S Dixon+T Roy B4, A Espejo+A Thomas B5); B5 3rd out via A Harding pickoff (Flag#6)</t>
        </is>
      </c>
    </row>
    <row r="75">
      <c r="A75" t="inlineStr">
        <is>
          <t>2026-03-20_PTXN_at_NRTH</t>
        </is>
      </c>
      <c r="B75" s="10" t="n">
        <v>46101</v>
      </c>
      <c r="C75" t="inlineStr">
        <is>
          <t>NRTH</t>
        </is>
      </c>
      <c r="D75" t="inlineStr">
        <is>
          <t>PTXN</t>
        </is>
      </c>
      <c r="E75" t="inlineStr">
        <is>
          <t>R Whitney</t>
        </is>
      </c>
      <c r="F75" t="n">
        <v>6</v>
      </c>
      <c r="G75" t="n">
        <v>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3</v>
      </c>
      <c r="P75" t="n">
        <v>1</v>
      </c>
      <c r="Q75" t="n">
        <v>1</v>
      </c>
      <c r="R75" t="inlineStr">
        <is>
          <t>B6-B7; no lineup entry note (Flag#10); WP B6 Seq#56 (J Smith adv 2nd); R: E Zimmerman/J Smith B6 play#59 (T Roy FC); also bats T1+T3+T5+T6 for PTXN</t>
        </is>
      </c>
    </row>
    <row r="76">
      <c r="A76" t="inlineStr">
        <is>
          <t>2026-03-23_NRTH_at_ST.C</t>
        </is>
      </c>
      <c r="B76" s="10" t="n">
        <v>46104</v>
      </c>
      <c r="C76" t="inlineStr">
        <is>
          <t>ST.C</t>
        </is>
      </c>
      <c r="D76" t="inlineStr">
        <is>
          <t>NRTH</t>
        </is>
      </c>
      <c r="E76" t="inlineStr">
        <is>
          <t>E Zimmerman</t>
        </is>
      </c>
      <c r="F76" t="n">
        <v>21</v>
      </c>
      <c r="G76" t="n">
        <v>22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8</v>
      </c>
      <c r="P76" t="n">
        <v>0</v>
      </c>
      <c r="Q76" t="n">
        <v>0</v>
      </c>
      <c r="R76" t="inlineStr">
        <is>
          <t>B1-B7; no lineup entry note (established via attribution); 8 K: M Minick K_S(B1)+T Hyde K_S(B1)+D Tyler K_L(B3)+D Vauss K_S(B3)+E Paredes K_L(B5)+R Generette K_S(B5)+K Giwa-Agbomeirele K_L(B6)+M Minick K_S(B6); balk B6 play#46 (not in schema, noted here); D Tyler 1B only ST.C hit</t>
        </is>
      </c>
    </row>
    <row r="77">
      <c r="A77" t="inlineStr">
        <is>
          <t>2026-03-23_NRTH_at_ST.C</t>
        </is>
      </c>
      <c r="B77" s="10" t="n">
        <v>46104</v>
      </c>
      <c r="C77" t="inlineStr">
        <is>
          <t>NRTH</t>
        </is>
      </c>
      <c r="D77" t="inlineStr">
        <is>
          <t>ST.C</t>
        </is>
      </c>
      <c r="E77" t="inlineStr">
        <is>
          <t>T Hyde</t>
        </is>
      </c>
      <c r="F77" t="n">
        <v>15</v>
      </c>
      <c r="G77" t="n">
        <v>19</v>
      </c>
      <c r="H77" t="n">
        <v>3</v>
      </c>
      <c r="I77" t="n">
        <v>2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8</v>
      </c>
      <c r="P77" t="n">
        <v>3</v>
      </c>
      <c r="Q77" t="n">
        <v>0</v>
      </c>
      <c r="R77" t="inlineStr">
        <is>
          <t>T1-T5; entry play#1 (Lineup changed: T Hyde in for pitcher M Minick); 8K: A Espejo K_S(T1)+A Harding K_S(T1)+W Kwisnek K_L(T2)+C Pettko K_S(T2)+A Espejo K_S(T3)+A Thomas K_L(T3)+E Zimmerman K_S(T4)+T Roy K_S(T5); R_Allowed: A Thomas T1(E)+T Roy+A Harding T3(HR)=3; A Thomas T1 run scored on E (unearned)</t>
        </is>
      </c>
    </row>
    <row r="78">
      <c r="A78" t="inlineStr">
        <is>
          <t>2026-03-23_NRTH_at_ST.C</t>
        </is>
      </c>
      <c r="B78" s="10" t="n">
        <v>46104</v>
      </c>
      <c r="C78" t="inlineStr">
        <is>
          <t>NRTH</t>
        </is>
      </c>
      <c r="D78" t="inlineStr">
        <is>
          <t>ST.C</t>
        </is>
      </c>
      <c r="E78" t="inlineStr">
        <is>
          <t>C Stokes</t>
        </is>
      </c>
      <c r="F78" t="n">
        <v>0</v>
      </c>
      <c r="G78" t="n">
        <v>4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inlineStr">
        <is>
          <t>T6 plays#37-40 only; entry play#37; A Thomas BB + A Harding 1B + Z Bowman HBP + E Zimmerman BB; A Thomas scores on E Zimmerman walk (R_Allowed:1); replaced by M Minick before W Kwisnek AB</t>
        </is>
      </c>
    </row>
    <row r="79">
      <c r="A79" t="inlineStr">
        <is>
          <t>2026-03-23_NRTH_at_ST.C</t>
        </is>
      </c>
      <c r="B79" s="10" t="n">
        <v>46104</v>
      </c>
      <c r="C79" t="inlineStr">
        <is>
          <t>NRTH</t>
        </is>
      </c>
      <c r="D79" t="inlineStr">
        <is>
          <t>ST.C</t>
        </is>
      </c>
      <c r="E79" t="inlineStr">
        <is>
          <t>M Minick</t>
        </is>
      </c>
      <c r="F79" t="n">
        <v>6</v>
      </c>
      <c r="G79" t="n">
        <v>8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2</v>
      </c>
      <c r="O79" t="n">
        <v>2</v>
      </c>
      <c r="P79" t="n">
        <v>3</v>
      </c>
      <c r="Q79" t="n">
        <v>2</v>
      </c>
      <c r="R79" t="inlineStr">
        <is>
          <t>T6 plays#41-44 + T7 plays#49-52; WP x2: play#41 (A Harding scores) + play#42 (Z Bowman scores); R_Allowed: A Harding WP(T6)+Z Bowman WP(T6)+C Harrigan/E Zimmerman C Pettko 2B(T6)=3; HBP: Z Bowman T6, A Espejo T7, A Harding T7; see Flags#5,#6</t>
        </is>
      </c>
    </row>
    <row r="80">
      <c r="A80" t="inlineStr">
        <is>
          <t>2026-03-25_NRTH_at_CHPT</t>
        </is>
      </c>
      <c r="B80" s="10" t="n">
        <v>46106</v>
      </c>
      <c r="C80" t="inlineStr">
        <is>
          <t>CHPT</t>
        </is>
      </c>
      <c r="D80" t="inlineStr">
        <is>
          <t>NRTH</t>
        </is>
      </c>
      <c r="E80" t="inlineStr">
        <is>
          <t>C Pettko</t>
        </is>
      </c>
      <c r="F80" t="n">
        <v>15</v>
      </c>
      <c r="G80" t="n">
        <v>26</v>
      </c>
      <c r="H80" t="n">
        <v>3</v>
      </c>
      <c r="I80" t="n">
        <v>1</v>
      </c>
      <c r="J80" t="n">
        <v>2</v>
      </c>
      <c r="K80" t="n">
        <v>0</v>
      </c>
      <c r="L80" t="n">
        <v>0</v>
      </c>
      <c r="M80" t="n">
        <v>3</v>
      </c>
      <c r="N80" t="n">
        <v>1</v>
      </c>
      <c r="O80" t="n">
        <v>0</v>
      </c>
      <c r="P80" t="n">
        <v>7</v>
      </c>
      <c r="Q80" t="n">
        <v>1</v>
      </c>
      <c r="R80" t="inlineStr">
        <is>
          <t>B1-B5; entry play#6; BB: T Bailey+R Welch(B1)+A Garner... wait A Garner HBP. BB: T Bailey(B1)+R Welch(B1)+C Rabon(B1)=3; HBP: A Garner(B1)=1; WP: Seq#38 B4 (M McDermott adv 3rd); balk B1 Seq#9 (not in schema, noted here); chained CRs embedded B1 (Flag#5); 3-runner E score play#11 (Flag#4)</t>
        </is>
      </c>
    </row>
    <row r="81">
      <c r="A81" t="inlineStr">
        <is>
          <t>2026-03-25_NRTH_at_CHPT</t>
        </is>
      </c>
      <c r="B81" s="10" t="n">
        <v>46106</v>
      </c>
      <c r="C81" t="inlineStr">
        <is>
          <t>CHPT</t>
        </is>
      </c>
      <c r="D81" t="inlineStr">
        <is>
          <t>NRTH</t>
        </is>
      </c>
      <c r="E81" t="inlineStr">
        <is>
          <t>A Espejo</t>
        </is>
      </c>
      <c r="F81" t="n">
        <v>3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inlineStr">
        <is>
          <t>B6 plays#51-53; K: T Bailey K_S play#52; B7 (plays#60-62) not counted — scoring artifact (Flag#1)</t>
        </is>
      </c>
    </row>
    <row r="82">
      <c r="A82" t="inlineStr">
        <is>
          <t>2026-03-25_NRTH_at_CHPT</t>
        </is>
      </c>
      <c r="B82" s="10" t="n">
        <v>46106</v>
      </c>
      <c r="C82" t="inlineStr">
        <is>
          <t>NRTH</t>
        </is>
      </c>
      <c r="D82" t="inlineStr">
        <is>
          <t>CHPT</t>
        </is>
      </c>
      <c r="E82" t="inlineStr">
        <is>
          <t>S Beach</t>
        </is>
      </c>
      <c r="F82" t="n">
        <v>17</v>
      </c>
      <c r="G82" t="n">
        <v>22</v>
      </c>
      <c r="H82" t="n">
        <v>4</v>
      </c>
      <c r="I82" t="n">
        <v>3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7</v>
      </c>
      <c r="P82" t="n">
        <v>1</v>
      </c>
      <c r="Q82" t="n">
        <v>1</v>
      </c>
      <c r="R82" t="inlineStr">
        <is>
          <t>T1-T5 + T6 first 2 batters (plays#48-49); entry play#1 (replaces M Minick); K: A Thomas K_S(T1)+W Kwisnek K_S(T2)+C Pettko K_L(T2)+A Espejo K_L(T3)+W Kwisnek K_L(T4)+A Thomas K_S(T5)+A Harding K_S(T6)=7; WP: Seq#5 T1 (Z Bowman adv 2nd); HBP: A Espejo T5 play#32; R_Allowed: A Harding T1 (Z Bowman 1B)=1</t>
        </is>
      </c>
    </row>
    <row r="83">
      <c r="A83" t="inlineStr">
        <is>
          <t>2026-03-25_NRTH_at_CHPT</t>
        </is>
      </c>
      <c r="B83" s="10" t="n">
        <v>46106</v>
      </c>
      <c r="C83" t="inlineStr">
        <is>
          <t>NRTH</t>
        </is>
      </c>
      <c r="D83" t="inlineStr">
        <is>
          <t>CHPT</t>
        </is>
      </c>
      <c r="E83" t="inlineStr">
        <is>
          <t>D Watson</t>
        </is>
      </c>
      <c r="F83" t="n">
        <v>4</v>
      </c>
      <c r="G83" t="n">
        <v>7</v>
      </c>
      <c r="H83" t="n">
        <v>2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inlineStr">
        <is>
          <t>T6 play#50 (J Smith GO) + T7 plays#54-59; entry play#50 (D Watson in for S Beach); K: T Roy K_S T7 Seq#57; R_Allowed: W Kwisnek T7 play#55 (S Dixon 1B)=1</t>
        </is>
      </c>
    </row>
    <row r="84">
      <c r="A84" t="inlineStr">
        <is>
          <t>2026-03-26_THMS_at_NRTH</t>
        </is>
      </c>
      <c r="B84" s="10" t="n">
        <v>46107</v>
      </c>
      <c r="C84" t="inlineStr">
        <is>
          <t>THMS</t>
        </is>
      </c>
      <c r="D84" t="inlineStr">
        <is>
          <t>NRTH</t>
        </is>
      </c>
      <c r="E84" t="inlineStr">
        <is>
          <t>Z Bowman</t>
        </is>
      </c>
      <c r="F84" t="n">
        <v>6</v>
      </c>
      <c r="G84" t="n">
        <v>16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4</v>
      </c>
      <c r="N84" t="n">
        <v>2</v>
      </c>
      <c r="O84" t="n">
        <v>4</v>
      </c>
      <c r="P84" t="n">
        <v>5</v>
      </c>
      <c r="Q84" t="n">
        <v>1</v>
      </c>
      <c r="R84" t="inlineStr">
        <is>
          <t>T1 plays#1-8 + T2 plays#28-35; entry play#1; BB: #17+#11+#1(T1)+#8(T2)=4; HBP: #11+#10(T2); K: #10 K_S(T1)+#16 K_L(T1)+#4 K_L(T2)+#1 K_L(T2)=4; WP: Seq#3 T1 (#2 adv 2nd); R: T1 PB play#8 charged to C(catcher), E plays#1,#5 not charged; #2 steal of home T2 Seq#32 not charged to pitcher</t>
        </is>
      </c>
    </row>
    <row r="85">
      <c r="A85" t="inlineStr">
        <is>
          <t>2026-03-26_THMS_at_NRTH</t>
        </is>
      </c>
      <c r="B85" s="10" t="n">
        <v>46107</v>
      </c>
      <c r="C85" t="inlineStr">
        <is>
          <t>THMS</t>
        </is>
      </c>
      <c r="D85" t="inlineStr">
        <is>
          <t>NRTH</t>
        </is>
      </c>
      <c r="E85" t="inlineStr">
        <is>
          <t>A Harding</t>
        </is>
      </c>
      <c r="F85" t="n">
        <v>6</v>
      </c>
      <c r="G85" t="n">
        <v>8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5</v>
      </c>
      <c r="P85" t="n">
        <v>0</v>
      </c>
      <c r="Q85" t="n">
        <v>0</v>
      </c>
      <c r="R85" t="inlineStr">
        <is>
          <t>T3 plays#42-45 + T4 plays#49-52; K: #16 K_S(T3)+#8 K_S(T3)+#11 K_L(T4)+#21 K_S(T4)+#22 K_L(T4)=5; HBP: #17(T4); H: #4 1B T3 (pop fly to P notation, Flag#11)</t>
        </is>
      </c>
    </row>
    <row r="86">
      <c r="A86" t="inlineStr">
        <is>
          <t>2026-03-26_THMS_at_NRTH</t>
        </is>
      </c>
      <c r="B86" s="10" t="n">
        <v>46107</v>
      </c>
      <c r="C86" t="inlineStr">
        <is>
          <t>THMS</t>
        </is>
      </c>
      <c r="D86" t="inlineStr">
        <is>
          <t>NRTH</t>
        </is>
      </c>
      <c r="E86" t="inlineStr">
        <is>
          <t>T Roy</t>
        </is>
      </c>
      <c r="F86" t="n">
        <v>3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inlineStr">
        <is>
          <t>T5 plays#56-58; entry play#56; K: #16 K_S(T5)+#8 K_S(T5)=2</t>
        </is>
      </c>
    </row>
    <row r="87">
      <c r="A87" t="inlineStr">
        <is>
          <t>2026-03-26_THMS_at_NRTH</t>
        </is>
      </c>
      <c r="B87" s="10" t="n">
        <v>46107</v>
      </c>
      <c r="C87" t="inlineStr">
        <is>
          <t>NRTH</t>
        </is>
      </c>
      <c r="D87" t="inlineStr">
        <is>
          <t>THMS</t>
        </is>
      </c>
      <c r="E87" t="inlineStr">
        <is>
          <t>#17</t>
        </is>
      </c>
      <c r="F87" t="n">
        <v>0</v>
      </c>
      <c r="G87" t="n">
        <v>10</v>
      </c>
      <c r="H87" t="n">
        <v>3</v>
      </c>
      <c r="I87" t="n">
        <v>1</v>
      </c>
      <c r="J87" t="n">
        <v>0</v>
      </c>
      <c r="K87" t="n">
        <v>2</v>
      </c>
      <c r="L87" t="n">
        <v>0</v>
      </c>
      <c r="M87" t="n">
        <v>6</v>
      </c>
      <c r="N87" t="n">
        <v>1</v>
      </c>
      <c r="O87" t="n">
        <v>0</v>
      </c>
      <c r="P87" t="n">
        <v>7</v>
      </c>
      <c r="Q87" t="n">
        <v>1</v>
      </c>
      <c r="R87" t="inlineStr">
        <is>
          <t>B1 plays#9-18; entry play#9; 0 outs before #1 relieves; BB: A Espejo+Z Bowman+C Pettko+J Smith+T Roy+J Borawski=6; HBP: A Espejo (2nd time); WP: Seq#12 (A Harding scores); H: A Thomas 1B+A Harding 3B+E Zimmerman 3B; R_Allowed: 7 (plays#11-18)</t>
        </is>
      </c>
    </row>
    <row r="88">
      <c r="A88" t="inlineStr">
        <is>
          <t>2026-03-26_THMS_at_NRTH</t>
        </is>
      </c>
      <c r="B88" s="10" t="n">
        <v>46107</v>
      </c>
      <c r="C88" t="inlineStr">
        <is>
          <t>NRTH</t>
        </is>
      </c>
      <c r="D88" t="inlineStr">
        <is>
          <t>THMS</t>
        </is>
      </c>
      <c r="E88" t="inlineStr">
        <is>
          <t>#1</t>
        </is>
      </c>
      <c r="F88" t="n">
        <v>12</v>
      </c>
      <c r="G88" t="n">
        <v>20</v>
      </c>
      <c r="H88" t="n">
        <v>7</v>
      </c>
      <c r="I88" t="n">
        <v>2</v>
      </c>
      <c r="J88" t="n">
        <v>3</v>
      </c>
      <c r="K88" t="n">
        <v>1</v>
      </c>
      <c r="L88" t="n">
        <v>0</v>
      </c>
      <c r="M88" t="n">
        <v>7</v>
      </c>
      <c r="N88" t="n">
        <v>1</v>
      </c>
      <c r="O88" t="n">
        <v>0</v>
      </c>
      <c r="P88" t="n">
        <v>10</v>
      </c>
      <c r="Q88" t="n">
        <v>1</v>
      </c>
      <c r="R88" t="inlineStr">
        <is>
          <t>B1(from play#19)-B4; entry play#18 note; outs: J Smith GO+J Borawski LO+A Espejo PO(B1) + Z Bowman CS+E Zimmerman PO+C Pettko PO(B2) + J Smith PO+T Roy PO+J Borawski out adv(B3) + A Espejo PO+C Harrigan FO+A Harding LO(B4)=12; H: A Thomas 2B+Z Bowman 2B+C Pettko 1B+T Roy 3B(B1)+A Harding 2B+J Borawski 2B(B3, Flag#12)+A Espejo 1B(B4)=7; BB: A Harding+E Zimmerman(B1)+A Thomas+Z Bowman+E Zimmerman(B2)+J Smith+T Roy(B3)=7; HBP: C Pettko(B2); WP: Seq#20 B1 (A Espejo scores); Balk x2 B2 plays#40-41 (not in schema, see Flag#10); R_Allowed: 8(B1 plays#19-27)+2(B2 plays#37-38)=10</t>
        </is>
      </c>
    </row>
    <row r="89">
      <c r="A89" t="inlineStr">
        <is>
          <t>2026-03-07_DMSC_at_GLNL</t>
        </is>
      </c>
      <c r="B89" s="10" t="n">
        <v>46088</v>
      </c>
      <c r="C89" t="inlineStr">
        <is>
          <t>DMSC</t>
        </is>
      </c>
      <c r="D89" t="inlineStr">
        <is>
          <t>GLNL</t>
        </is>
      </c>
      <c r="E89" t="inlineStr">
        <is>
          <t>M Shriner</t>
        </is>
      </c>
      <c r="F89" t="n">
        <v>3</v>
      </c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inlineStr">
        <is>
          <t>T1 only; entry play#1 pitch seq</t>
        </is>
      </c>
    </row>
    <row r="90">
      <c r="A90" t="inlineStr">
        <is>
          <t>2026-03-07_DMSC_at_GLNL</t>
        </is>
      </c>
      <c r="B90" s="10" t="n">
        <v>46088</v>
      </c>
      <c r="C90" t="inlineStr">
        <is>
          <t>DMSC</t>
        </is>
      </c>
      <c r="D90" t="inlineStr">
        <is>
          <t>GLNL</t>
        </is>
      </c>
      <c r="E90" t="inlineStr">
        <is>
          <t>M Melhuish</t>
        </is>
      </c>
      <c r="F90" t="n">
        <v>3</v>
      </c>
      <c r="G90" t="n">
        <v>6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1</v>
      </c>
      <c r="Q90" t="n">
        <v>0</v>
      </c>
      <c r="R90" t="inlineStr">
        <is>
          <t>T2 only; entry play#9 pitch seq; H: C Gardner 1B (play#11); BB: R Chidakel (play#12); K: G Iorio (play#9); R: L Curtin on C Holland SAC fly (play#13); L Curtin reached on E by A Baker (play#10) — not a hit</t>
        </is>
      </c>
    </row>
    <row r="91">
      <c r="A91" t="inlineStr">
        <is>
          <t>2026-03-07_DMSC_at_GLNL</t>
        </is>
      </c>
      <c r="B91" s="10" t="n">
        <v>46088</v>
      </c>
      <c r="C91" t="inlineStr">
        <is>
          <t>DMSC</t>
        </is>
      </c>
      <c r="D91" t="inlineStr">
        <is>
          <t>GLNL</t>
        </is>
      </c>
      <c r="E91" t="inlineStr">
        <is>
          <t>J Miles</t>
        </is>
      </c>
      <c r="F91" t="n">
        <v>3</v>
      </c>
      <c r="G91" t="n">
        <v>5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inlineStr">
        <is>
          <t>T3 only; entry play#19 pitch seq; H: K Childers 1B (play#21); BB: A Iorio (play#22); K: G Iorio (play#23); PB play#22 (K Childers adv to 3B) — not WP; E by G Melhuish play#22 (embedded)</t>
        </is>
      </c>
    </row>
    <row r="92">
      <c r="A92" t="inlineStr">
        <is>
          <t>2026-03-07_DMSC_at_GLNL</t>
        </is>
      </c>
      <c r="B92" s="10" t="n">
        <v>46088</v>
      </c>
      <c r="C92" t="inlineStr">
        <is>
          <t>DMSC</t>
        </is>
      </c>
      <c r="D92" t="inlineStr">
        <is>
          <t>GLNL</t>
        </is>
      </c>
      <c r="E92" t="inlineStr">
        <is>
          <t>B Conlon</t>
        </is>
      </c>
      <c r="F92" t="n">
        <v>3</v>
      </c>
      <c r="G92" t="n">
        <v>6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3</v>
      </c>
      <c r="P92" t="n">
        <v>0</v>
      </c>
      <c r="Q92" t="n">
        <v>0</v>
      </c>
      <c r="R92" t="inlineStr">
        <is>
          <t>T4 only; entry inferred from play descriptions (plays#32,34,35,36,37) — no lineup note (Flag #1); H: C Gardner 1B (play#33); BB: R Chidakel (play#34), N Cooley (play#36); K: L Curtin (play#32), C Holland (play#35), J Witmer (play#37); PB play#36 (C Gardner adv to 3B, R Chidakel to 2B) — not WP</t>
        </is>
      </c>
    </row>
    <row r="93">
      <c r="A93" t="inlineStr">
        <is>
          <t>2026-03-07_DMSC_at_GLNL</t>
        </is>
      </c>
      <c r="B93" s="10" t="n">
        <v>46088</v>
      </c>
      <c r="C93" t="inlineStr">
        <is>
          <t>DMSC</t>
        </is>
      </c>
      <c r="D93" t="inlineStr">
        <is>
          <t>GLNL</t>
        </is>
      </c>
      <c r="E93" t="inlineStr">
        <is>
          <t>N Cohen</t>
        </is>
      </c>
      <c r="F93" t="n">
        <v>3</v>
      </c>
      <c r="G93" t="n">
        <v>6</v>
      </c>
      <c r="H93" t="n">
        <v>3</v>
      </c>
      <c r="I93" t="n">
        <v>3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inlineStr">
        <is>
          <t>T5 only; entry play#45 pitch seq; H: K Childers 1B(play#46), A Iorio 1B(play#47), L Curtin 1B(play#49); BB: G Iorio (play#48); R: K Childers on L Curtin 1B (play#49); DP play#50 (C Gardner, 2 outs credited)</t>
        </is>
      </c>
    </row>
    <row r="94">
      <c r="A94" t="inlineStr">
        <is>
          <t>2026-03-07_DMSC_at_GLNL</t>
        </is>
      </c>
      <c r="B94" s="10" t="n">
        <v>46088</v>
      </c>
      <c r="C94" t="inlineStr">
        <is>
          <t>DMSC</t>
        </is>
      </c>
      <c r="D94" t="inlineStr">
        <is>
          <t>GLNL</t>
        </is>
      </c>
      <c r="E94" t="inlineStr">
        <is>
          <t>C Starcher</t>
        </is>
      </c>
      <c r="F94" t="n">
        <v>3</v>
      </c>
      <c r="G94" t="n">
        <v>4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inlineStr">
        <is>
          <t>T6 only; entry play#55 pitch seq; H: R Chidakel 2B (play#55); K: C Holland (play#56)</t>
        </is>
      </c>
    </row>
    <row r="95">
      <c r="A95" t="inlineStr">
        <is>
          <t>2026-03-07_DMSC_at_GLNL</t>
        </is>
      </c>
      <c r="B95" s="10" t="n">
        <v>46088</v>
      </c>
      <c r="C95" t="inlineStr">
        <is>
          <t>DMSC</t>
        </is>
      </c>
      <c r="D95" t="inlineStr">
        <is>
          <t>GLNL</t>
        </is>
      </c>
      <c r="E95" t="inlineStr">
        <is>
          <t>M Kirk</t>
        </is>
      </c>
      <c r="F95" t="n">
        <v>3</v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0</v>
      </c>
      <c r="O95" t="n">
        <v>2</v>
      </c>
      <c r="P95" t="n">
        <v>0</v>
      </c>
      <c r="Q95" t="n">
        <v>0</v>
      </c>
      <c r="R95" t="inlineStr">
        <is>
          <t>T7 only; entry play#66 pitch seq; BB: J Reyes (play#66), K Childers (play#67); K: G Iorio (play#69), L Curtin (play#70)</t>
        </is>
      </c>
    </row>
    <row r="96">
      <c r="A96" t="inlineStr">
        <is>
          <t>2026-03-14_GLNL_at_OKDL</t>
        </is>
      </c>
      <c r="B96" s="10" t="n">
        <v>46095</v>
      </c>
      <c r="C96" t="inlineStr">
        <is>
          <t>OKDL</t>
        </is>
      </c>
      <c r="D96" t="inlineStr">
        <is>
          <t>GLNL</t>
        </is>
      </c>
      <c r="E96" t="inlineStr">
        <is>
          <t>J Miles</t>
        </is>
      </c>
      <c r="F96" t="n">
        <v>6</v>
      </c>
      <c r="G96" t="n">
        <v>11</v>
      </c>
      <c r="H96" t="n">
        <v>3</v>
      </c>
      <c r="I96" t="n">
        <v>3</v>
      </c>
      <c r="J96" t="n">
        <v>0</v>
      </c>
      <c r="K96" t="n">
        <v>0</v>
      </c>
      <c r="L96" t="n">
        <v>0</v>
      </c>
      <c r="M96" t="n">
        <v>4</v>
      </c>
      <c r="N96" t="n">
        <v>0</v>
      </c>
      <c r="O96" t="n">
        <v>4</v>
      </c>
      <c r="P96" t="n">
        <v>3</v>
      </c>
      <c r="Q96" t="n">
        <v>2</v>
      </c>
      <c r="R96" t="inlineStr">
        <is>
          <t>B1-B2; entry inferred from play descriptions (plays#4,5,6,7,9,15,18,19), Flag#1; H: P Dix 1B(play#8), L Rosenberg 1B(play#16), L Patterson 1B(play#17); BB: C Thompson(play#6), C Scarzello(play#7), G Beaver(play#15), C DeWaal(play#19); K: C DeWaal(play#4), N Noweski(play#5), D O'Conner(play#9), K Huynh(play#18); R: C Thompson on P Dix 1B(play#8) + G Beaver on L Rosenberg 1B(play#16) + L Rosenberg on WP(play#19 embedded) = 3; WP: play#18 (L Rosenberg 3B, L Patterson 2B) + play#19 (L Rosenberg scores) = 2; Bottom 2nd 3-out total uses scorekeeper end (Flag#2 — only 1 play-logged out)</t>
        </is>
      </c>
    </row>
    <row r="97">
      <c r="A97" t="inlineStr">
        <is>
          <t>2026-03-14_GLNL_at_OKDL</t>
        </is>
      </c>
      <c r="B97" s="10" t="n">
        <v>46095</v>
      </c>
      <c r="C97" t="inlineStr">
        <is>
          <t>OKDL</t>
        </is>
      </c>
      <c r="D97" t="inlineStr">
        <is>
          <t>GLNL</t>
        </is>
      </c>
      <c r="E97" t="inlineStr">
        <is>
          <t>B Conlon</t>
        </is>
      </c>
      <c r="F97" t="n">
        <v>6</v>
      </c>
      <c r="G97" t="n">
        <v>10</v>
      </c>
      <c r="H97" t="n">
        <v>2</v>
      </c>
      <c r="I97" t="n">
        <v>2</v>
      </c>
      <c r="J97" t="n">
        <v>0</v>
      </c>
      <c r="K97" t="n">
        <v>0</v>
      </c>
      <c r="L97" t="n">
        <v>0</v>
      </c>
      <c r="M97" t="n">
        <v>2</v>
      </c>
      <c r="N97" t="n">
        <v>0</v>
      </c>
      <c r="O97" t="n">
        <v>1</v>
      </c>
      <c r="P97" t="n">
        <v>1</v>
      </c>
      <c r="Q97" t="n">
        <v>0</v>
      </c>
      <c r="R97" t="inlineStr">
        <is>
          <t>B3-B4; entry inferred from play descriptions (plays#25,27,37), Flag#1; H: P Dix 1B(play#28), D O'Conner 1B(play#29); BB: N Noweski(play#25), K Huynh(play#37); K: C Scarzello(play#27); R: N Noweski on P Dix 1B(play#28); also batter (2 PA this game)</t>
        </is>
      </c>
    </row>
    <row r="98">
      <c r="A98" t="inlineStr">
        <is>
          <t>2026-03-14_GLNL_at_OKDL</t>
        </is>
      </c>
      <c r="B98" s="10" t="n">
        <v>46095</v>
      </c>
      <c r="C98" t="inlineStr">
        <is>
          <t>OKDL</t>
        </is>
      </c>
      <c r="D98" t="inlineStr">
        <is>
          <t>GLNL</t>
        </is>
      </c>
      <c r="E98" t="inlineStr">
        <is>
          <t>A Baker</t>
        </is>
      </c>
      <c r="F98" t="n">
        <v>3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inlineStr">
        <is>
          <t>B5 only; entry inferred from play description (play#42), Flag#1; K: N Noweski(play#42); also batter (3 PA this game)</t>
        </is>
      </c>
    </row>
    <row r="99">
      <c r="A99" t="inlineStr">
        <is>
          <t>2026-03-14_GLNL_at_OKDL</t>
        </is>
      </c>
      <c r="B99" s="10" t="n">
        <v>46095</v>
      </c>
      <c r="C99" t="inlineStr">
        <is>
          <t>OKDL</t>
        </is>
      </c>
      <c r="D99" t="inlineStr">
        <is>
          <t>GLNL</t>
        </is>
      </c>
      <c r="E99" t="inlineStr">
        <is>
          <t>M Kirk</t>
        </is>
      </c>
      <c r="F99" t="n">
        <v>3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2</v>
      </c>
      <c r="P99" t="n">
        <v>0</v>
      </c>
      <c r="Q99" t="n">
        <v>0</v>
      </c>
      <c r="R99" t="inlineStr">
        <is>
          <t>B6 only; entry play#50 pitch seq (documented); BB: D O'Conner(play#51); K: P Dix(play#50), G Beaver(play#52); D O'Conner CS 3rd (play#52 embedded) = out#2; G Beaver K = out#3; PB by C Lease (play#52 embedded) — not WP</t>
        </is>
      </c>
    </row>
    <row r="100">
      <c r="A100" t="inlineStr">
        <is>
          <t>2026-03-14_GLNL_at_OKDL</t>
        </is>
      </c>
      <c r="B100" s="10" t="n">
        <v>46095</v>
      </c>
      <c r="C100" t="inlineStr">
        <is>
          <t>GLNL</t>
        </is>
      </c>
      <c r="D100" t="inlineStr">
        <is>
          <t>OKDL</t>
        </is>
      </c>
      <c r="E100" t="inlineStr">
        <is>
          <t>P Dix</t>
        </is>
      </c>
      <c r="F100" t="n">
        <v>9</v>
      </c>
      <c r="G100" t="n">
        <v>12</v>
      </c>
      <c r="H100" t="n">
        <v>3</v>
      </c>
      <c r="I100" t="n">
        <v>3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5</v>
      </c>
      <c r="P100" t="n">
        <v>1</v>
      </c>
      <c r="Q100" t="n">
        <v>0</v>
      </c>
      <c r="R100" t="inlineStr">
        <is>
          <t>T1-T3; entry play#1 pitch seq (documented); H: A Baker 1B(play#2), B Conlon 1B(play#10), A Nazelrod 1B(play#13); BB: A Baker(play#23); K: E Laprise(play#1), J Miles(play#11), C Brown(play#12), G Melhuish(play#14), M Beares(play#21); R: B Conlon on A Nazelrod 1B(play#13) = 1; M Melhuish DP T1 (play#3) = 2 outs; also batter (3 PA this game)</t>
        </is>
      </c>
    </row>
    <row r="101">
      <c r="A101" t="inlineStr">
        <is>
          <t>2026-03-14_GLNL_at_OKDL</t>
        </is>
      </c>
      <c r="B101" s="10" t="n">
        <v>46095</v>
      </c>
      <c r="C101" t="inlineStr">
        <is>
          <t>GLNL</t>
        </is>
      </c>
      <c r="D101" t="inlineStr">
        <is>
          <t>OKDL</t>
        </is>
      </c>
      <c r="E101" t="inlineStr">
        <is>
          <t>B Yowell</t>
        </is>
      </c>
      <c r="F101" t="n">
        <v>6</v>
      </c>
      <c r="G101" t="n">
        <v>7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inlineStr">
        <is>
          <t>T4-T5; entry play#31 pitch seq (documented); H: B Conlon 1B(play#31); K: M Beares(play#40); also CR for P Dix B1 (play#9 — did not score, no batting row)</t>
        </is>
      </c>
    </row>
    <row r="102">
      <c r="A102" t="inlineStr">
        <is>
          <t>2026-03-14_GLNL_at_OKDL</t>
        </is>
      </c>
      <c r="B102" s="10" t="n">
        <v>46095</v>
      </c>
      <c r="C102" t="inlineStr">
        <is>
          <t>GLNL</t>
        </is>
      </c>
      <c r="D102" t="inlineStr">
        <is>
          <t>OKDL</t>
        </is>
      </c>
      <c r="E102" t="inlineStr">
        <is>
          <t>C Thompson</t>
        </is>
      </c>
      <c r="F102" t="n">
        <v>6</v>
      </c>
      <c r="G102" t="n">
        <v>9</v>
      </c>
      <c r="H102" t="n">
        <v>3</v>
      </c>
      <c r="I102" t="n">
        <v>3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3</v>
      </c>
      <c r="P102" t="n">
        <v>1</v>
      </c>
      <c r="Q102" t="n">
        <v>2</v>
      </c>
      <c r="R102" t="inlineStr">
        <is>
          <t>T6-T7; entry play#45 pitch seq (documented); H: A Baker 1B(play#45), S Tong 1B(play#47), A Nazelrod 1B(play#53); BB: M Melhuish(play#46); K: B Burckhardt(play#48), M Beares(play#55), J Jones(play#56); R: M Melhuish on S Tong 1B(play#47) = 1; WP: play#47 (P Moreau adv 3B) + play#55 (A Nazelrod adv 2B) = 2; P Moreau CS home by K Huynh (play#47 embedded) — out credited to C Thompson's tenure; K Huynh E (play#47 embedded) separate from WP; also batter (3 PA this game)</t>
        </is>
      </c>
    </row>
    <row r="103">
      <c r="A103" t="inlineStr">
        <is>
          <t>2026-03-14_LBRT_at_GLNL</t>
        </is>
      </c>
      <c r="B103" s="10" t="n">
        <v>46095</v>
      </c>
      <c r="C103" t="inlineStr">
        <is>
          <t>LBRT</t>
        </is>
      </c>
      <c r="D103" t="inlineStr">
        <is>
          <t>GLNL</t>
        </is>
      </c>
      <c r="E103" t="inlineStr">
        <is>
          <t>M Melhuish</t>
        </is>
      </c>
      <c r="F103" t="n">
        <v>6</v>
      </c>
      <c r="G103" t="n">
        <v>7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3</v>
      </c>
      <c r="P103" t="n">
        <v>0</v>
      </c>
      <c r="Q103" t="n">
        <v>0</v>
      </c>
      <c r="R103" t="inlineStr">
        <is>
          <t>T1-T2; entry play#1 pitch seq (documented); H: C Shanks 1B(play#3); BB: C Hitzel(play#2); K: D McGarity(play#1), S Crochunis(play#11), J Sfanos(play#12); DP play#4 = 2 outs (C Shanks out advancing + D Nelson batter out); also batter (3PA)</t>
        </is>
      </c>
    </row>
    <row r="104">
      <c r="A104" t="inlineStr">
        <is>
          <t>2026-03-14_LBRT_at_GLNL</t>
        </is>
      </c>
      <c r="B104" s="10" t="n">
        <v>46095</v>
      </c>
      <c r="C104" t="inlineStr">
        <is>
          <t>LBRT</t>
        </is>
      </c>
      <c r="D104" t="inlineStr">
        <is>
          <t>GLNL</t>
        </is>
      </c>
      <c r="E104" t="inlineStr">
        <is>
          <t>C Starcher</t>
        </is>
      </c>
      <c r="F104" t="n">
        <v>3</v>
      </c>
      <c r="G104" t="n">
        <v>8</v>
      </c>
      <c r="H104" t="n">
        <v>3</v>
      </c>
      <c r="I104" t="n">
        <v>2</v>
      </c>
      <c r="J104" t="n">
        <v>0</v>
      </c>
      <c r="K104" t="n">
        <v>1</v>
      </c>
      <c r="L104" t="n">
        <v>0</v>
      </c>
      <c r="M104" t="n">
        <v>2</v>
      </c>
      <c r="N104" t="n">
        <v>0</v>
      </c>
      <c r="O104" t="n">
        <v>2</v>
      </c>
      <c r="P104" t="n">
        <v>4</v>
      </c>
      <c r="Q104" t="n">
        <v>0</v>
      </c>
      <c r="R104" t="inlineStr">
        <is>
          <t>T3 only; entry play#20 (documented); H: C Hitzel 1B(play#24), C Shanks 3B(play#25), D Nelson 1B(play#26); BB: C DiCerbo(play#20), B Freiert(play#22); K: B DiCerbo(play#21), D McGarity(play#23); R: C DiCerbo on E(play#24 embedded)+B Freiert on C Shanks 3B(play#25)+C Hitzel on C Shanks 3B(play#25)+C Shanks on D Nelson 1B(play#26)=4; C DiCerbo run scored on E by catcher C Lease (not WP)</t>
        </is>
      </c>
    </row>
    <row r="105">
      <c r="A105" t="inlineStr">
        <is>
          <t>2026-03-14_LBRT_at_GLNL</t>
        </is>
      </c>
      <c r="B105" s="10" t="n">
        <v>46095</v>
      </c>
      <c r="C105" t="inlineStr">
        <is>
          <t>LBRT</t>
        </is>
      </c>
      <c r="D105" t="inlineStr">
        <is>
          <t>GLNL</t>
        </is>
      </c>
      <c r="E105" t="inlineStr">
        <is>
          <t>N Cohen</t>
        </is>
      </c>
      <c r="F105" t="n">
        <v>6</v>
      </c>
      <c r="G105" t="n">
        <v>8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4</v>
      </c>
      <c r="P105" t="n">
        <v>0</v>
      </c>
      <c r="Q105" t="n">
        <v>0</v>
      </c>
      <c r="R105" t="inlineStr">
        <is>
          <t>T4-T5; entry play#32 (documented); H: C DiCerbo 2B(play#34); BB: D McGarity(play#41); K: S Crochunis(play#32), B Freiert(play#40), B Knight(play#42), J Hebert(play#43); E play#43 (D McGarity adv 2B on E by N Cohen embedded) — fielding error, not WP; also batter (0 PA this game)</t>
        </is>
      </c>
    </row>
    <row r="106">
      <c r="A106" t="inlineStr">
        <is>
          <t>2026-03-14_LBRT_at_GLNL</t>
        </is>
      </c>
      <c r="B106" s="10" t="n">
        <v>46095</v>
      </c>
      <c r="C106" t="inlineStr">
        <is>
          <t>GLNL</t>
        </is>
      </c>
      <c r="D106" t="inlineStr">
        <is>
          <t>LBRT</t>
        </is>
      </c>
      <c r="E106" t="inlineStr">
        <is>
          <t>S Crochunis</t>
        </is>
      </c>
      <c r="F106" t="n">
        <v>4</v>
      </c>
      <c r="G106" t="n">
        <v>8</v>
      </c>
      <c r="H106" t="n">
        <v>3</v>
      </c>
      <c r="I106" t="n">
        <v>1</v>
      </c>
      <c r="J106" t="n">
        <v>2</v>
      </c>
      <c r="K106" t="n">
        <v>0</v>
      </c>
      <c r="L106" t="n">
        <v>0</v>
      </c>
      <c r="M106" t="n">
        <v>2</v>
      </c>
      <c r="N106" t="n">
        <v>0</v>
      </c>
      <c r="O106" t="n">
        <v>2</v>
      </c>
      <c r="P106" t="n">
        <v>1</v>
      </c>
      <c r="Q106" t="n">
        <v>0</v>
      </c>
      <c r="R106" t="inlineStr">
        <is>
          <t>B1 through P Moreau PO in B2; undocumented start (Flag#1); H: J Jones 1B(play#5), B Conlon 2B(play#7), A Nazelrod 2B(play#14); BB: M Melhuish(play#6), C Lease(play#13); K: B Burckhardt(play#8), C Brown(play#9); R: E Laprise/C Lease scores on A Nazelrod 2B(play#14)=1; PB play#14 (E Laprise adv 2B) + PB play#16 during G Knauss AB before C DiCerbo enters (A Nazelrod adv 3B) — both PB, not WP; G Knauss AB started under S Crochunis, completed by C DiCerbo (mid-AB change play#16 — outcome credited to C DiCerbo); also batter (2 PA)</t>
        </is>
      </c>
    </row>
    <row r="107">
      <c r="A107" t="inlineStr">
        <is>
          <t>2026-03-14_LBRT_at_GLNL</t>
        </is>
      </c>
      <c r="B107" s="10" t="n">
        <v>46095</v>
      </c>
      <c r="C107" t="inlineStr">
        <is>
          <t>GLNL</t>
        </is>
      </c>
      <c r="D107" t="inlineStr">
        <is>
          <t>LBRT</t>
        </is>
      </c>
      <c r="E107" t="inlineStr">
        <is>
          <t>C DiCerbo</t>
        </is>
      </c>
      <c r="F107" t="n">
        <v>5</v>
      </c>
      <c r="G107" t="n">
        <v>8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2</v>
      </c>
      <c r="P107" t="n">
        <v>2</v>
      </c>
      <c r="Q107" t="n">
        <v>0</v>
      </c>
      <c r="R107" t="inlineStr">
        <is>
          <t>B2 from G Knauss AB (mid-AB entry play#16 embedded) through B3; H: G Knauss 2B(play#16); BB: B Burckhardt(play#28); K: J Jones(play#17), C Brown(play#29); R: A Nazelrod scores on G Knauss 2B(play#16)+G Knauss scores on M Melhuish E reach(play#18)=2; G Knauss E reach(play#18) not a hit — AB charged, R allowed credited; also batter (2 PA); two-way player (Flag#6)</t>
        </is>
      </c>
    </row>
    <row r="108">
      <c r="A108" t="inlineStr">
        <is>
          <t>2026-03-14_LBRT_at_GLNL</t>
        </is>
      </c>
      <c r="B108" s="10" t="n">
        <v>46095</v>
      </c>
      <c r="C108" t="inlineStr">
        <is>
          <t>GLNL</t>
        </is>
      </c>
      <c r="D108" t="inlineStr">
        <is>
          <t>LBRT</t>
        </is>
      </c>
      <c r="E108" t="inlineStr">
        <is>
          <t>D Nelson</t>
        </is>
      </c>
      <c r="F108" t="n">
        <v>2</v>
      </c>
      <c r="G108" t="n">
        <v>3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inlineStr">
        <is>
          <t>B4 plays#36-38; entry inferred from play descriptions (plays#36,37), Flag#2; H: J Jones 1B(play#38); K: P Moreau(play#36), G Knauss(play#37); J Jones AB started + completed under D Nelson; M Melhuish AB started under D Nelson, completed by T Kane (mid-AB entry play#39); also batter (2 PA); two-way player (Flag#2)</t>
        </is>
      </c>
    </row>
    <row r="109">
      <c r="A109" t="inlineStr">
        <is>
          <t>2026-03-14_LBRT_at_GLNL</t>
        </is>
      </c>
      <c r="B109" s="10" t="n">
        <v>46095</v>
      </c>
      <c r="C109" t="inlineStr">
        <is>
          <t>GLNL</t>
        </is>
      </c>
      <c r="D109" t="inlineStr">
        <is>
          <t>LBRT</t>
        </is>
      </c>
      <c r="E109" t="inlineStr">
        <is>
          <t>T Kane</t>
        </is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inlineStr">
        <is>
          <t>B4 from M Melhuish AB onward (mid-AB entry play#39 documented); K: M Melhuish(play#39) = 3rd out B4; GLNL did not bat B5 (Flag#3); also batter (2 PA) and catcher</t>
        </is>
      </c>
    </row>
    <row r="110">
      <c r="A110" t="inlineStr">
        <is>
          <t>2026-03-21_GLNL_at_MRRT</t>
        </is>
      </c>
      <c r="B110" s="10" t="n">
        <v>46102</v>
      </c>
      <c r="C110" t="inlineStr">
        <is>
          <t>MRRT</t>
        </is>
      </c>
      <c r="D110" t="inlineStr">
        <is>
          <t>GLNL</t>
        </is>
      </c>
      <c r="E110" t="inlineStr">
        <is>
          <t>J Miles</t>
        </is>
      </c>
      <c r="F110" t="n">
        <v>9</v>
      </c>
      <c r="G110" t="n">
        <v>15</v>
      </c>
      <c r="H110" t="n">
        <v>4</v>
      </c>
      <c r="I110" t="n">
        <v>2</v>
      </c>
      <c r="J110" t="n">
        <v>1</v>
      </c>
      <c r="K110" t="n">
        <v>1</v>
      </c>
      <c r="L110" t="n">
        <v>0</v>
      </c>
      <c r="M110" t="n">
        <v>2</v>
      </c>
      <c r="N110" t="n">
        <v>0</v>
      </c>
      <c r="O110" t="n">
        <v>2</v>
      </c>
      <c r="P110" t="n">
        <v>4</v>
      </c>
      <c r="Q110" t="n">
        <v>0</v>
      </c>
      <c r="R110" t="inlineStr">
        <is>
          <t>B1-B3; undocumented start (Flag#1); H: A Devito 2B(play#12), J Devito 3B(play#14), M Parson 1B(play#22), N Brown 1B(play#23); BB: M Delmonte(play#19), A Schwendeman(play#21); K: M Parson(play#7), Z Magee(play#25); R: A Devito on J Devito 3B(B2)+O Snow on M Parson 1B(B3)+M Parson+A Schwendeman on N Brown 1B(B3)=4; E play#23 (embedded: A Schwendeman adv 3B + M Parson adv 2B on J Miles pitching error) — fielding E, not WP; also batter (2 PA this game)</t>
        </is>
      </c>
    </row>
    <row r="111">
      <c r="A111" t="inlineStr">
        <is>
          <t>2026-03-21_GLNL_at_MRRT</t>
        </is>
      </c>
      <c r="B111" s="10" t="n">
        <v>46102</v>
      </c>
      <c r="C111" t="inlineStr">
        <is>
          <t>MRRT</t>
        </is>
      </c>
      <c r="D111" t="inlineStr">
        <is>
          <t>GLNL</t>
        </is>
      </c>
      <c r="E111" t="inlineStr">
        <is>
          <t>M Kirk</t>
        </is>
      </c>
      <c r="F111" t="n">
        <v>5</v>
      </c>
      <c r="G111" t="n">
        <v>11</v>
      </c>
      <c r="H111" t="n">
        <v>2</v>
      </c>
      <c r="I111" t="n">
        <v>2</v>
      </c>
      <c r="J111" t="n">
        <v>0</v>
      </c>
      <c r="K111" t="n">
        <v>0</v>
      </c>
      <c r="L111" t="n">
        <v>0</v>
      </c>
      <c r="M111" t="n">
        <v>4</v>
      </c>
      <c r="N111" t="n">
        <v>0</v>
      </c>
      <c r="O111" t="n">
        <v>2</v>
      </c>
      <c r="P111" t="n">
        <v>2</v>
      </c>
      <c r="Q111" t="n">
        <v>0</v>
      </c>
      <c r="R111" t="inlineStr">
        <is>
          <t>B4 + B5 through J Yeich walk; entry play#30 (documented); H: M Delmonte 1B(play#32), N Brown 1B(play#42); BB: M Parson(play#41), A Devito(play#43), Z Magee(play#44), J Yeich(play#46); K: J Devito(play#30), S Thomas(play#31); R: M Parson on Z Magee walk(play#44)+N Brown tag-up on J Devito FO(play#45)=2; M Delmonte AB started under M Kirk, completed by C Starcher (mid-AB entry play#47 — 3B + R credited to C Starcher)</t>
        </is>
      </c>
    </row>
    <row r="112">
      <c r="A112" t="inlineStr">
        <is>
          <t>2026-03-21_GLNL_at_MRRT</t>
        </is>
      </c>
      <c r="B112" s="10" t="n">
        <v>46102</v>
      </c>
      <c r="C112" t="inlineStr">
        <is>
          <t>MRRT</t>
        </is>
      </c>
      <c r="D112" t="inlineStr">
        <is>
          <t>GLNL</t>
        </is>
      </c>
      <c r="E112" t="inlineStr">
        <is>
          <t>C Starcher</t>
        </is>
      </c>
      <c r="F112" t="n">
        <v>0</v>
      </c>
      <c r="G112" t="n">
        <v>2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4</v>
      </c>
      <c r="Q112" t="n">
        <v>1</v>
      </c>
      <c r="R112" t="inlineStr">
        <is>
          <t>B5 from M Delmonte mid-AB onward (documented play#47 embedded); H: M Delmonte 3B(play#47 — credited to C Starcher per mid-AB rule); R: A Devito+Z Magee+J Yeich on M Delmonte 3B(play#47)+M Delmonte on WP(play#48)=4; WP: play#48 (M Delmonte scores during O Snow incomplete AB); 0 outs recorded — game ends mid-AB at play#48 after WP; O Snow counted as BF (AB began before game ended)</t>
        </is>
      </c>
    </row>
    <row r="113">
      <c r="A113" t="inlineStr">
        <is>
          <t>2026-03-21_GLNL_at_MRRT</t>
        </is>
      </c>
      <c r="B113" s="10" t="n">
        <v>46102</v>
      </c>
      <c r="C113" t="inlineStr">
        <is>
          <t>GLNL</t>
        </is>
      </c>
      <c r="D113" t="inlineStr">
        <is>
          <t>MRRT</t>
        </is>
      </c>
      <c r="E113" t="inlineStr">
        <is>
          <t>S Thomas</t>
        </is>
      </c>
      <c r="F113" t="n">
        <v>14</v>
      </c>
      <c r="G113" t="n">
        <v>18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2</v>
      </c>
      <c r="N113" t="n">
        <v>0</v>
      </c>
      <c r="O113" t="n">
        <v>6</v>
      </c>
      <c r="P113" t="n">
        <v>0</v>
      </c>
      <c r="Q113" t="n">
        <v>0</v>
      </c>
      <c r="R113" t="inlineStr">
        <is>
          <t>T1 mid-AB through G Knauss walk in T5; entry documented play#1 seq (S Thomas enters mid-AB during A Baker's AB — A Baker K credited to S Thomas per mid-AB rule; anonymous unnamed MRRT starter threw 5 prior pitches, no name in log, no pitching row created for unnamed pitcher); H: C Lease 2B(play#34); BB: M Melhuish(play#3), G Knauss(play#37); K: A Baker K_L(play#1), C Lease K_S(play#9), C Brown K_S(play#16), B Conlon K_S(play#28), J Miles K_S(play#29), C Brown K_L(play#36) = 6; E Laprise 'Batter Out (other)' play#2 counted as AB+out (Flag#3); M Melhuish E reach(play#27) not a H; also batter (2 PA this game)</t>
        </is>
      </c>
    </row>
    <row r="114">
      <c r="A114" t="inlineStr">
        <is>
          <t>2026-03-21_GLNL_at_MRRT</t>
        </is>
      </c>
      <c r="B114" s="10" t="n">
        <v>46102</v>
      </c>
      <c r="C114" t="inlineStr">
        <is>
          <t>GLNL</t>
        </is>
      </c>
      <c r="D114" t="inlineStr">
        <is>
          <t>MRRT</t>
        </is>
      </c>
      <c r="E114" t="inlineStr">
        <is>
          <t>J Yeich</t>
        </is>
      </c>
      <c r="F114" t="n">
        <v>1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T5 from A Baker mid-AB onward (documented play#38 seq); BB: A Baker(play#38); E Laprise GO(play#39) = 1 out; also batter (1 PA this game, Flag#7)</t>
        </is>
      </c>
    </row>
    <row r="115">
      <c r="A115" t="inlineStr">
        <is>
          <t>2026-03-23_GLNL_at_HWRD</t>
        </is>
      </c>
      <c r="B115" s="10" t="n">
        <v>46104</v>
      </c>
      <c r="C115" t="inlineStr">
        <is>
          <t>HWRD</t>
        </is>
      </c>
      <c r="D115" t="inlineStr">
        <is>
          <t>GLNL</t>
        </is>
      </c>
      <c r="E115" t="inlineStr">
        <is>
          <t>B Conlon</t>
        </is>
      </c>
      <c r="F115" t="n">
        <v>10</v>
      </c>
      <c r="G115" t="n">
        <v>17</v>
      </c>
      <c r="H115" t="n">
        <v>3</v>
      </c>
      <c r="I115" t="n">
        <v>2</v>
      </c>
      <c r="J115" t="n">
        <v>1</v>
      </c>
      <c r="K115" t="n">
        <v>0</v>
      </c>
      <c r="L115" t="n">
        <v>0</v>
      </c>
      <c r="M115" t="n">
        <v>3</v>
      </c>
      <c r="N115" t="n">
        <v>1</v>
      </c>
      <c r="O115" t="n">
        <v>5</v>
      </c>
      <c r="P115" t="n">
        <v>1</v>
      </c>
      <c r="Q115" t="n">
        <v>0</v>
      </c>
      <c r="R115" t="inlineStr">
        <is>
          <t>B1-B4 through N Hegedus 1B; undocumented start (Flag#1); H: B Sawyer 1B(play#17,B2), C Hudson 2B(play#41,B4), N Hegedus 1B(play#44,B4); BB: B Giangrasso(play#32,B3), B Sawyer(play#42,B4), D Alves(play#43,B4); HBP: G Nystrom(play#33,B3); K: D Heim(play#15,B2), C Hudson(play#16,B2), D Alves(play#18,B2), N Hegedus(play#30,B3), D Heim(play#40,B4); R: C Hudson on N Hegedus 1B(play#44,B4)=1; also batter (3 PA this game)</t>
        </is>
      </c>
    </row>
    <row r="116">
      <c r="A116" t="inlineStr">
        <is>
          <t>2026-03-23_GLNL_at_HWRD</t>
        </is>
      </c>
      <c r="B116" s="10" t="n">
        <v>46104</v>
      </c>
      <c r="C116" t="inlineStr">
        <is>
          <t>HWRD</t>
        </is>
      </c>
      <c r="D116" t="inlineStr">
        <is>
          <t>GLNL</t>
        </is>
      </c>
      <c r="E116" t="inlineStr">
        <is>
          <t>N Cohen</t>
        </is>
      </c>
      <c r="F116" t="n">
        <v>5</v>
      </c>
      <c r="G116" t="n">
        <v>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0</v>
      </c>
      <c r="Q116" t="n">
        <v>0</v>
      </c>
      <c r="R116" t="inlineStr">
        <is>
          <t>B4 from C Parise AB onward (documented play#45); K: C Parise(play#45,B4), C Hudson(play#54,B5); Z Blair E reach(play#52) not a H; B Giangrasso FC(play#46): B Sawyer out at home = out #2 B4; outs B5: G Nystrom GO + D Heim GO + C Hudson K = 3; Z Blair E reach = 0 outs</t>
        </is>
      </c>
    </row>
    <row r="117">
      <c r="A117" t="inlineStr">
        <is>
          <t>2026-03-23_GLNL_at_HWRD</t>
        </is>
      </c>
      <c r="B117" s="10" t="n">
        <v>46104</v>
      </c>
      <c r="C117" t="inlineStr">
        <is>
          <t>GLNL</t>
        </is>
      </c>
      <c r="D117" t="inlineStr">
        <is>
          <t>HWRD</t>
        </is>
      </c>
      <c r="E117" t="inlineStr">
        <is>
          <t>D Heim</t>
        </is>
      </c>
      <c r="F117" t="n">
        <v>9</v>
      </c>
      <c r="G117" t="n">
        <v>22</v>
      </c>
      <c r="H117" t="n">
        <v>8</v>
      </c>
      <c r="I117" t="n">
        <v>4</v>
      </c>
      <c r="J117" t="n">
        <v>3</v>
      </c>
      <c r="K117" t="n">
        <v>1</v>
      </c>
      <c r="L117" t="n">
        <v>0</v>
      </c>
      <c r="M117" t="n">
        <v>1</v>
      </c>
      <c r="N117" t="n">
        <v>3</v>
      </c>
      <c r="O117" t="n">
        <v>1</v>
      </c>
      <c r="P117" t="n">
        <v>9</v>
      </c>
      <c r="Q117" t="n">
        <v>0</v>
      </c>
      <c r="R117" t="inlineStr">
        <is>
          <t>T1-T3; entry documented play#1 seq; H: G Knauss 2B(play#10,T2), C Brown 1B(play#12,T2), J Miles 1B(play#21,T3), A Nazelrod 1B(play#22,T3), C Brown 2B(play#25,T3), M Melhuish 2B(play#26,T3), A Baker 3B(play#27,T3), C Lease 1B(play#28,T3)=8; BB: C Lease(play#19,T3)=1; HBP: M Melhuish(play#1,T1), E Laprise(play#11,T2), G Knauss(play#23,T3)=3; K: J Miles(play#5,T1)=1; R: T1(M Melhuish)+T2(G Knauss)+T3(C Lease+B Conlon+G Knauss+A Nazelrod+C Brown+M Melhuish+A Baker)=9; E play#2 (D Heim own E — A Baker adv to 2B) in Fielding; transitions to 3B in T4 (Flag#4); also batter (3 PA this game)</t>
        </is>
      </c>
    </row>
    <row r="118">
      <c r="A118" t="inlineStr">
        <is>
          <t>2026-03-23_GLNL_at_HWRD</t>
        </is>
      </c>
      <c r="B118" s="10" t="n">
        <v>46104</v>
      </c>
      <c r="C118" t="inlineStr">
        <is>
          <t>GLNL</t>
        </is>
      </c>
      <c r="D118" t="inlineStr">
        <is>
          <t>HWRD</t>
        </is>
      </c>
      <c r="E118" t="inlineStr">
        <is>
          <t>C Hudson</t>
        </is>
      </c>
      <c r="F118" t="n">
        <v>6</v>
      </c>
      <c r="G118" t="n">
        <v>9</v>
      </c>
      <c r="H118" t="n">
        <v>3</v>
      </c>
      <c r="I118" t="n">
        <v>2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inlineStr">
        <is>
          <t>T4-T5; T4 entry inferred from Flag#4 (D Heim at 3B play#35, C Hudson 'presumably takes mound'); T5 confirmed play#47/50 ('C Hudson pitching'); H: A Nazelrod 1B(play#36,T4), E Laprise 1B(play#38,T4), G Melhuish 2B(play#49,T5 — mid-AB entry, outcome credited to C Hudson); K: J Jones(play#50,T5)=1; R: A Nazelrod on M Beares GO(play#37,T4)=1; 2 PBs by HWRD catcher during M Beares AB (play#37 embedded) — not WP; also batter (3 PA this game); two-way player (Flag#4)</t>
        </is>
      </c>
    </row>
    <row r="119">
      <c r="A119" t="inlineStr">
        <is>
          <t>2026-03-30_SHRW_at_GLNL</t>
        </is>
      </c>
      <c r="B119" s="10" t="n">
        <v>46111</v>
      </c>
      <c r="C119" t="inlineStr">
        <is>
          <t>SHRW</t>
        </is>
      </c>
      <c r="D119" t="inlineStr">
        <is>
          <t>GLNL</t>
        </is>
      </c>
      <c r="E119" t="inlineStr">
        <is>
          <t>J Miles</t>
        </is>
      </c>
      <c r="F119" t="n">
        <v>17</v>
      </c>
      <c r="G119" t="n">
        <v>24</v>
      </c>
      <c r="H119" t="n">
        <v>4</v>
      </c>
      <c r="I119" t="n">
        <v>2</v>
      </c>
      <c r="J119" t="n">
        <v>2</v>
      </c>
      <c r="K119" t="n">
        <v>0</v>
      </c>
      <c r="L119" t="n">
        <v>0</v>
      </c>
      <c r="M119" t="n">
        <v>1</v>
      </c>
      <c r="N119" t="n">
        <v>0</v>
      </c>
      <c r="O119" t="n">
        <v>7</v>
      </c>
      <c r="P119" t="n">
        <v>3</v>
      </c>
      <c r="Q119" t="n">
        <v>2</v>
      </c>
      <c r="R119" t="inlineStr">
        <is>
          <t>T1-T6 through C Flickinger FO (play#41); entry documented play#1 seq; H: C Sweeney-Strawberry 2B(play#18,T3), J Bender 1B(play#37,T6), C Jagannathan 1B(play#39,T6), J Berger 2B(play#40,T6); BB: C Calandro(play#30,T5); K(7): J Bender K_S(play#2,T1), A Jenkins K_L(play#16,T3), K Blake K_S(play#17,T3), J Bender K_S(play#19,T3 dropped 3rd — reached), J Sarita K_S(play#20,T3), J Berger K_S(play#25,T4 dropped 3rd — out), J Sarita K_S(play#38,T6 foul tip); R: C Calandro on WP(T5)+J Bender on C Jagannathan 1B(T6)+C Jagannathan/J Hall on J Berger 2B(T6)=3; WP: play#33 (C Calandro scores, T5) + play#40 (J Hall adv 2B, T6)=2; PB play#19 charged to GLNL catcher (J Bender dropped 3rd, not WP); also batter (3 PA this game)</t>
        </is>
      </c>
    </row>
    <row r="120">
      <c r="A120" t="inlineStr">
        <is>
          <t>2026-03-30_SHRW_at_GLNL</t>
        </is>
      </c>
      <c r="B120" s="10" t="n">
        <v>46111</v>
      </c>
      <c r="C120" t="inlineStr">
        <is>
          <t>SHRW</t>
        </is>
      </c>
      <c r="D120" t="inlineStr">
        <is>
          <t>GLNL</t>
        </is>
      </c>
      <c r="E120" t="inlineStr">
        <is>
          <t>B Conlon</t>
        </is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inlineStr">
        <is>
          <t>T6 play#42 only; undocumented entry from RF (Flag#1); K: C Calandro K_S foul tip (play#42, Flag#4); also batter (3 PA this game)</t>
        </is>
      </c>
    </row>
    <row r="121">
      <c r="A121" t="inlineStr">
        <is>
          <t>2026-03-30_SHRW_at_GLNL</t>
        </is>
      </c>
      <c r="B121" s="10" t="n">
        <v>46111</v>
      </c>
      <c r="C121" t="inlineStr">
        <is>
          <t>SHRW</t>
        </is>
      </c>
      <c r="D121" t="inlineStr">
        <is>
          <t>GLNL</t>
        </is>
      </c>
      <c r="E121" t="inlineStr">
        <is>
          <t>M Shriner</t>
        </is>
      </c>
      <c r="F121" t="n">
        <v>3</v>
      </c>
      <c r="G121" t="n">
        <v>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</v>
      </c>
      <c r="N121" t="n">
        <v>1</v>
      </c>
      <c r="O121" t="n">
        <v>2</v>
      </c>
      <c r="P121" t="n">
        <v>0</v>
      </c>
      <c r="Q121" t="n">
        <v>0</v>
      </c>
      <c r="R121" t="inlineStr">
        <is>
          <t>T7 only; entry documented play#47 seq; BB: C Sweeney-Strawberry(play#49), J Bender(play#50); HBP: J Sarita(play#51); K: A Jenkins K_S(play#47), K Blake K_L(play#48); PR M Cheng in for J Sarita (play#52 seq) before C Jagannathan GO; PB play#50 (C Sweeney-Strawberry adv 3B) — charged to GLNL catcher, not WP; DI play#51 (J Bender adv 2B) — not a baserunning steal</t>
        </is>
      </c>
    </row>
    <row r="122">
      <c r="A122" t="inlineStr">
        <is>
          <t>2026-03-30_SHRW_at_GLNL</t>
        </is>
      </c>
      <c r="B122" s="10" t="n">
        <v>46111</v>
      </c>
      <c r="C122" t="inlineStr">
        <is>
          <t>GLNL</t>
        </is>
      </c>
      <c r="D122" t="inlineStr">
        <is>
          <t>SHRW</t>
        </is>
      </c>
      <c r="E122" t="inlineStr">
        <is>
          <t>L Gisriel</t>
        </is>
      </c>
      <c r="F122" t="n">
        <v>18</v>
      </c>
      <c r="G122" t="n">
        <v>21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10</v>
      </c>
      <c r="P122" t="n">
        <v>0</v>
      </c>
      <c r="Q122" t="n">
        <v>0</v>
      </c>
      <c r="R122" t="inlineStr">
        <is>
          <t>B1-B6; entry documented play#5 seq; H: C Lease 1B(play#44,B6); HBP: C Lease(play#5,B1); K(10): M Melhuish K_S(play#8,B1), A Baker K_S(play#12,B2), J Miles K_L(play#14,B2), A Nazelrod K_L(play#15,B2), C Brown K_S(play#21,B3), B Conlon K_S(play#27,B4), A Baker K_S foul tip(play#29,B4,Flag#4), J Miles K_L(play#35,B5), A Nazelrod K_L(play#36,B5), T Blayman K_L(play#45,B6); S Tong E reach(play#13) not a H; T Blayman SAC bunt out(play#6) = 1 out credited; 2 pickoff attempts at 1st (play#6 embedded) — no out</t>
        </is>
      </c>
    </row>
    <row r="123">
      <c r="A123" t="inlineStr">
        <is>
          <t>2026-03-30_SHRW_at_GLNL</t>
        </is>
      </c>
      <c r="B123" s="10" t="n">
        <v>46111</v>
      </c>
      <c r="C123" t="inlineStr">
        <is>
          <t>GLNL</t>
        </is>
      </c>
      <c r="D123" t="inlineStr">
        <is>
          <t>SHRW</t>
        </is>
      </c>
      <c r="E123" t="inlineStr">
        <is>
          <t>C Crismond</t>
        </is>
      </c>
      <c r="F123" t="n">
        <v>3</v>
      </c>
      <c r="G123" t="n">
        <v>5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0</v>
      </c>
      <c r="Q123" t="n">
        <v>0</v>
      </c>
      <c r="R123" t="inlineStr">
        <is>
          <t>B7 only; entry documented play#53 seq; H: A Baker 2B(play#54); K: S Tong K_S(play#55), J Miles K_S(play#56), B Burckhardt K_L(play#57); M Melhuish E reach(play#53) not a H</t>
        </is>
      </c>
    </row>
    <row r="124">
      <c r="A124" t="inlineStr">
        <is>
          <t>2026-03-31_GLNL_at_ATHL</t>
        </is>
      </c>
      <c r="B124" s="10" t="n">
        <v>46112</v>
      </c>
      <c r="C124" t="inlineStr">
        <is>
          <t>ATHL</t>
        </is>
      </c>
      <c r="D124" t="inlineStr">
        <is>
          <t>GLNL</t>
        </is>
      </c>
      <c r="E124" t="inlineStr">
        <is>
          <t>B Conlon</t>
        </is>
      </c>
      <c r="F124" t="n">
        <v>19</v>
      </c>
      <c r="G124" t="n">
        <v>24</v>
      </c>
      <c r="H124" t="n">
        <v>2</v>
      </c>
      <c r="I124" t="n">
        <v>2</v>
      </c>
      <c r="J124" t="n">
        <v>0</v>
      </c>
      <c r="K124" t="n">
        <v>0</v>
      </c>
      <c r="L124" t="n">
        <v>0</v>
      </c>
      <c r="M124" t="n">
        <v>3</v>
      </c>
      <c r="N124" t="n">
        <v>0</v>
      </c>
      <c r="O124" t="n">
        <v>8</v>
      </c>
      <c r="P124" t="n">
        <v>0</v>
      </c>
      <c r="Q124" t="n">
        <v>0</v>
      </c>
      <c r="R124" t="inlineStr">
        <is>
          <t>B1-B7 play#57; undocumented start (Flag#1); H: J Martin 1B(play#5,B1), J Whiting 1B(play#57,B7); BB: T MacKenzie(play#7,B1), N Brewer(play#41,B5), A Chutka(play#43,B5); K(8): N Weinig K_S(play#6,B1), L Conroy K_S(play#8,B1), J Whiting K_S(play#15,B2), W Martin K_S(play#17,B2), T MacKenzie K_L(play#31,B4), J Whiting K_S(play#40,B5), B Skaggs K_S(play#42,B5), L Conroy K_S(play#56,B7); also batter (4 PA this game)</t>
        </is>
      </c>
    </row>
    <row r="125">
      <c r="A125" t="inlineStr">
        <is>
          <t>2026-03-31_GLNL_at_ATHL</t>
        </is>
      </c>
      <c r="B125" s="10" t="n">
        <v>46112</v>
      </c>
      <c r="C125" t="inlineStr">
        <is>
          <t>ATHL</t>
        </is>
      </c>
      <c r="D125" t="inlineStr">
        <is>
          <t>GLNL</t>
        </is>
      </c>
      <c r="E125" t="inlineStr">
        <is>
          <t>M Kirk</t>
        </is>
      </c>
      <c r="F125" t="n">
        <v>2</v>
      </c>
      <c r="G125" t="n">
        <v>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inlineStr">
        <is>
          <t>B7 from N Brewer onward; entry documented play#58 seq; duplicate lineup entry play#59 (Flag#3); BB: N Brewer(play#58); K: B Skaggs K_S(play#59); PB play#59 (J Whiting adv 3B, N Brewer adv 2B) — charged to GLNL catcher</t>
        </is>
      </c>
    </row>
    <row r="126">
      <c r="A126" t="inlineStr">
        <is>
          <t>2026-03-31_GLNL_at_ATHL</t>
        </is>
      </c>
      <c r="B126" s="10" t="n">
        <v>46112</v>
      </c>
      <c r="C126" t="inlineStr">
        <is>
          <t>GLNL</t>
        </is>
      </c>
      <c r="D126" t="inlineStr">
        <is>
          <t>ATHL</t>
        </is>
      </c>
      <c r="E126" t="inlineStr">
        <is>
          <t>L Byrns</t>
        </is>
      </c>
      <c r="F126" t="n">
        <v>14</v>
      </c>
      <c r="G126" t="n">
        <v>23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5</v>
      </c>
      <c r="N126" t="n">
        <v>0</v>
      </c>
      <c r="O126" t="n">
        <v>9</v>
      </c>
      <c r="P126" t="n">
        <v>4</v>
      </c>
      <c r="Q126" t="n">
        <v>2</v>
      </c>
      <c r="R126" t="inlineStr">
        <is>
          <t>T1-T5 through A Baker FC (play#37); entry documented play#1 seq (mid-AB T1); H: B Conlon 1B(play#9,T2); BB: E Laprise(play#12,T2), S Tong(play#19,T3), C Lease(play#20,T3), C Lease(play#35,T5), B Conlon IBW(play#36,T5)=5; K(9): T Blayman K_S(play#1,T1), S Tong K_L(play#2,T1), C Lease K_S(play#3,T1), G Melhuish K_S(play#13,T2 dropped 3rd WP — reaches), G Knauss K_L(play#14,T2), E Laprise K_S(play#27,T4), G Knauss K_S(play#29,T4), T Blayman K_L(play#33,T5), S Tong K_S(play#34,T5 dropped 3rd PB — reaches); R: T2(B Conlon via G Melhuish dropped K/WP)+T3(S Tong SAC fly)+T5(B Conlon+S Tong on J Martin E)=4; WP: play#13 (B Conlon scores; G Melhuish dropped 3rd mechanism) + play#20 (S Tong adv 2B) = 2; C Lease out on A Baker FC (play#37) = outs credit to L Byrns</t>
        </is>
      </c>
    </row>
    <row r="127">
      <c r="A127" t="inlineStr">
        <is>
          <t>2026-03-31_GLNL_at_ATHL</t>
        </is>
      </c>
      <c r="B127" s="10" t="n">
        <v>46112</v>
      </c>
      <c r="C127" t="inlineStr">
        <is>
          <t>GLNL</t>
        </is>
      </c>
      <c r="D127" t="inlineStr">
        <is>
          <t>ATHL</t>
        </is>
      </c>
      <c r="E127" t="inlineStr">
        <is>
          <t>J Bott</t>
        </is>
      </c>
      <c r="F127" t="n">
        <v>4</v>
      </c>
      <c r="G127" t="n">
        <v>7</v>
      </c>
      <c r="H127" t="n">
        <v>2</v>
      </c>
      <c r="I127" t="n">
        <v>2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2</v>
      </c>
      <c r="Q127" t="n">
        <v>2</v>
      </c>
      <c r="R127" t="inlineStr">
        <is>
          <t>T5 from A Nazelrod AB onward + T6; entry documented play#38 seq (mid-AB T5); H: G Knauss 1B bunt(play#46,T6), T Blayman 1B bunt(play#47,T6); BB: G Melhuish(play#45,T6); K: 0; R: A Baker on J Whiting E(play#38,T5) + G Melhuish/P Moreau on WP(play#48,T6)=2; WP: play#46 (P Moreau adv 2B during G Knauss AB) + play#48 (P Moreau scores; G Knauss adv 3B; T Blayman adv 2B — all same pitch) = 2; S Tong fly-into-DP play#48: 2 outs credited (S Tong out + G Knauss out at home)</t>
        </is>
      </c>
    </row>
    <row r="128">
      <c r="A128" t="inlineStr">
        <is>
          <t>2026-03-31_GLNL_at_ATHL</t>
        </is>
      </c>
      <c r="B128" s="10" t="n">
        <v>46112</v>
      </c>
      <c r="C128" t="inlineStr">
        <is>
          <t>GLNL</t>
        </is>
      </c>
      <c r="D128" t="inlineStr">
        <is>
          <t>ATHL</t>
        </is>
      </c>
      <c r="E128" t="inlineStr">
        <is>
          <t>T MacKenzie</t>
        </is>
      </c>
      <c r="F128" t="n">
        <v>3</v>
      </c>
      <c r="G128" t="n">
        <v>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inlineStr">
        <is>
          <t>T7; entry inferred from play description play#54 ('T MacKenzie pitching'), Flag#12; K: A Baker K_S(play#54)</t>
        </is>
      </c>
    </row>
    <row r="129">
      <c r="A129" t="inlineStr">
        <is>
          <t>2026-03-07_HNTN_at_LNGR</t>
        </is>
      </c>
      <c r="B129" s="10" t="n">
        <v>46088</v>
      </c>
      <c r="C129" t="inlineStr">
        <is>
          <t>Long Reach HS</t>
        </is>
      </c>
      <c r="D129" t="inlineStr">
        <is>
          <t>HNTN</t>
        </is>
      </c>
      <c r="E129" t="inlineStr">
        <is>
          <t>N McMurray</t>
        </is>
      </c>
      <c r="F129" t="n">
        <v>6</v>
      </c>
      <c r="G129" t="n">
        <v>8</v>
      </c>
      <c r="H129" t="n">
        <v>2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3</v>
      </c>
      <c r="P129" t="n">
        <v>3</v>
      </c>
      <c r="Q129" t="n">
        <v>2</v>
      </c>
      <c r="R129" t="inlineStr">
        <is>
          <t>B1–B2; entry not logged with 'Lineup changed' note — inferred from play #9 description; 2 WPs during #1 AB play #24 (runs scored on WPs); also bats T1–T5</t>
        </is>
      </c>
    </row>
    <row r="130">
      <c r="A130" t="inlineStr">
        <is>
          <t>2026-03-07_HNTN_at_LNGR</t>
        </is>
      </c>
      <c r="B130" s="10" t="n">
        <v>46088</v>
      </c>
      <c r="C130" t="inlineStr">
        <is>
          <t>Long Reach HS</t>
        </is>
      </c>
      <c r="D130" t="inlineStr">
        <is>
          <t>HNTN</t>
        </is>
      </c>
      <c r="E130" t="inlineStr">
        <is>
          <t>B Marlowe</t>
        </is>
      </c>
      <c r="F130" t="n">
        <v>6</v>
      </c>
      <c r="G130" t="n">
        <v>10</v>
      </c>
      <c r="H130" t="n">
        <v>2</v>
      </c>
      <c r="I130" t="n">
        <v>2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4</v>
      </c>
      <c r="P130" t="n">
        <v>0</v>
      </c>
      <c r="Q130" t="n">
        <v>0</v>
      </c>
      <c r="R130" t="inlineStr">
        <is>
          <t>B3–B4; PB during #23 AB play #50 (noted, not WP); also PH/batter T4 play #41 and T6 play #60</t>
        </is>
      </c>
    </row>
    <row r="131">
      <c r="A131" t="inlineStr">
        <is>
          <t>2026-03-07_HNTN_at_LNGR</t>
        </is>
      </c>
      <c r="B131" s="10" t="n">
        <v>46088</v>
      </c>
      <c r="C131" t="inlineStr">
        <is>
          <t>Long Reach HS</t>
        </is>
      </c>
      <c r="D131" t="inlineStr">
        <is>
          <t>HNTN</t>
        </is>
      </c>
      <c r="E131" t="inlineStr">
        <is>
          <t>R Kessler</t>
        </is>
      </c>
      <c r="F131" t="n">
        <v>6</v>
      </c>
      <c r="G131" t="n">
        <v>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0</v>
      </c>
      <c r="Q131" t="n">
        <v>0</v>
      </c>
      <c r="R131" t="inlineStr">
        <is>
          <t>B5–B6; also PH in J Laur batting slot T6 play #61 (Flag #10)</t>
        </is>
      </c>
    </row>
    <row r="132">
      <c r="A132" t="inlineStr">
        <is>
          <t>2026-03-07_HNTN_at_LNGR</t>
        </is>
      </c>
      <c r="B132" s="10" t="n">
        <v>46088</v>
      </c>
      <c r="C132" t="inlineStr">
        <is>
          <t>Huntingtown Varsity Hurricanes</t>
        </is>
      </c>
      <c r="D132" t="inlineStr">
        <is>
          <t>LNGR</t>
        </is>
      </c>
      <c r="E132" t="inlineStr">
        <is>
          <t>LNGR_#7</t>
        </is>
      </c>
      <c r="F132" t="n">
        <v>6</v>
      </c>
      <c r="G132" t="n">
        <v>15</v>
      </c>
      <c r="H132" t="n">
        <v>5</v>
      </c>
      <c r="I132" t="n">
        <v>3</v>
      </c>
      <c r="J132" t="n">
        <v>2</v>
      </c>
      <c r="K132" t="n">
        <v>0</v>
      </c>
      <c r="L132" t="n">
        <v>0</v>
      </c>
      <c r="M132" t="n">
        <v>3</v>
      </c>
      <c r="N132" t="n">
        <v>1</v>
      </c>
      <c r="O132" t="n">
        <v>1</v>
      </c>
      <c r="P132" t="n">
        <v>7</v>
      </c>
      <c r="Q132" t="n">
        <v>0</v>
      </c>
      <c r="R132" t="inlineStr">
        <is>
          <t>T1–T2; entry logged play #1 ('Lineup changed: #7 in at pitcher'); PB during R Gaetano AB play #4 (not WP); also bats B1 and B4</t>
        </is>
      </c>
    </row>
    <row r="133">
      <c r="A133" t="inlineStr">
        <is>
          <t>2026-03-07_HNTN_at_LNGR</t>
        </is>
      </c>
      <c r="B133" s="10" t="n">
        <v>46088</v>
      </c>
      <c r="C133" t="inlineStr">
        <is>
          <t>Huntingtown Varsity Hurricanes</t>
        </is>
      </c>
      <c r="D133" t="inlineStr">
        <is>
          <t>LNGR</t>
        </is>
      </c>
      <c r="E133" t="inlineStr">
        <is>
          <t>LNGR_#3</t>
        </is>
      </c>
      <c r="F133" t="n">
        <v>3</v>
      </c>
      <c r="G133" t="n">
        <v>6</v>
      </c>
      <c r="H133" t="n">
        <v>4</v>
      </c>
      <c r="I133" t="n">
        <v>1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</v>
      </c>
      <c r="Q133" t="n">
        <v>0</v>
      </c>
      <c r="R133" t="inlineStr">
        <is>
          <t>T3; entry logged play #25; Runner Out (J Hann pickoff play #31) counted as 1 out; also bats B1 and B3</t>
        </is>
      </c>
    </row>
    <row r="134">
      <c r="A134" t="inlineStr">
        <is>
          <t>2026-03-07_HNTN_at_LNGR</t>
        </is>
      </c>
      <c r="B134" s="10" t="n">
        <v>46088</v>
      </c>
      <c r="C134" t="inlineStr">
        <is>
          <t>Huntingtown Varsity Hurricanes</t>
        </is>
      </c>
      <c r="D134" t="inlineStr">
        <is>
          <t>LNGR</t>
        </is>
      </c>
      <c r="E134" t="inlineStr">
        <is>
          <t>LNGR_#17</t>
        </is>
      </c>
      <c r="F134" t="n">
        <v>3</v>
      </c>
      <c r="G134" t="n">
        <v>9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2</v>
      </c>
      <c r="N134" t="n">
        <v>0</v>
      </c>
      <c r="O134" t="n">
        <v>1</v>
      </c>
      <c r="P134" t="n">
        <v>5</v>
      </c>
      <c r="Q134" t="n">
        <v>0</v>
      </c>
      <c r="R134" t="inlineStr">
        <is>
          <t>T4; entry inferred from play descriptions #37, #38, #43 — no 'Lineup changed' note logged (Flag #5); Runner Out (E Elliott CS play #46) counted as 1 out; R Gaetano run via unspecified mechanism included in R_Allowed (Flag #13); also bats B1 and B4</t>
        </is>
      </c>
    </row>
    <row r="135">
      <c r="A135" t="inlineStr">
        <is>
          <t>2026-03-07_HNTN_at_LNGR</t>
        </is>
      </c>
      <c r="B135" s="10" t="n">
        <v>46088</v>
      </c>
      <c r="C135" t="inlineStr">
        <is>
          <t>Huntingtown Varsity Hurricanes</t>
        </is>
      </c>
      <c r="D135" t="inlineStr">
        <is>
          <t>LNGR</t>
        </is>
      </c>
      <c r="E135" t="inlineStr">
        <is>
          <t>LNGR_#4</t>
        </is>
      </c>
      <c r="F135" t="n">
        <v>3</v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T5; entry logged play #52; Runner Out (R Gaetano pickoff play #55) counted as 1 out; also bats B3 and B6</t>
        </is>
      </c>
    </row>
    <row r="136">
      <c r="A136" t="inlineStr">
        <is>
          <t>2026-03-07_HNTN_at_LNGR</t>
        </is>
      </c>
      <c r="B136" s="10" t="n">
        <v>46088</v>
      </c>
      <c r="C136" t="inlineStr">
        <is>
          <t>Huntingtown Varsity Hurricanes</t>
        </is>
      </c>
      <c r="D136" t="inlineStr">
        <is>
          <t>LNGR</t>
        </is>
      </c>
      <c r="E136" t="inlineStr">
        <is>
          <t>LNGR_#15</t>
        </is>
      </c>
      <c r="F136" t="n">
        <v>3</v>
      </c>
      <c r="G136" t="n">
        <v>5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inlineStr">
        <is>
          <t>T6; entry inferred from play #60 description — no 'Lineup changed' note logged (Flag #6); WP play #60 (J Walter advances to 2nd); also bats B2 and B4</t>
        </is>
      </c>
    </row>
    <row r="137">
      <c r="A137" t="inlineStr">
        <is>
          <t>2026-03-14_KNTS_at_HNTN</t>
        </is>
      </c>
      <c r="B137" s="10" t="n">
        <v>46095</v>
      </c>
      <c r="C137" t="inlineStr">
        <is>
          <t>Kent Island HS</t>
        </is>
      </c>
      <c r="D137" t="inlineStr">
        <is>
          <t>HNTN</t>
        </is>
      </c>
      <c r="E137" t="inlineStr">
        <is>
          <t>R Kessler</t>
        </is>
      </c>
      <c r="F137" t="n">
        <v>11</v>
      </c>
      <c r="G137" t="n">
        <v>15</v>
      </c>
      <c r="H137" t="n">
        <v>4</v>
      </c>
      <c r="I137" t="n">
        <v>4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3</v>
      </c>
      <c r="P137" t="n">
        <v>1</v>
      </c>
      <c r="Q137" t="n">
        <v>0</v>
      </c>
      <c r="R137" t="inlineStr">
        <is>
          <t>T1–T4 (exits mid-T4 when J Fields enters during #14 AB play #36); Runner Outs in T1 (#3 CS play #4) and T3 (#8 out at home play #26) each credited as 1 out; also bats B1 and B3</t>
        </is>
      </c>
    </row>
    <row r="138">
      <c r="A138" t="inlineStr">
        <is>
          <t>2026-03-14_KNTS_at_HNTN</t>
        </is>
      </c>
      <c r="B138" s="10" t="n">
        <v>46095</v>
      </c>
      <c r="C138" t="inlineStr">
        <is>
          <t>Kent Island HS</t>
        </is>
      </c>
      <c r="D138" t="inlineStr">
        <is>
          <t>HNTN</t>
        </is>
      </c>
      <c r="E138" t="inlineStr">
        <is>
          <t>J Fields</t>
        </is>
      </c>
      <c r="F138" t="n">
        <v>3</v>
      </c>
      <c r="G138" t="n">
        <v>8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3</v>
      </c>
      <c r="N138" t="n">
        <v>0</v>
      </c>
      <c r="O138" t="n">
        <v>1</v>
      </c>
      <c r="P138" t="n">
        <v>3</v>
      </c>
      <c r="Q138" t="n">
        <v>1</v>
      </c>
      <c r="R138" t="inlineStr">
        <is>
          <t>Enters mid-T4 during #14 AB play #36 (1 out in T4); T5 through #9 HBP play #47 (2 outs in T5); WP T5 embedded in #7 walk play #42 (#13 advances to 2nd); PB T5 during #17 walk play #45 (#12 scores — PB, not WP, noted in catcher credit); also active fielder</t>
        </is>
      </c>
    </row>
    <row r="139">
      <c r="A139" t="inlineStr">
        <is>
          <t>2026-03-14_KNTS_at_HNTN</t>
        </is>
      </c>
      <c r="B139" s="10" t="n">
        <v>46095</v>
      </c>
      <c r="C139" t="inlineStr">
        <is>
          <t>Kent Island HS</t>
        </is>
      </c>
      <c r="D139" t="inlineStr">
        <is>
          <t>HNTN</t>
        </is>
      </c>
      <c r="E139" t="inlineStr">
        <is>
          <t>J Walter</t>
        </is>
      </c>
      <c r="F139" t="n">
        <v>1</v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2</v>
      </c>
      <c r="Q139" t="n">
        <v>0</v>
      </c>
      <c r="R139" t="inlineStr">
        <is>
          <t>Enters mid-T5 during #9 HBP play #47; T5 only (plays 47–49); PB during #8 GO play #49 (#11 scores — PB, not WP); also has batting slot taken by J Laur PH in B6 (Flag #11)</t>
        </is>
      </c>
    </row>
    <row r="140">
      <c r="A140" t="inlineStr">
        <is>
          <t>2026-03-14_KNTS_at_HNTN</t>
        </is>
      </c>
      <c r="B140" s="10" t="n">
        <v>46095</v>
      </c>
      <c r="C140" t="inlineStr">
        <is>
          <t>Kent Island HS</t>
        </is>
      </c>
      <c r="D140" t="inlineStr">
        <is>
          <t>HNTN</t>
        </is>
      </c>
      <c r="E140" t="inlineStr">
        <is>
          <t>J Hann</t>
        </is>
      </c>
      <c r="F140" t="n">
        <v>3</v>
      </c>
      <c r="G140" t="n">
        <v>10</v>
      </c>
      <c r="H140" t="n">
        <v>4</v>
      </c>
      <c r="I140" t="n">
        <v>3</v>
      </c>
      <c r="J140" t="n">
        <v>1</v>
      </c>
      <c r="K140" t="n">
        <v>0</v>
      </c>
      <c r="L140" t="n">
        <v>0</v>
      </c>
      <c r="M140" t="n">
        <v>1</v>
      </c>
      <c r="N140" t="n">
        <v>2</v>
      </c>
      <c r="O140" t="n">
        <v>0</v>
      </c>
      <c r="P140" t="n">
        <v>5</v>
      </c>
      <c r="Q140" t="n">
        <v>0</v>
      </c>
      <c r="R140" t="inlineStr">
        <is>
          <t>T6; entry inferred from plays #56–57 — no 'Lineup changed' logged (Flag #6); 2 HBP (#12 play #56, #17 play #57); also active HNTN batter (B1, B2, B4)</t>
        </is>
      </c>
    </row>
    <row r="141">
      <c r="A141" t="inlineStr">
        <is>
          <t>2026-03-14_KNTS_at_HNTN</t>
        </is>
      </c>
      <c r="B141" s="10" t="n">
        <v>46095</v>
      </c>
      <c r="C141" t="inlineStr">
        <is>
          <t>Huntingtown Varsity Hurricanes</t>
        </is>
      </c>
      <c r="D141" t="inlineStr">
        <is>
          <t>KNTS</t>
        </is>
      </c>
      <c r="E141" t="inlineStr">
        <is>
          <t>KNTS_SP_Unknown</t>
        </is>
      </c>
      <c r="F141" t="n">
        <v>1</v>
      </c>
      <c r="G141" t="n">
        <v>4</v>
      </c>
      <c r="H141" t="n">
        <v>2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  <c r="Q141" t="n">
        <v>0</v>
      </c>
      <c r="R141" t="inlineStr">
        <is>
          <t>Identity unknown — Flag #5; B1 partial (before #17 enters during T Burghard AB play #9); 1 out recorded (R Gaetano K play #8); 1 run allowed (N McMurray scores on J Cadden single play #7)</t>
        </is>
      </c>
    </row>
    <row r="142">
      <c r="A142" t="inlineStr">
        <is>
          <t>2026-03-14_KNTS_at_HNTN</t>
        </is>
      </c>
      <c r="B142" s="10" t="n">
        <v>46095</v>
      </c>
      <c r="C142" t="inlineStr">
        <is>
          <t>Huntingtown Varsity Hurricanes</t>
        </is>
      </c>
      <c r="D142" t="inlineStr">
        <is>
          <t>KNTS</t>
        </is>
      </c>
      <c r="E142" t="inlineStr">
        <is>
          <t>KNTS_#17</t>
        </is>
      </c>
      <c r="F142" t="n">
        <v>5</v>
      </c>
      <c r="G142" t="n">
        <v>9</v>
      </c>
      <c r="H142" t="n">
        <v>3</v>
      </c>
      <c r="I142" t="n">
        <v>3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3</v>
      </c>
      <c r="P142" t="n">
        <v>4</v>
      </c>
      <c r="Q142" t="n">
        <v>1</v>
      </c>
      <c r="R142" t="inlineStr">
        <is>
          <t>B1 partial (enters during T Burghard AB play #9 — Flag #5) through B2; replaced by #6 at start of T Burghard AB B3 play #27; WP B2 play #20 (J Hann scores); also bats T2 and T4 as KNTS batter</t>
        </is>
      </c>
    </row>
    <row r="143">
      <c r="A143" t="inlineStr">
        <is>
          <t>2026-03-14_KNTS_at_HNTN</t>
        </is>
      </c>
      <c r="B143" s="10" t="n">
        <v>46095</v>
      </c>
      <c r="C143" t="inlineStr">
        <is>
          <t>Huntingtown Varsity Hurricanes</t>
        </is>
      </c>
      <c r="D143" t="inlineStr">
        <is>
          <t>KNTS</t>
        </is>
      </c>
      <c r="E143" t="inlineStr">
        <is>
          <t>KNTS_#6</t>
        </is>
      </c>
      <c r="F143" t="n">
        <v>6</v>
      </c>
      <c r="G143" t="n">
        <v>8</v>
      </c>
      <c r="H143" t="n">
        <v>2</v>
      </c>
      <c r="I143" t="n">
        <v>0</v>
      </c>
      <c r="J143" t="n">
        <v>2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1</v>
      </c>
      <c r="Q143" t="n">
        <v>0</v>
      </c>
      <c r="R143" t="inlineStr">
        <is>
          <t>B3 (enters start of T Burghard AB play #27) through B4; replaced by #5 at start of R Gaetano AB B5 play #50</t>
        </is>
      </c>
    </row>
    <row r="144">
      <c r="A144" t="inlineStr">
        <is>
          <t>2026-03-14_KNTS_at_HNTN</t>
        </is>
      </c>
      <c r="B144" s="10" t="n">
        <v>46095</v>
      </c>
      <c r="C144" t="inlineStr">
        <is>
          <t>Huntingtown Varsity Hurricanes</t>
        </is>
      </c>
      <c r="D144" t="inlineStr">
        <is>
          <t>KNTS</t>
        </is>
      </c>
      <c r="E144" t="inlineStr">
        <is>
          <t>KNTS_#5</t>
        </is>
      </c>
      <c r="F144" t="n">
        <v>6</v>
      </c>
      <c r="G144" t="n">
        <v>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2</v>
      </c>
      <c r="P144" t="n">
        <v>0</v>
      </c>
      <c r="Q144" t="n">
        <v>0</v>
      </c>
      <c r="R144" t="inlineStr">
        <is>
          <t>B5 (enters start of R Gaetano AB play #50) through B6; 2 Ks: J Laur K_L play #63, G Grimes dropped 3rd strike K_S play #65 (out at 1st)</t>
        </is>
      </c>
    </row>
    <row r="145">
      <c r="A145" t="inlineStr">
        <is>
          <t>2026-03-14_HNTN_at_STHR</t>
        </is>
      </c>
      <c r="B145" s="10" t="n">
        <v>46095</v>
      </c>
      <c r="C145" t="inlineStr">
        <is>
          <t>South River Varsity Seahawks</t>
        </is>
      </c>
      <c r="D145" t="inlineStr">
        <is>
          <t>HNTN</t>
        </is>
      </c>
      <c r="E145" t="inlineStr">
        <is>
          <t>N McMurray</t>
        </is>
      </c>
      <c r="F145" t="n">
        <v>9</v>
      </c>
      <c r="G145" t="n">
        <v>13</v>
      </c>
      <c r="H145" t="n">
        <v>3</v>
      </c>
      <c r="I145" t="n">
        <v>3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5</v>
      </c>
      <c r="P145" t="n">
        <v>0</v>
      </c>
      <c r="Q145" t="n">
        <v>0</v>
      </c>
      <c r="R145" t="inlineStr">
        <is>
          <t>B1–B3; entry not logged with 'Lineup changed' — inferred from play descriptions (plays #4, #8, #9); also bats HNTN lineup T2, T3, T5, T6, T7</t>
        </is>
      </c>
    </row>
    <row r="146">
      <c r="A146" t="inlineStr">
        <is>
          <t>2026-03-14_HNTN_at_STHR</t>
        </is>
      </c>
      <c r="B146" s="10" t="n">
        <v>46095</v>
      </c>
      <c r="C146" t="inlineStr">
        <is>
          <t>South River Varsity Seahawks</t>
        </is>
      </c>
      <c r="D146" t="inlineStr">
        <is>
          <t>HNTN</t>
        </is>
      </c>
      <c r="E146" t="inlineStr">
        <is>
          <t>J Laur</t>
        </is>
      </c>
      <c r="F146" t="n">
        <v>6</v>
      </c>
      <c r="G146" t="n">
        <v>9</v>
      </c>
      <c r="H146" t="n">
        <v>3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0</v>
      </c>
      <c r="Q146" t="n">
        <v>0</v>
      </c>
      <c r="R146" t="inlineStr">
        <is>
          <t>B4–B5; entry logged play #36; #6 out at 2B on play #38 (single, SS to 2B) counted as 1 out (Flag #11); also bats T3, T6, T7 (Flag #6)</t>
        </is>
      </c>
    </row>
    <row r="147">
      <c r="A147" t="inlineStr">
        <is>
          <t>2026-03-14_HNTN_at_STHR</t>
        </is>
      </c>
      <c r="B147" s="10" t="n">
        <v>46095</v>
      </c>
      <c r="C147" t="inlineStr">
        <is>
          <t>South River Varsity Seahawks</t>
        </is>
      </c>
      <c r="D147" t="inlineStr">
        <is>
          <t>HNTN</t>
        </is>
      </c>
      <c r="E147" t="inlineStr">
        <is>
          <t>J Cadden</t>
        </is>
      </c>
      <c r="F147" t="n">
        <v>3</v>
      </c>
      <c r="G147" t="n">
        <v>5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2</v>
      </c>
      <c r="P147" t="n">
        <v>0</v>
      </c>
      <c r="Q147" t="n">
        <v>0</v>
      </c>
      <c r="R147" t="inlineStr">
        <is>
          <t>B6 only; entry logged play #59; also bats T1, T3, T4, T6</t>
        </is>
      </c>
    </row>
    <row r="148">
      <c r="A148" t="inlineStr">
        <is>
          <t>2026-03-14_HNTN_at_STHR</t>
        </is>
      </c>
      <c r="B148" s="10" t="n">
        <v>46095</v>
      </c>
      <c r="C148" t="inlineStr">
        <is>
          <t>South River Varsity Seahawks</t>
        </is>
      </c>
      <c r="D148" t="inlineStr">
        <is>
          <t>HNTN</t>
        </is>
      </c>
      <c r="E148" t="inlineStr">
        <is>
          <t>T Burghard</t>
        </is>
      </c>
      <c r="F148" t="n">
        <v>3</v>
      </c>
      <c r="G148" t="n">
        <v>4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inlineStr">
        <is>
          <t>B7 only; entry logged play #73; PB during #4 PO play #76 (#2 advances to 2nd — PB, not WP); also bats T7 as mid-AB PH for J Hann (Flag #7)</t>
        </is>
      </c>
    </row>
    <row r="149">
      <c r="A149" t="inlineStr">
        <is>
          <t>2026-03-14_HNTN_at_STHR</t>
        </is>
      </c>
      <c r="B149" s="10" t="n">
        <v>46095</v>
      </c>
      <c r="C149" t="inlineStr">
        <is>
          <t>Huntingtown Varsity Hurricanes</t>
        </is>
      </c>
      <c r="D149" t="inlineStr">
        <is>
          <t>STHR</t>
        </is>
      </c>
      <c r="E149" t="inlineStr">
        <is>
          <t>STHR_SP_Unknown</t>
        </is>
      </c>
      <c r="F149" t="n">
        <v>21</v>
      </c>
      <c r="G149" t="n">
        <v>44</v>
      </c>
      <c r="H149" t="n">
        <v>18</v>
      </c>
      <c r="I149" t="n">
        <v>16</v>
      </c>
      <c r="J149" t="n">
        <v>2</v>
      </c>
      <c r="K149" t="n">
        <v>0</v>
      </c>
      <c r="L149" t="n">
        <v>0</v>
      </c>
      <c r="M149" t="n">
        <v>2</v>
      </c>
      <c r="N149" t="n">
        <v>2</v>
      </c>
      <c r="O149" t="n">
        <v>9</v>
      </c>
      <c r="P149" t="n">
        <v>15</v>
      </c>
      <c r="Q149" t="n">
        <v>0</v>
      </c>
      <c r="R149" t="inlineStr">
        <is>
          <t>Identity (or identities) unknown — Flag #5; no STHR pitcher documented anywhere in log; all 7 innings credited to single row (indeterminate if multiple pitchers used); 4 PBs during STHR pitching tenure: plays #19 (J Laur adv 2nd), #57 (N McMurray adv 3rd), #65 (J Laur adv 3rd), #76 (#2 adv 2nd) — PBs noted here, not WPs</t>
        </is>
      </c>
    </row>
    <row r="150">
      <c r="A150" t="inlineStr">
        <is>
          <t>2026-03-18_NRTH_at_HNTN</t>
        </is>
      </c>
      <c r="B150" s="10" t="n">
        <v>46099</v>
      </c>
      <c r="C150" t="inlineStr">
        <is>
          <t>North County</t>
        </is>
      </c>
      <c r="D150" t="inlineStr">
        <is>
          <t>HNTN</t>
        </is>
      </c>
      <c r="E150" t="inlineStr">
        <is>
          <t>T Burghard</t>
        </is>
      </c>
      <c r="F150" t="n">
        <v>9</v>
      </c>
      <c r="G150" t="n">
        <v>14</v>
      </c>
      <c r="H150" t="n">
        <v>3</v>
      </c>
      <c r="I150" t="n">
        <v>3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2</v>
      </c>
      <c r="P150" t="n">
        <v>1</v>
      </c>
      <c r="Q150" t="n">
        <v>0</v>
      </c>
      <c r="R150" t="inlineStr">
        <is>
          <t>T1–T3, exits before T4 (J Fields enters at start of #9 AB play #32, non-standard notation Flag #6); also bats as PH for J Hann B6 play #55</t>
        </is>
      </c>
    </row>
    <row r="151">
      <c r="A151" t="inlineStr">
        <is>
          <t>2026-03-18_NRTH_at_HNTN</t>
        </is>
      </c>
      <c r="B151" s="10" t="n">
        <v>46099</v>
      </c>
      <c r="C151" t="inlineStr">
        <is>
          <t>North County</t>
        </is>
      </c>
      <c r="D151" t="inlineStr">
        <is>
          <t>HNTN</t>
        </is>
      </c>
      <c r="E151" t="inlineStr">
        <is>
          <t>J Fields</t>
        </is>
      </c>
      <c r="F151" t="n">
        <v>6</v>
      </c>
      <c r="G151" t="n">
        <v>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inlineStr">
        <is>
          <t>T4 (enters at start of #9 AB play #32, Flag #6) through T5; L Bennett enters at start of #5 AB T6 play #48 (Flag #6); also bats as PH for J Laur B6 play #60</t>
        </is>
      </c>
    </row>
    <row r="152">
      <c r="A152" t="inlineStr">
        <is>
          <t>2026-03-18_NRTH_at_HNTN</t>
        </is>
      </c>
      <c r="B152" s="10" t="n">
        <v>46099</v>
      </c>
      <c r="C152" t="inlineStr">
        <is>
          <t>North County</t>
        </is>
      </c>
      <c r="D152" t="inlineStr">
        <is>
          <t>HNTN</t>
        </is>
      </c>
      <c r="E152" t="inlineStr">
        <is>
          <t>L Bennett</t>
        </is>
      </c>
      <c r="F152" t="n">
        <v>6</v>
      </c>
      <c r="G152" t="n">
        <v>16</v>
      </c>
      <c r="H152" t="n">
        <v>6</v>
      </c>
      <c r="I152" t="n">
        <v>4</v>
      </c>
      <c r="J152" t="n">
        <v>2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6</v>
      </c>
      <c r="Q152" t="n">
        <v>0</v>
      </c>
      <c r="R152" t="inlineStr">
        <is>
          <t>T6 (enters at start of #5 AB play #48, Flag #6) through T7; 4 of 7 NRTH T7 runs allowed; also active HNTN fielder/batter in prior games</t>
        </is>
      </c>
    </row>
    <row r="153">
      <c r="A153" t="inlineStr">
        <is>
          <t>2026-03-18_NRTH_at_HNTN</t>
        </is>
      </c>
      <c r="B153" s="10" t="n">
        <v>46099</v>
      </c>
      <c r="C153" t="inlineStr">
        <is>
          <t>Huntingtown Varsity Hurricanes</t>
        </is>
      </c>
      <c r="D153" t="inlineStr">
        <is>
          <t>NRTH</t>
        </is>
      </c>
      <c r="E153" t="inlineStr">
        <is>
          <t>NRTH_#8</t>
        </is>
      </c>
      <c r="F153" t="n">
        <v>9</v>
      </c>
      <c r="G153" t="n">
        <v>17</v>
      </c>
      <c r="H153" t="n">
        <v>3</v>
      </c>
      <c r="I153" t="n">
        <v>2</v>
      </c>
      <c r="J153" t="n">
        <v>1</v>
      </c>
      <c r="K153" t="n">
        <v>0</v>
      </c>
      <c r="L153" t="n">
        <v>0</v>
      </c>
      <c r="M153" t="n">
        <v>4</v>
      </c>
      <c r="N153" t="n">
        <v>0</v>
      </c>
      <c r="O153" t="n">
        <v>1</v>
      </c>
      <c r="P153" t="n">
        <v>5</v>
      </c>
      <c r="Q153" t="n">
        <v>0</v>
      </c>
      <c r="R153" t="inlineStr">
        <is>
          <t>B1–B3; entry not logged with 'Lineup changed' — inferred from play descriptions (Flag #5); C Wargo steal of home (embedded play #19) included in R_Allowed (Flags #11, #12)</t>
        </is>
      </c>
    </row>
    <row r="154">
      <c r="A154" t="inlineStr">
        <is>
          <t>2026-03-18_NRTH_at_HNTN</t>
        </is>
      </c>
      <c r="B154" s="10" t="n">
        <v>46099</v>
      </c>
      <c r="C154" t="inlineStr">
        <is>
          <t>Huntingtown Varsity Hurricanes</t>
        </is>
      </c>
      <c r="D154" t="inlineStr">
        <is>
          <t>NRTH</t>
        </is>
      </c>
      <c r="E154" t="inlineStr">
        <is>
          <t>NRTH_#7</t>
        </is>
      </c>
      <c r="F154" t="n">
        <v>6</v>
      </c>
      <c r="G154" t="n">
        <v>9</v>
      </c>
      <c r="H154" t="n">
        <v>2</v>
      </c>
      <c r="I154" t="n">
        <v>2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3</v>
      </c>
      <c r="Q154" t="n">
        <v>0</v>
      </c>
      <c r="R154" t="inlineStr">
        <is>
          <t>B4–B5; entry logged play #36; replaced when #16 PH's for #7 in T6 (play #50, Flag #7); also bats T2 and T3</t>
        </is>
      </c>
    </row>
    <row r="155">
      <c r="A155" t="inlineStr">
        <is>
          <t>2026-03-18_NRTH_at_HNTN</t>
        </is>
      </c>
      <c r="B155" s="10" t="n">
        <v>46099</v>
      </c>
      <c r="C155" t="inlineStr">
        <is>
          <t>Huntingtown Varsity Hurricanes</t>
        </is>
      </c>
      <c r="D155" t="inlineStr">
        <is>
          <t>NRTH</t>
        </is>
      </c>
      <c r="E155" t="inlineStr">
        <is>
          <t>NRTH_#16</t>
        </is>
      </c>
      <c r="F155" t="n">
        <v>2</v>
      </c>
      <c r="G155" t="n">
        <v>6</v>
      </c>
      <c r="H155" t="n">
        <v>2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2</v>
      </c>
      <c r="Q155" t="n">
        <v>0</v>
      </c>
      <c r="R155" t="inlineStr">
        <is>
          <t>B6 partial (inferred entry — #16 pitches from R Bolger AB play #54 onward, Flag #7); replaced by #9 at start of J Fields AB play #60; 2 HBP (T Burghard play #55, B Robbins play #59); also bats T6 and T7 as PH for #7</t>
        </is>
      </c>
    </row>
    <row r="156">
      <c r="A156" t="inlineStr">
        <is>
          <t>2026-03-18_NRTH_at_HNTN</t>
        </is>
      </c>
      <c r="B156" s="10" t="n">
        <v>46099</v>
      </c>
      <c r="C156" t="inlineStr">
        <is>
          <t>Huntingtown Varsity Hurricanes</t>
        </is>
      </c>
      <c r="D156" t="inlineStr">
        <is>
          <t>NRTH</t>
        </is>
      </c>
      <c r="E156" t="inlineStr">
        <is>
          <t>NRTH_#9</t>
        </is>
      </c>
      <c r="F156" t="n">
        <v>1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inlineStr">
        <is>
          <t>B6 partial only (enters at start of J Fields AB play #60 — 'Lineup changed: #9 in at pitcher'); also bats T2, T4, T6, T7</t>
        </is>
      </c>
    </row>
    <row r="157">
      <c r="A157" t="inlineStr">
        <is>
          <t>2026-03-20_CLVR_at_HNTN</t>
        </is>
      </c>
      <c r="B157" s="10" t="n">
        <v>46101</v>
      </c>
      <c r="C157" t="inlineStr">
        <is>
          <t>Calvert HS</t>
        </is>
      </c>
      <c r="D157" t="inlineStr">
        <is>
          <t>HNTN</t>
        </is>
      </c>
      <c r="E157" t="inlineStr">
        <is>
          <t>N McMurray</t>
        </is>
      </c>
      <c r="F157" t="n">
        <v>15</v>
      </c>
      <c r="G157" t="n">
        <v>17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0</v>
      </c>
      <c r="Q157" t="n">
        <v>2</v>
      </c>
      <c r="R157" t="inlineStr">
        <is>
          <t>T1–T5; entry logged play #1; transition to J Laur inferred (Flag #6); WP T1: play #6 (R Bolger adv 2nd) and play #10 (R Gaetano adv 2nd then 3rd on same pitch per Flag #13 — 2 WPs total); also bats HNTN lineup B1, B3, B6</t>
        </is>
      </c>
    </row>
    <row r="158">
      <c r="A158" t="inlineStr">
        <is>
          <t>2026-03-20_CLVR_at_HNTN</t>
        </is>
      </c>
      <c r="B158" s="10" t="n">
        <v>46101</v>
      </c>
      <c r="C158" t="inlineStr">
        <is>
          <t>Calvert HS</t>
        </is>
      </c>
      <c r="D158" t="inlineStr">
        <is>
          <t>HNTN</t>
        </is>
      </c>
      <c r="E158" t="inlineStr">
        <is>
          <t>J Laur</t>
        </is>
      </c>
      <c r="F158" t="n">
        <v>6</v>
      </c>
      <c r="G158" t="n">
        <v>9</v>
      </c>
      <c r="H158" t="n">
        <v>2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4</v>
      </c>
      <c r="P158" t="n">
        <v>0</v>
      </c>
      <c r="Q158" t="n">
        <v>0</v>
      </c>
      <c r="R158" t="inlineStr">
        <is>
          <t>T6–T7; entry inferred — no 'Lineup changed' logged (Flag #6); also bats HNTN lineup B2, B4, B6 and serves as PR in B4 (circular substitution, Flag #8)</t>
        </is>
      </c>
    </row>
    <row r="159">
      <c r="A159" t="inlineStr">
        <is>
          <t>2026-03-20_CLVR_at_HNTN</t>
        </is>
      </c>
      <c r="B159" s="10" t="n">
        <v>46101</v>
      </c>
      <c r="C159" t="inlineStr">
        <is>
          <t>Huntingtown Varsity Hurricanes</t>
        </is>
      </c>
      <c r="D159" t="inlineStr">
        <is>
          <t>CLVR</t>
        </is>
      </c>
      <c r="E159" t="inlineStr">
        <is>
          <t>J Lee</t>
        </is>
      </c>
      <c r="F159" t="n">
        <v>15</v>
      </c>
      <c r="G159" t="n">
        <v>21</v>
      </c>
      <c r="H159" t="n">
        <v>3</v>
      </c>
      <c r="I159" t="n">
        <v>3</v>
      </c>
      <c r="J159" t="n">
        <v>0</v>
      </c>
      <c r="K159" t="n">
        <v>0</v>
      </c>
      <c r="L159" t="n">
        <v>0</v>
      </c>
      <c r="M159" t="n">
        <v>3</v>
      </c>
      <c r="N159" t="n">
        <v>0</v>
      </c>
      <c r="O159" t="n">
        <v>8</v>
      </c>
      <c r="P159" t="n">
        <v>3</v>
      </c>
      <c r="Q159" t="n">
        <v>2</v>
      </c>
      <c r="R159" t="inlineStr">
        <is>
          <t>B1–B5; entry not logged with 'Lineup changed' — inferred from play descriptions (Flag #5); dropped 3rd strike B1 play #5 (R Bolger reaches on PB, K credited, no out); WP B1 play #6 (R Bolger adv 2nd) and play #10 (R Gaetano adv 2nd and 3rd — Flag #13, counted as 1 WP); R_Allowed includes: L Bennett (CR-R Bolger) scores on R Gaetano 1B (play #9), L Montgomery (CR-N McMurray) scores on WP (play #10), C Wargo steals home embedded in Runner Out (play #18); also bats CLVR lineup T1–T6</t>
        </is>
      </c>
    </row>
    <row r="160">
      <c r="A160" t="inlineStr">
        <is>
          <t>2026-03-20_CLVR_at_HNTN</t>
        </is>
      </c>
      <c r="B160" s="10" t="n">
        <v>46101</v>
      </c>
      <c r="C160" t="inlineStr">
        <is>
          <t>Huntingtown Varsity Hurricanes</t>
        </is>
      </c>
      <c r="D160" t="inlineStr">
        <is>
          <t>CLVR</t>
        </is>
      </c>
      <c r="E160" t="inlineStr">
        <is>
          <t>J Leichtweis</t>
        </is>
      </c>
      <c r="F160" t="n">
        <v>3</v>
      </c>
      <c r="G160" t="n">
        <v>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2</v>
      </c>
      <c r="P160" t="n">
        <v>1</v>
      </c>
      <c r="Q160" t="n">
        <v>3</v>
      </c>
      <c r="R160" t="inlineStr">
        <is>
          <t>B6 only; entry inferred — no 'Lineup changed' logged (Flag #7); 3 WPs: play #46 ×2 (R Gaetano adv 2nd, then 3rd) and play #47 (B Marlowe adv 3rd); 2 catcher errors by C Sacker in same half-inning (plays #46, #47, Flags #14, #15); R_Allowed: R Gaetano scores on catcher error play #46 (error, not WP); also bats CLVR lineup T2, T5, T7</t>
        </is>
      </c>
    </row>
    <row r="161">
      <c r="A161" t="inlineStr">
        <is>
          <t>2026-03-23_PTXN_at_HNTN</t>
        </is>
      </c>
      <c r="B161" s="10" t="n">
        <v>46104</v>
      </c>
      <c r="C161" t="inlineStr">
        <is>
          <t>Patuxent</t>
        </is>
      </c>
      <c r="D161" t="inlineStr">
        <is>
          <t>HNTN</t>
        </is>
      </c>
      <c r="E161" t="inlineStr">
        <is>
          <t>R Kessler</t>
        </is>
      </c>
      <c r="F161" t="n">
        <v>12</v>
      </c>
      <c r="G161" t="n">
        <v>21</v>
      </c>
      <c r="H161" t="n">
        <v>5</v>
      </c>
      <c r="I161" t="n">
        <v>4</v>
      </c>
      <c r="J161" t="n">
        <v>1</v>
      </c>
      <c r="K161" t="n">
        <v>0</v>
      </c>
      <c r="L161" t="n">
        <v>0</v>
      </c>
      <c r="M161" t="n">
        <v>2</v>
      </c>
      <c r="N161" t="n">
        <v>2</v>
      </c>
      <c r="O161" t="n">
        <v>4</v>
      </c>
      <c r="P161" t="n">
        <v>4</v>
      </c>
      <c r="Q161" t="n">
        <v>0</v>
      </c>
      <c r="R161" t="inlineStr">
        <is>
          <t>T1–T4; entry logged play #1; J Fields enters at start of R Whitney AB T5 play #44 (Flag #5); B Cowan CS home embedded in R Whitney AB play #4 (counted as out); T4 outburst: 4 runs allowed on 3 H, 1 BB, 2 HBP</t>
        </is>
      </c>
    </row>
    <row r="162">
      <c r="A162" t="inlineStr">
        <is>
          <t>2026-03-23_PTXN_at_HNTN</t>
        </is>
      </c>
      <c r="B162" s="10" t="n">
        <v>46104</v>
      </c>
      <c r="C162" t="inlineStr">
        <is>
          <t>Patuxent</t>
        </is>
      </c>
      <c r="D162" t="inlineStr">
        <is>
          <t>HNTN</t>
        </is>
      </c>
      <c r="E162" t="inlineStr">
        <is>
          <t>J Fields</t>
        </is>
      </c>
      <c r="F162" t="n">
        <v>9</v>
      </c>
      <c r="G162" t="n">
        <v>13</v>
      </c>
      <c r="H162" t="n">
        <v>3</v>
      </c>
      <c r="I162" t="n">
        <v>2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3</v>
      </c>
      <c r="P162" t="n">
        <v>0</v>
      </c>
      <c r="Q162" t="n">
        <v>1</v>
      </c>
      <c r="R162" t="inlineStr">
        <is>
          <t>T5 (enters at start of R Whitney AB play #44, Flag #5) through T7; WP T5 play #46 (N Kelly advances to 3rd); IW to C Jones T7 play #64 (counted as BB, Flag #14); strands N Kelly 2B and C Jones IW in T7 (C White K ends inning)</t>
        </is>
      </c>
    </row>
    <row r="163">
      <c r="A163" t="inlineStr">
        <is>
          <t>2026-03-23_PTXN_at_HNTN</t>
        </is>
      </c>
      <c r="B163" s="10" t="n">
        <v>46104</v>
      </c>
      <c r="C163" t="inlineStr">
        <is>
          <t>Huntingtown Varsity Hurricanes</t>
        </is>
      </c>
      <c r="D163" t="inlineStr">
        <is>
          <t>PTXN</t>
        </is>
      </c>
      <c r="E163" t="inlineStr">
        <is>
          <t>D Bradley</t>
        </is>
      </c>
      <c r="F163" t="n">
        <v>12</v>
      </c>
      <c r="G163" t="n">
        <v>22</v>
      </c>
      <c r="H163" t="n">
        <v>7</v>
      </c>
      <c r="I163" t="n">
        <v>7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2</v>
      </c>
      <c r="P163" t="n">
        <v>4</v>
      </c>
      <c r="Q163" t="n">
        <v>0</v>
      </c>
      <c r="R163" t="inlineStr">
        <is>
          <t>B1–B4; entry logged play #5; transition to T Lakey undocumented (Flag #6); PB during J Laur AB play #10 (J Cadden scores, J Hann advances — PB, not WP); also bats PTXN lineup T1, T3, T4, T6</t>
        </is>
      </c>
    </row>
    <row r="164">
      <c r="A164" t="inlineStr">
        <is>
          <t>2026-03-23_PTXN_at_HNTN</t>
        </is>
      </c>
      <c r="B164" s="10" t="n">
        <v>46104</v>
      </c>
      <c r="C164" t="inlineStr">
        <is>
          <t>Huntingtown Varsity Hurricanes</t>
        </is>
      </c>
      <c r="D164" t="inlineStr">
        <is>
          <t>PTXN</t>
        </is>
      </c>
      <c r="E164" t="inlineStr">
        <is>
          <t>T Lakey</t>
        </is>
      </c>
      <c r="F164" t="n">
        <v>4</v>
      </c>
      <c r="G164" t="n">
        <v>5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inlineStr">
        <is>
          <t>B5 and B6 partial (plays 55–56); entry inferred — no 'Lineup changed' logged (Flag #6); PB B6 play #56 (C Wargo advances to 2nd — PB, not WP); replaced by R Whitney between plays 56 and 57 (undocumented, Flag #6); also bats PTXN lineup T1, T3, T4, T6; credited as CF T2 play #18 (Flag #11)</t>
        </is>
      </c>
    </row>
    <row r="165">
      <c r="A165" t="inlineStr">
        <is>
          <t>2026-03-23_PTXN_at_HNTN</t>
        </is>
      </c>
      <c r="B165" s="10" t="n">
        <v>46104</v>
      </c>
      <c r="C165" t="inlineStr">
        <is>
          <t>Huntingtown Varsity Hurricanes</t>
        </is>
      </c>
      <c r="D165" t="inlineStr">
        <is>
          <t>PTXN</t>
        </is>
      </c>
      <c r="E165" t="inlineStr">
        <is>
          <t>R Whitney</t>
        </is>
      </c>
      <c r="F165" t="n">
        <v>2</v>
      </c>
      <c r="G165" t="n">
        <v>4</v>
      </c>
      <c r="H165" t="n">
        <v>2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inlineStr">
        <is>
          <t>B6 partial only (plays 57–60); entry inferred — no 'Lineup changed' logged (Flag #6); walk-off single by R Bolger play #58 allows C Wargo to score (Flag #13); also bats PTXN lineup T4, T5, T7</t>
        </is>
      </c>
    </row>
    <row r="166">
      <c r="A166" t="inlineStr">
        <is>
          <t>2026-03-25_MCDN_at_HNTN</t>
        </is>
      </c>
      <c r="B166" s="10" t="n">
        <v>46106</v>
      </c>
      <c r="C166" t="inlineStr">
        <is>
          <t>McDonough</t>
        </is>
      </c>
      <c r="D166" t="inlineStr">
        <is>
          <t>HNTN</t>
        </is>
      </c>
      <c r="E166" t="inlineStr">
        <is>
          <t>T Burghard</t>
        </is>
      </c>
      <c r="F166" t="n">
        <v>4</v>
      </c>
      <c r="G166" t="n">
        <v>12</v>
      </c>
      <c r="H166" t="n">
        <v>3</v>
      </c>
      <c r="I166" t="n">
        <v>3</v>
      </c>
      <c r="J166" t="n">
        <v>0</v>
      </c>
      <c r="K166" t="n">
        <v>0</v>
      </c>
      <c r="L166" t="n">
        <v>0</v>
      </c>
      <c r="M166" t="n">
        <v>3</v>
      </c>
      <c r="N166" t="n">
        <v>2</v>
      </c>
      <c r="O166" t="n">
        <v>0</v>
      </c>
      <c r="P166" t="n">
        <v>3</v>
      </c>
      <c r="Q166" t="n">
        <v>1</v>
      </c>
      <c r="R166" t="inlineStr">
        <is>
          <t>T1 and T2 partial (exits before #5 AB play #21, non-standard notation Flag #5); WP T2 play #17 (#3 scores, #18 advances to 3rd); T2 allows 3 R on 2 H, 3 BB, 2 HBP before L Bennett enters</t>
        </is>
      </c>
    </row>
    <row r="167">
      <c r="A167" t="inlineStr">
        <is>
          <t>2026-03-25_MCDN_at_HNTN</t>
        </is>
      </c>
      <c r="B167" s="10" t="n">
        <v>46106</v>
      </c>
      <c r="C167" t="inlineStr">
        <is>
          <t>McDonough</t>
        </is>
      </c>
      <c r="D167" t="inlineStr">
        <is>
          <t>HNTN</t>
        </is>
      </c>
      <c r="E167" t="inlineStr">
        <is>
          <t>L Bennett</t>
        </is>
      </c>
      <c r="F167" t="n">
        <v>8</v>
      </c>
      <c r="G167" t="n">
        <v>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3</v>
      </c>
      <c r="P167" t="n">
        <v>0</v>
      </c>
      <c r="Q167" t="n">
        <v>0</v>
      </c>
      <c r="R167" t="inlineStr">
        <is>
          <t>T2 partial (enters at start of #5 AB play #21, Flag #5) through T4; 3 Ks across T2–T4; 0 runs allowed</t>
        </is>
      </c>
    </row>
    <row r="168">
      <c r="A168" t="inlineStr">
        <is>
          <t>2026-03-25_MCDN_at_HNTN</t>
        </is>
      </c>
      <c r="B168" s="10" t="n">
        <v>46106</v>
      </c>
      <c r="C168" t="inlineStr">
        <is>
          <t>McDonough</t>
        </is>
      </c>
      <c r="D168" t="inlineStr">
        <is>
          <t>HNTN</t>
        </is>
      </c>
      <c r="E168" t="inlineStr">
        <is>
          <t>J Laur</t>
        </is>
      </c>
      <c r="F168" t="n">
        <v>3</v>
      </c>
      <c r="G168" t="n">
        <v>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3</v>
      </c>
      <c r="N168" t="n">
        <v>0</v>
      </c>
      <c r="O168" t="n">
        <v>2</v>
      </c>
      <c r="P168" t="n">
        <v>0</v>
      </c>
      <c r="Q168" t="n">
        <v>0</v>
      </c>
      <c r="R168" t="inlineStr">
        <is>
          <t>T5 and T6 partial (plays 62–63); entry inferred — no 'Lineup changed' logged (Flag #7); dropped 3rd strike T5 play #52 (#5 out at 1B — K credited, out recorded); 3 walks issued before N McMurray enters at start of #20 AB T6 play #64; also bats HNTN lineup B1–B6</t>
        </is>
      </c>
    </row>
    <row r="169">
      <c r="A169" t="inlineStr">
        <is>
          <t>2026-03-25_MCDN_at_HNTN</t>
        </is>
      </c>
      <c r="B169" s="10" t="n">
        <v>46106</v>
      </c>
      <c r="C169" t="inlineStr">
        <is>
          <t>McDonough</t>
        </is>
      </c>
      <c r="D169" t="inlineStr">
        <is>
          <t>HNTN</t>
        </is>
      </c>
      <c r="E169" t="inlineStr">
        <is>
          <t>N McMurray</t>
        </is>
      </c>
      <c r="F169" t="n">
        <v>6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2</v>
      </c>
      <c r="P169" t="n">
        <v>1</v>
      </c>
      <c r="Q169" t="n">
        <v>0</v>
      </c>
      <c r="R169" t="inlineStr">
        <is>
          <t>T6 partial (enters start of #20 AB play #64) through T7; CR MCDN_#14 (for #10) scores T6 on #16 GO play #65 (R_Allowed=1); also bats HNTN lineup B1–B6</t>
        </is>
      </c>
    </row>
    <row r="170">
      <c r="A170" t="inlineStr">
        <is>
          <t>2026-03-25_MCDN_at_HNTN</t>
        </is>
      </c>
      <c r="B170" s="10" t="n">
        <v>46106</v>
      </c>
      <c r="C170" t="inlineStr">
        <is>
          <t>Huntingtown Varsity Hurricanes</t>
        </is>
      </c>
      <c r="D170" t="inlineStr">
        <is>
          <t>MCDN</t>
        </is>
      </c>
      <c r="E170" t="inlineStr">
        <is>
          <t>MCDN_#20</t>
        </is>
      </c>
      <c r="F170" t="n">
        <v>6</v>
      </c>
      <c r="G170" t="n">
        <v>14</v>
      </c>
      <c r="H170" t="n">
        <v>5</v>
      </c>
      <c r="I170" t="n">
        <v>1</v>
      </c>
      <c r="J170" t="n">
        <v>4</v>
      </c>
      <c r="K170" t="n">
        <v>0</v>
      </c>
      <c r="L170" t="n">
        <v>0</v>
      </c>
      <c r="M170" t="n">
        <v>4</v>
      </c>
      <c r="N170" t="n">
        <v>0</v>
      </c>
      <c r="O170" t="n">
        <v>2</v>
      </c>
      <c r="P170" t="n">
        <v>2</v>
      </c>
      <c r="Q170" t="n">
        <v>0</v>
      </c>
      <c r="R170" t="inlineStr">
        <is>
          <t>B1–B2; entry logged play #6; PB B1 play #8 (N McMurray advances to 3rd — PB, not WP); also bats MCDN lineup T1, T2, T4, T6</t>
        </is>
      </c>
    </row>
    <row r="171">
      <c r="A171" t="inlineStr">
        <is>
          <t>2026-03-25_MCDN_at_HNTN</t>
        </is>
      </c>
      <c r="B171" s="10" t="n">
        <v>46106</v>
      </c>
      <c r="C171" t="inlineStr">
        <is>
          <t>Huntingtown Varsity Hurricanes</t>
        </is>
      </c>
      <c r="D171" t="inlineStr">
        <is>
          <t>MCDN</t>
        </is>
      </c>
      <c r="E171" t="inlineStr">
        <is>
          <t>MCDN_#18</t>
        </is>
      </c>
      <c r="F171" t="n">
        <v>3</v>
      </c>
      <c r="G171" t="n">
        <v>9</v>
      </c>
      <c r="H171" t="n">
        <v>2</v>
      </c>
      <c r="I171" t="n">
        <v>2</v>
      </c>
      <c r="J171" t="n">
        <v>0</v>
      </c>
      <c r="K171" t="n">
        <v>0</v>
      </c>
      <c r="L171" t="n">
        <v>0</v>
      </c>
      <c r="M171" t="n">
        <v>3</v>
      </c>
      <c r="N171" t="n">
        <v>0</v>
      </c>
      <c r="O171" t="n">
        <v>1</v>
      </c>
      <c r="P171" t="n">
        <v>3</v>
      </c>
      <c r="Q171" t="n">
        <v>1</v>
      </c>
      <c r="R171" t="inlineStr">
        <is>
          <t>B3 only; entry non-standard notation play #32 (Flag #5); WP play #36 (B Marlowe to 3rd, C Wargo to 2nd — both on same pitch); also bats MCDN T2, T3, T5 and replaced by MCDN_#4 PH in T7</t>
        </is>
      </c>
    </row>
    <row r="172">
      <c r="A172" t="inlineStr">
        <is>
          <t>2026-03-25_MCDN_at_HNTN</t>
        </is>
      </c>
      <c r="B172" s="10" t="n">
        <v>46106</v>
      </c>
      <c r="C172" t="inlineStr">
        <is>
          <t>Huntingtown Varsity Hurricanes</t>
        </is>
      </c>
      <c r="D172" t="inlineStr">
        <is>
          <t>MCDN</t>
        </is>
      </c>
      <c r="E172" t="inlineStr">
        <is>
          <t>MCDN_#21</t>
        </is>
      </c>
      <c r="F172" t="n">
        <v>9</v>
      </c>
      <c r="G172" t="n">
        <v>18</v>
      </c>
      <c r="H172" t="n">
        <v>3</v>
      </c>
      <c r="I172" t="n">
        <v>3</v>
      </c>
      <c r="J172" t="n">
        <v>0</v>
      </c>
      <c r="K172" t="n">
        <v>0</v>
      </c>
      <c r="L172" t="n">
        <v>0</v>
      </c>
      <c r="M172" t="n">
        <v>4</v>
      </c>
      <c r="N172" t="n">
        <v>0</v>
      </c>
      <c r="O172" t="n">
        <v>4</v>
      </c>
      <c r="P172" t="n">
        <v>1</v>
      </c>
      <c r="Q172" t="n">
        <v>0</v>
      </c>
      <c r="R172" t="inlineStr">
        <is>
          <t>B4–B6; entry inferred — no 'Lineup changed' logged (Flags #6, #8); also bats MCDN T1 and T2</t>
        </is>
      </c>
    </row>
    <row r="173">
      <c r="A173" t="inlineStr">
        <is>
          <t>2026-03-30_CHPT_at_HNTN</t>
        </is>
      </c>
      <c r="B173" s="10" t="n">
        <v>46111</v>
      </c>
      <c r="C173" t="inlineStr">
        <is>
          <t>Chopticon</t>
        </is>
      </c>
      <c r="D173" t="inlineStr">
        <is>
          <t>HNTN</t>
        </is>
      </c>
      <c r="E173" t="inlineStr">
        <is>
          <t>N McMurray</t>
        </is>
      </c>
      <c r="F173" t="n">
        <v>12</v>
      </c>
      <c r="G173" t="n">
        <v>18</v>
      </c>
      <c r="H173" t="n">
        <v>4</v>
      </c>
      <c r="I173" t="n">
        <v>2</v>
      </c>
      <c r="J173" t="n">
        <v>1</v>
      </c>
      <c r="K173" t="n">
        <v>0</v>
      </c>
      <c r="L173" t="n">
        <v>1</v>
      </c>
      <c r="M173" t="n">
        <v>3</v>
      </c>
      <c r="N173" t="n">
        <v>0</v>
      </c>
      <c r="O173" t="n">
        <v>5</v>
      </c>
      <c r="P173" t="n">
        <v>2</v>
      </c>
      <c r="Q173" t="n">
        <v>0</v>
      </c>
      <c r="R173" t="inlineStr">
        <is>
          <t>T1–T4; entry logged play #1; Runner Out play #15 (CR #7 picked off — 1 out counted); #3 solo HR T3 play #21; CR #13 (for #9) forced home T4 on #1 bases-loaded walk play #34 included in R_Allowed; also bats HNTN lineup B1–B6</t>
        </is>
      </c>
    </row>
    <row r="174">
      <c r="A174" t="inlineStr">
        <is>
          <t>2026-03-30_CHPT_at_HNTN</t>
        </is>
      </c>
      <c r="B174" s="10" t="n">
        <v>46111</v>
      </c>
      <c r="C174" t="inlineStr">
        <is>
          <t>Chopticon</t>
        </is>
      </c>
      <c r="D174" t="inlineStr">
        <is>
          <t>HNTN</t>
        </is>
      </c>
      <c r="E174" t="inlineStr">
        <is>
          <t>R Kessler</t>
        </is>
      </c>
      <c r="F174" t="n">
        <v>6</v>
      </c>
      <c r="G174" t="n">
        <v>8</v>
      </c>
      <c r="H174" t="n">
        <v>2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2</v>
      </c>
      <c r="P174" t="n">
        <v>0</v>
      </c>
      <c r="Q174" t="n">
        <v>0</v>
      </c>
      <c r="R174" t="inlineStr">
        <is>
          <t>T5–T6; entry logged play #45; DP T5 play #47 (2 outs); dropped 3rd K T6 play #56 (#1 out at 1B — K credited, out recorded); also CR for N McMurray B1 play #9 (Flag #12)</t>
        </is>
      </c>
    </row>
    <row r="175">
      <c r="A175" t="inlineStr">
        <is>
          <t>2026-03-30_CHPT_at_HNTN</t>
        </is>
      </c>
      <c r="B175" s="10" t="n">
        <v>46111</v>
      </c>
      <c r="C175" t="inlineStr">
        <is>
          <t>Huntingtown Varsity Hurricanes</t>
        </is>
      </c>
      <c r="D175" t="inlineStr">
        <is>
          <t>CHPT</t>
        </is>
      </c>
      <c r="E175" t="inlineStr">
        <is>
          <t>CHPT_#11</t>
        </is>
      </c>
      <c r="F175" t="n">
        <v>10</v>
      </c>
      <c r="G175" t="n">
        <v>20</v>
      </c>
      <c r="H175" t="n">
        <v>7</v>
      </c>
      <c r="I175" t="n">
        <v>5</v>
      </c>
      <c r="J175" t="n">
        <v>1</v>
      </c>
      <c r="K175" t="n">
        <v>0</v>
      </c>
      <c r="L175" t="n">
        <v>1</v>
      </c>
      <c r="M175" t="n">
        <v>0</v>
      </c>
      <c r="N175" t="n">
        <v>2</v>
      </c>
      <c r="O175" t="n">
        <v>1</v>
      </c>
      <c r="P175" t="n">
        <v>5</v>
      </c>
      <c r="Q175" t="n">
        <v>0</v>
      </c>
      <c r="R175" t="inlineStr">
        <is>
          <t>B1–B3 and B4 partial (exits before J Cadden AB play #40); 2 HBPs (R Gaetano B1 play #9; G Grimes B4 play #37); N McMurray 2-run HR B3 play #25 in R_Allowed; B Marlowe and G Grimes score on J Hann single B4 play #39 in R_Allowed; also bats CHPT T2, T4; CR CHPT_#7 in T2 for #11 (picked off play #15)</t>
        </is>
      </c>
    </row>
    <row r="176">
      <c r="A176" t="inlineStr">
        <is>
          <t>2026-03-30_CHPT_at_HNTN</t>
        </is>
      </c>
      <c r="B176" s="10" t="n">
        <v>46111</v>
      </c>
      <c r="C176" t="inlineStr">
        <is>
          <t>Huntingtown Varsity Hurricanes</t>
        </is>
      </c>
      <c r="D176" t="inlineStr">
        <is>
          <t>CHPT</t>
        </is>
      </c>
      <c r="E176" t="inlineStr">
        <is>
          <t>CHPT_#15</t>
        </is>
      </c>
      <c r="F176" t="n">
        <v>6</v>
      </c>
      <c r="G176" t="n">
        <v>12</v>
      </c>
      <c r="H176" t="n">
        <v>6</v>
      </c>
      <c r="I176" t="n">
        <v>2</v>
      </c>
      <c r="J176" t="n">
        <v>2</v>
      </c>
      <c r="K176" t="n">
        <v>0</v>
      </c>
      <c r="L176" t="n">
        <v>2</v>
      </c>
      <c r="M176" t="n">
        <v>0</v>
      </c>
      <c r="N176" t="n">
        <v>0</v>
      </c>
      <c r="O176" t="n">
        <v>0</v>
      </c>
      <c r="P176" t="n">
        <v>5</v>
      </c>
      <c r="Q176" t="n">
        <v>0</v>
      </c>
      <c r="R176" t="inlineStr">
        <is>
          <t>B4 partial (enters start of J Cadden AB play #40) through B5 and B6 partial (exits before J Laur AB play #60); N McMurray 3-run HR B4 play #41 in R_Allowed; N McMurray 2-run HR B6 play #58 in R_Allowed; also bats CHPT T6 play #55 (Flag #14)</t>
        </is>
      </c>
    </row>
    <row r="177">
      <c r="A177" t="inlineStr">
        <is>
          <t>2026-03-30_CHPT_at_HNTN</t>
        </is>
      </c>
      <c r="B177" s="10" t="n">
        <v>46111</v>
      </c>
      <c r="C177" t="inlineStr">
        <is>
          <t>Huntingtown Varsity Hurricanes</t>
        </is>
      </c>
      <c r="D177" t="inlineStr">
        <is>
          <t>CHPT</t>
        </is>
      </c>
      <c r="E177" t="inlineStr">
        <is>
          <t>CHPT_#13</t>
        </is>
      </c>
      <c r="F177" t="n">
        <v>1</v>
      </c>
      <c r="G177" t="n">
        <v>5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2</v>
      </c>
      <c r="O177" t="n">
        <v>0</v>
      </c>
      <c r="P177" t="n">
        <v>2</v>
      </c>
      <c r="Q177" t="n">
        <v>1</v>
      </c>
      <c r="R177" t="inlineStr">
        <is>
          <t>B6 only (plays #60–#64); entry logged play #60; WP play #61 (J Laur advances to 2nd); 2 HBPs (J Laur play #60; T Burghard play #63); J Laur scores on embedded SS #6 error play #63 included in R_Allowed; J Walter scores on R Bolger single play #64 included in R_Allowed; J Hann incomplete AB play #65 (game ends, not a PA); also CHPT CR for #9 in T4 and T6 (Flag #13)</t>
        </is>
      </c>
    </row>
    <row r="178">
      <c r="A178" t="inlineStr">
        <is>
          <t>2026-04-01_RVRH_at_NRTH</t>
        </is>
      </c>
      <c r="B178" s="10" t="n">
        <v>46113</v>
      </c>
      <c r="C178" t="inlineStr">
        <is>
          <t>North Point Varsity Eagles</t>
        </is>
      </c>
      <c r="D178" t="inlineStr">
        <is>
          <t>NRTH</t>
        </is>
      </c>
      <c r="E178" t="inlineStr">
        <is>
          <t>A Espejo</t>
        </is>
      </c>
      <c r="F178" t="n">
        <v>21</v>
      </c>
      <c r="G178" t="n">
        <v>32</v>
      </c>
      <c r="H178" t="n">
        <v>9</v>
      </c>
      <c r="I178" t="n">
        <v>8</v>
      </c>
      <c r="J178" t="n">
        <v>1</v>
      </c>
      <c r="K178" t="n">
        <v>0</v>
      </c>
      <c r="L178" t="n">
        <v>0</v>
      </c>
      <c r="M178" t="n">
        <v>2</v>
      </c>
      <c r="N178" t="n">
        <v>2</v>
      </c>
      <c r="O178" t="n">
        <v>4</v>
      </c>
      <c r="P178" t="n">
        <v>6</v>
      </c>
      <c r="Q178" t="n">
        <v>0</v>
      </c>
      <c r="R178" t="inlineStr">
        <is>
          <t>T1-T7 (all 7 innings); entry documented (Lineup changed note, play #1 Notes); also bats as NRTH player</t>
        </is>
      </c>
    </row>
    <row r="179">
      <c r="A179" t="inlineStr">
        <is>
          <t>2026-04-01_RVRH_at_NRTH</t>
        </is>
      </c>
      <c r="B179" s="10" t="n">
        <v>46113</v>
      </c>
      <c r="C179" t="inlineStr">
        <is>
          <t>North Point Varsity Eagles</t>
        </is>
      </c>
      <c r="D179" t="inlineStr">
        <is>
          <t>RVRH</t>
        </is>
      </c>
      <c r="E179" t="inlineStr">
        <is>
          <t>R Walsh</t>
        </is>
      </c>
      <c r="F179" t="n">
        <v>9</v>
      </c>
      <c r="G179" t="n">
        <v>13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3</v>
      </c>
      <c r="N179" t="n">
        <v>1</v>
      </c>
      <c r="O179" t="n">
        <v>3</v>
      </c>
      <c r="P179" t="n">
        <v>1</v>
      </c>
      <c r="Q179" t="n">
        <v>0</v>
      </c>
      <c r="R179" t="inlineStr">
        <is>
          <t>B1-B3; entry not documented — see Flag #1; exit inferred from E McCoy pitching B4; also bats as RVRH player</t>
        </is>
      </c>
    </row>
    <row r="180">
      <c r="A180" t="inlineStr">
        <is>
          <t>2026-04-01_RVRH_at_NRTH</t>
        </is>
      </c>
      <c r="B180" s="10" t="n">
        <v>46113</v>
      </c>
      <c r="C180" t="inlineStr">
        <is>
          <t>North Point Varsity Eagles</t>
        </is>
      </c>
      <c r="D180" t="inlineStr">
        <is>
          <t>RVRH</t>
        </is>
      </c>
      <c r="E180" t="inlineStr">
        <is>
          <t>E McCoy</t>
        </is>
      </c>
      <c r="F180" t="n">
        <v>9</v>
      </c>
      <c r="G180" t="n">
        <v>13</v>
      </c>
      <c r="H180" t="n">
        <v>2</v>
      </c>
      <c r="I180" t="n">
        <v>2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2</v>
      </c>
      <c r="P180" t="n">
        <v>1</v>
      </c>
      <c r="Q180" t="n">
        <v>1</v>
      </c>
      <c r="R180" t="inlineStr">
        <is>
          <t>B4-B6; entry not documented — see Flag #2; exit documented (E Skolkin in play #62); WP B6 during Pettro AB (embedded play #56)</t>
        </is>
      </c>
    </row>
    <row r="181">
      <c r="A181" t="inlineStr">
        <is>
          <t>2026-04-01_RVRH_at_NRTH</t>
        </is>
      </c>
      <c r="B181" s="10" t="n">
        <v>46113</v>
      </c>
      <c r="C181" t="inlineStr">
        <is>
          <t>North Point Varsity Eagles</t>
        </is>
      </c>
      <c r="D181" t="inlineStr">
        <is>
          <t>RVRH</t>
        </is>
      </c>
      <c r="E181" t="inlineStr">
        <is>
          <t>E Skolkin</t>
        </is>
      </c>
      <c r="F181" t="n">
        <v>3</v>
      </c>
      <c r="G181" t="n">
        <v>6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2</v>
      </c>
      <c r="N181" t="n">
        <v>0</v>
      </c>
      <c r="O181" t="n">
        <v>1</v>
      </c>
      <c r="P181" t="n">
        <v>2</v>
      </c>
      <c r="Q181" t="n">
        <v>0</v>
      </c>
      <c r="R181" t="inlineStr">
        <is>
          <t>B7; entry documented ('Lineup changed: E Skolkin in at pitcher', play #62 Notes)</t>
        </is>
      </c>
    </row>
    <row r="182">
      <c r="A182" t="inlineStr">
        <is>
          <t>2026-04-01_OLDM_at_RVRH</t>
        </is>
      </c>
      <c r="B182" s="10" t="n">
        <v>46113</v>
      </c>
      <c r="C182" t="inlineStr">
        <is>
          <t>Old Mill Varsity Patriots</t>
        </is>
      </c>
      <c r="D182" t="inlineStr">
        <is>
          <t>RVRH</t>
        </is>
      </c>
      <c r="E182" t="inlineStr">
        <is>
          <t>H Zhang</t>
        </is>
      </c>
      <c r="F182" t="n">
        <v>12</v>
      </c>
      <c r="G182" t="n">
        <v>18</v>
      </c>
      <c r="H182" t="n">
        <v>2</v>
      </c>
      <c r="I182" t="n">
        <v>2</v>
      </c>
      <c r="J182" t="n">
        <v>0</v>
      </c>
      <c r="K182" t="n">
        <v>0</v>
      </c>
      <c r="L182" t="n">
        <v>0</v>
      </c>
      <c r="M182" t="n">
        <v>5</v>
      </c>
      <c r="N182" t="n">
        <v>0</v>
      </c>
      <c r="O182" t="n">
        <v>3</v>
      </c>
      <c r="P182" t="n">
        <v>2</v>
      </c>
      <c r="Q182" t="n">
        <v>0</v>
      </c>
      <c r="R182" t="inlineStr">
        <is>
          <t>T1-T4 (12 outs); entry documented (play #1 note); exit when A Wu enters T5 (play #39 note); also bats as RVRH player</t>
        </is>
      </c>
    </row>
    <row r="183">
      <c r="A183" t="inlineStr">
        <is>
          <t>2026-04-01_OLDM_at_RVRH</t>
        </is>
      </c>
      <c r="B183" s="10" t="n">
        <v>46113</v>
      </c>
      <c r="C183" t="inlineStr">
        <is>
          <t>Old Mill Varsity Patriots</t>
        </is>
      </c>
      <c r="D183" t="inlineStr">
        <is>
          <t>RVRH</t>
        </is>
      </c>
      <c r="E183" t="inlineStr">
        <is>
          <t>A Wu</t>
        </is>
      </c>
      <c r="F183" t="n">
        <v>1</v>
      </c>
      <c r="G183" t="n">
        <v>4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1</v>
      </c>
      <c r="R183" t="inlineStr">
        <is>
          <t>T5 plays #39-42; entry documented (play #39 note); exits mid-AB during K Poucher AB when C Reis enters (play #43 note); WP T5 during T Thompson Walk AB (embedded play #42)</t>
        </is>
      </c>
    </row>
    <row r="184">
      <c r="A184" t="inlineStr">
        <is>
          <t>2026-04-01_OLDM_at_RVRH</t>
        </is>
      </c>
      <c r="B184" s="10" t="n">
        <v>46113</v>
      </c>
      <c r="C184" t="inlineStr">
        <is>
          <t>Old Mill Varsity Patriots</t>
        </is>
      </c>
      <c r="D184" t="inlineStr">
        <is>
          <t>RVRH</t>
        </is>
      </c>
      <c r="E184" t="inlineStr">
        <is>
          <t>C Reis</t>
        </is>
      </c>
      <c r="F184" t="n">
        <v>5</v>
      </c>
      <c r="G184" t="n">
        <v>10</v>
      </c>
      <c r="H184" t="n">
        <v>3</v>
      </c>
      <c r="I184" t="n">
        <v>3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4</v>
      </c>
      <c r="P184" t="n">
        <v>3</v>
      </c>
      <c r="Q184" t="n">
        <v>0</v>
      </c>
      <c r="R184" t="inlineStr">
        <is>
          <t>T5 mid-AB (K Poucher AB, play #43 note) + T6 + K Poucher BB T7 (play #63); exit inferred when J Norwood appears (Flag #3); 4 K_S; PB T5 during M Dauer-McGarrett AB (embedded play #44) — not in schema; also bats as RVRH player</t>
        </is>
      </c>
    </row>
    <row r="185">
      <c r="A185" t="inlineStr">
        <is>
          <t>2026-04-01_OLDM_at_RVRH</t>
        </is>
      </c>
      <c r="B185" s="10" t="n">
        <v>46113</v>
      </c>
      <c r="C185" t="inlineStr">
        <is>
          <t>Old Mill Varsity Patriots</t>
        </is>
      </c>
      <c r="D185" t="inlineStr">
        <is>
          <t>RVRH</t>
        </is>
      </c>
      <c r="E185" t="inlineStr">
        <is>
          <t>J Norwood</t>
        </is>
      </c>
      <c r="F185" t="n">
        <v>1</v>
      </c>
      <c r="G185" t="n">
        <v>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  <c r="N185" t="n">
        <v>2</v>
      </c>
      <c r="O185" t="n">
        <v>0</v>
      </c>
      <c r="P185" t="n">
        <v>1</v>
      </c>
      <c r="Q185" t="n">
        <v>0</v>
      </c>
      <c r="R185" t="inlineStr">
        <is>
          <t>T7 plays #64-67; entry inferred when J Norwood named pitching (Flag #3); exit when C Nichols inferred (Flag #4); CS out credited (K Poucher CS embedded in play #64); also bats as RVRH player</t>
        </is>
      </c>
    </row>
    <row r="186">
      <c r="A186" t="inlineStr">
        <is>
          <t>2026-04-01_OLDM_at_RVRH</t>
        </is>
      </c>
      <c r="B186" s="10" t="n">
        <v>46113</v>
      </c>
      <c r="C186" t="inlineStr">
        <is>
          <t>Old Mill Varsity Patriots</t>
        </is>
      </c>
      <c r="D186" t="inlineStr">
        <is>
          <t>RVRH</t>
        </is>
      </c>
      <c r="E186" t="inlineStr">
        <is>
          <t>C Nichols</t>
        </is>
      </c>
      <c r="F186" t="n">
        <v>2</v>
      </c>
      <c r="G186" t="n">
        <v>7</v>
      </c>
      <c r="H186" t="n">
        <v>4</v>
      </c>
      <c r="I186" t="n">
        <v>3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7</v>
      </c>
      <c r="Q186" t="n">
        <v>0</v>
      </c>
      <c r="R186" t="inlineStr">
        <is>
          <t>T7 plays #68-74; entry inferred when T Martini walks (Flag #4); also bats as RVRH player</t>
        </is>
      </c>
    </row>
    <row r="187">
      <c r="A187" t="inlineStr">
        <is>
          <t>2026-04-01_OLDM_at_RVRH</t>
        </is>
      </c>
      <c r="B187" s="10" t="n">
        <v>46113</v>
      </c>
      <c r="C187" t="inlineStr">
        <is>
          <t>Old Mill Varsity Patriots</t>
        </is>
      </c>
      <c r="D187" t="inlineStr">
        <is>
          <t>OLDM</t>
        </is>
      </c>
      <c r="E187" t="inlineStr">
        <is>
          <t>T Martini</t>
        </is>
      </c>
      <c r="F187" t="n">
        <v>9</v>
      </c>
      <c r="G187" t="n">
        <v>14</v>
      </c>
      <c r="H187" t="n">
        <v>2</v>
      </c>
      <c r="I187" t="n">
        <v>2</v>
      </c>
      <c r="J187" t="n">
        <v>0</v>
      </c>
      <c r="K187" t="n">
        <v>0</v>
      </c>
      <c r="L187" t="n">
        <v>0</v>
      </c>
      <c r="M187" t="n">
        <v>2</v>
      </c>
      <c r="N187" t="n">
        <v>0</v>
      </c>
      <c r="O187" t="n">
        <v>2</v>
      </c>
      <c r="P187" t="n">
        <v>3</v>
      </c>
      <c r="Q187" t="n">
        <v>2</v>
      </c>
      <c r="R187" t="inlineStr">
        <is>
          <t>B1-B3; entry not documented — see Flag #1; exit when R Harting enters B4 (play #33 note); 2 WP (plays #14 and #24); also bats as OLDM player</t>
        </is>
      </c>
    </row>
    <row r="188">
      <c r="A188" t="inlineStr">
        <is>
          <t>2026-04-01_OLDM_at_RVRH</t>
        </is>
      </c>
      <c r="B188" s="10" t="n">
        <v>46113</v>
      </c>
      <c r="C188" t="inlineStr">
        <is>
          <t>Old Mill Varsity Patriots</t>
        </is>
      </c>
      <c r="D188" t="inlineStr">
        <is>
          <t>OLDM</t>
        </is>
      </c>
      <c r="E188" t="inlineStr">
        <is>
          <t>R Harting</t>
        </is>
      </c>
      <c r="F188" t="n">
        <v>6</v>
      </c>
      <c r="G188" t="n">
        <v>10</v>
      </c>
      <c r="H188" t="n">
        <v>3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3</v>
      </c>
      <c r="Q188" t="n">
        <v>0</v>
      </c>
      <c r="R188" t="inlineStr">
        <is>
          <t>B4-B5; entry documented (Lineup changed, play #33); exit inferred (Flag #2) when T Richmond appears B6</t>
        </is>
      </c>
    </row>
    <row r="189">
      <c r="A189" t="inlineStr">
        <is>
          <t>2026-04-01_OLDM_at_RVRH</t>
        </is>
      </c>
      <c r="B189" s="10" t="n">
        <v>46113</v>
      </c>
      <c r="C189" t="inlineStr">
        <is>
          <t>Old Mill Varsity Patriots</t>
        </is>
      </c>
      <c r="D189" t="inlineStr">
        <is>
          <t>OLDM</t>
        </is>
      </c>
      <c r="E189" t="inlineStr">
        <is>
          <t>T Richmond</t>
        </is>
      </c>
      <c r="F189" t="n">
        <v>3</v>
      </c>
      <c r="G189" t="n">
        <v>7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2</v>
      </c>
      <c r="N189" t="n">
        <v>1</v>
      </c>
      <c r="O189" t="n">
        <v>1</v>
      </c>
      <c r="P189" t="n">
        <v>1</v>
      </c>
      <c r="Q189" t="n">
        <v>0</v>
      </c>
      <c r="R189" t="inlineStr">
        <is>
          <t>B6; entry inferred (Flag #2); exit inferred (Flag #5); PB B6 during B Bixby Walk AB (embedded play #60) — not in schema; also bats as OLDM player</t>
        </is>
      </c>
    </row>
    <row r="190">
      <c r="A190" t="inlineStr">
        <is>
          <t>2026-04-01_OLDM_at_RVRH</t>
        </is>
      </c>
      <c r="B190" s="10" t="n">
        <v>46113</v>
      </c>
      <c r="C190" t="inlineStr">
        <is>
          <t>Old Mill Varsity Patriots</t>
        </is>
      </c>
      <c r="D190" t="inlineStr">
        <is>
          <t>OLDM</t>
        </is>
      </c>
      <c r="E190" t="inlineStr">
        <is>
          <t>C Koreck</t>
        </is>
      </c>
      <c r="F190" t="n">
        <v>2</v>
      </c>
      <c r="G190" t="n">
        <v>7</v>
      </c>
      <c r="H190" t="n">
        <v>4</v>
      </c>
      <c r="I190" t="n">
        <v>2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  <c r="O190" t="n">
        <v>2</v>
      </c>
      <c r="P190" t="n">
        <v>3</v>
      </c>
      <c r="Q190" t="n">
        <v>1</v>
      </c>
      <c r="R190" t="inlineStr">
        <is>
          <t>B7 plays #75-81; entry inferred (Flag #5); exit when B Rzepkoski appears (Flag #6); WP B7 during B Bixby Strikeout AB (embedded play #81); also bats as OLDM player</t>
        </is>
      </c>
    </row>
    <row r="191">
      <c r="A191" t="inlineStr">
        <is>
          <t>2026-04-01_OLDM_at_RVRH</t>
        </is>
      </c>
      <c r="B191" s="10" t="n">
        <v>46113</v>
      </c>
      <c r="C191" t="inlineStr">
        <is>
          <t>Old Mill Varsity Patriots</t>
        </is>
      </c>
      <c r="D191" t="inlineStr">
        <is>
          <t>OLDM</t>
        </is>
      </c>
      <c r="E191" t="inlineStr">
        <is>
          <t>B Rzepkoski</t>
        </is>
      </c>
      <c r="F191" t="n">
        <v>1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B7 plays #82-83; entry inferred (Flag #6); also bats as OLDM player</t>
        </is>
      </c>
    </row>
    <row r="192">
      <c r="A192" t="inlineStr">
        <is>
          <t>2026-03-31_DMSC_at_HWRD</t>
        </is>
      </c>
      <c r="B192" s="10" t="n">
        <v>46112</v>
      </c>
      <c r="C192" t="inlineStr">
        <is>
          <t>Howard Varsity Lions</t>
        </is>
      </c>
      <c r="D192" t="inlineStr">
        <is>
          <t>DMSC</t>
        </is>
      </c>
      <c r="E192" t="inlineStr">
        <is>
          <t>Thomas Malouf</t>
        </is>
      </c>
      <c r="F192" t="n">
        <v>15</v>
      </c>
      <c r="G192" t="n">
        <v>17</v>
      </c>
      <c r="H192" t="n">
        <v>2</v>
      </c>
      <c r="M192" t="n">
        <v>0</v>
      </c>
      <c r="N192" t="n">
        <v>0</v>
      </c>
      <c r="O192" t="n">
        <v>3</v>
      </c>
      <c r="P192" t="n">
        <v>0</v>
      </c>
      <c r="Q192" t="n">
        <v>1</v>
      </c>
      <c r="R192" t="inlineStr">
        <is>
          <t>(W) designation; not written to column. Pitches-Strikes: 49-35. ER=0 = R_Allowed.</t>
        </is>
      </c>
    </row>
    <row r="193">
      <c r="A193" t="inlineStr">
        <is>
          <t>2026-03-31_DMSC_at_HWRD</t>
        </is>
      </c>
      <c r="B193" s="10" t="n">
        <v>46112</v>
      </c>
      <c r="C193" t="inlineStr">
        <is>
          <t>Howard Varsity Lions</t>
        </is>
      </c>
      <c r="D193" t="inlineStr">
        <is>
          <t>DMSC</t>
        </is>
      </c>
      <c r="E193" t="inlineStr">
        <is>
          <t>C Gardner</t>
        </is>
      </c>
      <c r="F193" t="n">
        <v>3</v>
      </c>
      <c r="G193" t="n">
        <v>4</v>
      </c>
      <c r="H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Name in source: Conor Gardner. Pitches-Strikes: 13-6. ER=0 = R_Allowed.</t>
        </is>
      </c>
    </row>
    <row r="194">
      <c r="A194" t="inlineStr">
        <is>
          <t>2026-03-31_DMSC_at_HWRD</t>
        </is>
      </c>
      <c r="B194" s="10" t="n">
        <v>46112</v>
      </c>
      <c r="C194" t="inlineStr">
        <is>
          <t>Damascus Varsity Hornets</t>
        </is>
      </c>
      <c r="D194" t="inlineStr">
        <is>
          <t>HWRD</t>
        </is>
      </c>
      <c r="E194" t="inlineStr">
        <is>
          <t>A Proescher</t>
        </is>
      </c>
      <c r="F194" t="n">
        <v>6</v>
      </c>
      <c r="G194" t="n">
        <v>10</v>
      </c>
      <c r="H194" t="n">
        <v>3</v>
      </c>
      <c r="M194" t="n">
        <v>0</v>
      </c>
      <c r="N194" t="n">
        <v>1</v>
      </c>
      <c r="O194" t="n">
        <v>4</v>
      </c>
      <c r="P194" t="n">
        <v>3</v>
      </c>
      <c r="Q194" t="n">
        <v>1</v>
      </c>
      <c r="R194" t="inlineStr">
        <is>
          <t>(L) designation; not written to column. Name in source: Austin Proescher. ER=2; R_Allowed=3 — 1 unearned run allowed.</t>
        </is>
      </c>
    </row>
    <row r="195">
      <c r="A195" t="inlineStr">
        <is>
          <t>2026-03-31_DMSC_at_HWRD</t>
        </is>
      </c>
      <c r="B195" s="10" t="n">
        <v>46112</v>
      </c>
      <c r="C195" t="inlineStr">
        <is>
          <t>Damascus Varsity Hornets</t>
        </is>
      </c>
      <c r="D195" t="inlineStr">
        <is>
          <t>HWRD</t>
        </is>
      </c>
      <c r="E195" t="inlineStr">
        <is>
          <t>Thomas Estrada</t>
        </is>
      </c>
      <c r="F195" t="n">
        <v>4</v>
      </c>
      <c r="G195" t="n">
        <v>8</v>
      </c>
      <c r="H195" t="n">
        <v>1</v>
      </c>
      <c r="M195" t="n">
        <v>3</v>
      </c>
      <c r="N195" t="n">
        <v>0</v>
      </c>
      <c r="O195" t="n">
        <v>3</v>
      </c>
      <c r="P195" t="n">
        <v>2</v>
      </c>
      <c r="Q195" t="n">
        <v>0</v>
      </c>
      <c r="R195" t="inlineStr">
        <is>
          <t>ER=2 = R_Allowed.</t>
        </is>
      </c>
    </row>
    <row r="196">
      <c r="A196" t="inlineStr">
        <is>
          <t>2026-03-31_DMSC_at_HWRD</t>
        </is>
      </c>
      <c r="B196" s="10" t="n">
        <v>46112</v>
      </c>
      <c r="C196" t="inlineStr">
        <is>
          <t>Damascus Varsity Hornets</t>
        </is>
      </c>
      <c r="D196" t="inlineStr">
        <is>
          <t>HWRD</t>
        </is>
      </c>
      <c r="E196" t="inlineStr">
        <is>
          <t>C Hudson</t>
        </is>
      </c>
      <c r="F196" t="n">
        <v>6</v>
      </c>
      <c r="G196" t="n">
        <v>14</v>
      </c>
      <c r="H196" t="n">
        <v>3</v>
      </c>
      <c r="M196" t="n">
        <v>4</v>
      </c>
      <c r="N196" t="n">
        <v>0</v>
      </c>
      <c r="O196" t="n">
        <v>2</v>
      </c>
      <c r="P196" t="n">
        <v>6</v>
      </c>
      <c r="Q196" t="n">
        <v>2</v>
      </c>
      <c r="R196" t="inlineStr">
        <is>
          <t>Name in source: Carter Hudson. ER=4 [AMBIGUOUS: team ER total of 8 consistent with ER=3; individual OCR read was 4]; R_Allowed=6 — unearned runs present.</t>
        </is>
      </c>
    </row>
    <row r="197">
      <c r="A197" t="inlineStr">
        <is>
          <t>2026-03-31_DMSC_at_HWRD</t>
        </is>
      </c>
      <c r="B197" s="10" t="n">
        <v>46112</v>
      </c>
      <c r="C197" t="inlineStr">
        <is>
          <t>Damascus Varsity Hornets</t>
        </is>
      </c>
      <c r="D197" t="inlineStr">
        <is>
          <t>HWRD</t>
        </is>
      </c>
      <c r="E197" t="inlineStr">
        <is>
          <t>Gibson Martin</t>
        </is>
      </c>
      <c r="F197" t="n">
        <v>2</v>
      </c>
      <c r="G197" t="n">
        <v>5</v>
      </c>
      <c r="H197" t="n">
        <v>3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inlineStr">
        <is>
          <t>ER=1 = R_Allowed.</t>
        </is>
      </c>
    </row>
    <row r="198">
      <c r="A198" t="inlineStr">
        <is>
          <t>2026-03-21_HWRD_at_HMMN</t>
        </is>
      </c>
      <c r="B198" s="10" t="n">
        <v>46102</v>
      </c>
      <c r="C198" t="inlineStr">
        <is>
          <t>Hammond Varsity Bears</t>
        </is>
      </c>
      <c r="D198" t="inlineStr">
        <is>
          <t>HWRD</t>
        </is>
      </c>
      <c r="E198" t="inlineStr">
        <is>
          <t>B Giangrasso</t>
        </is>
      </c>
      <c r="F198" t="n">
        <v>16</v>
      </c>
      <c r="G198" t="n">
        <v>19</v>
      </c>
      <c r="H198" t="n">
        <v>1</v>
      </c>
      <c r="M198" t="n">
        <v>0</v>
      </c>
      <c r="N198" t="n">
        <v>0</v>
      </c>
      <c r="O198" t="n">
        <v>8</v>
      </c>
      <c r="P198" t="n">
        <v>2</v>
      </c>
      <c r="Q198" t="n">
        <v>0</v>
      </c>
      <c r="R198" t="inlineStr">
        <is>
          <t>(W) designation; not written to column. Name in source: Brennan Giangrasso. ER=0; R_Allowed=2 — 2 unearned runs. Pitches-Strikes: 71-47.</t>
        </is>
      </c>
    </row>
    <row r="199">
      <c r="A199" t="inlineStr">
        <is>
          <t>2026-03-21_HWRD_at_HMMN</t>
        </is>
      </c>
      <c r="B199" s="10" t="n">
        <v>46102</v>
      </c>
      <c r="C199" t="inlineStr">
        <is>
          <t>Hammond Varsity Bears</t>
        </is>
      </c>
      <c r="D199" t="inlineStr">
        <is>
          <t>HWRD</t>
        </is>
      </c>
      <c r="E199" t="inlineStr">
        <is>
          <t>N Hegedus</t>
        </is>
      </c>
      <c r="F199" t="n">
        <v>5</v>
      </c>
      <c r="G199" t="n">
        <v>6</v>
      </c>
      <c r="H199" t="n">
        <v>1</v>
      </c>
      <c r="M199" t="n">
        <v>0</v>
      </c>
      <c r="N199" t="n">
        <v>0</v>
      </c>
      <c r="O199" t="n">
        <v>3</v>
      </c>
      <c r="P199" t="n">
        <v>0</v>
      </c>
      <c r="Q199" t="n">
        <v>0</v>
      </c>
      <c r="R199" t="inlineStr">
        <is>
          <t>Name in source: Nate Hegedus. ER=0 = R_Allowed. Pitches-Strikes: 26-16.</t>
        </is>
      </c>
    </row>
    <row r="200">
      <c r="A200" t="inlineStr">
        <is>
          <t>2026-03-21_HWRD_at_HMMN</t>
        </is>
      </c>
      <c r="B200" s="10" t="n">
        <v>46102</v>
      </c>
      <c r="C200" t="inlineStr">
        <is>
          <t>Howard Varsity Lions</t>
        </is>
      </c>
      <c r="D200" t="inlineStr">
        <is>
          <t>HMMN</t>
        </is>
      </c>
      <c r="E200" t="inlineStr">
        <is>
          <t>C Stryker</t>
        </is>
      </c>
      <c r="F200" t="n">
        <v>10</v>
      </c>
      <c r="G200" t="n">
        <v>16</v>
      </c>
      <c r="H200" t="n">
        <v>4</v>
      </c>
      <c r="M200" t="n">
        <v>0</v>
      </c>
      <c r="N200" t="n">
        <v>0</v>
      </c>
      <c r="O200" t="n">
        <v>6</v>
      </c>
      <c r="P200" t="n">
        <v>5</v>
      </c>
      <c r="Q200" t="n">
        <v>1</v>
      </c>
      <c r="R200" t="inlineStr">
        <is>
          <t>(L) designation; not written to column. Name in source: Collin Stryker. ER=2; R_Allowed=5 — 3 unearned runs. Pitches-Strikes: 65-45.</t>
        </is>
      </c>
    </row>
    <row r="201">
      <c r="A201" t="inlineStr">
        <is>
          <t>2026-03-21_HWRD_at_HMMN</t>
        </is>
      </c>
      <c r="B201" s="10" t="n">
        <v>46102</v>
      </c>
      <c r="C201" t="inlineStr">
        <is>
          <t>Howard Varsity Lions</t>
        </is>
      </c>
      <c r="D201" t="inlineStr">
        <is>
          <t>HMMN</t>
        </is>
      </c>
      <c r="E201" t="inlineStr">
        <is>
          <t>L Duckworth</t>
        </is>
      </c>
      <c r="F201" t="n">
        <v>5</v>
      </c>
      <c r="G201" t="n">
        <v>10</v>
      </c>
      <c r="H201" t="n">
        <v>2</v>
      </c>
      <c r="M201" t="n">
        <v>0</v>
      </c>
      <c r="N201" t="n">
        <v>3</v>
      </c>
      <c r="O201" t="n">
        <v>1</v>
      </c>
      <c r="P201" t="n">
        <v>2</v>
      </c>
      <c r="Q201" t="n">
        <v>2</v>
      </c>
      <c r="R201" t="inlineStr">
        <is>
          <t>Name in source: Luke Duckworth. ER=2 = R_Allowed. Pitches-Strikes: 30-17.</t>
        </is>
      </c>
    </row>
    <row r="202">
      <c r="A202" t="inlineStr">
        <is>
          <t>2026-03-21_HWRD_at_HMMN</t>
        </is>
      </c>
      <c r="B202" s="10" t="n">
        <v>46102</v>
      </c>
      <c r="C202" t="inlineStr">
        <is>
          <t>Howard Varsity Lions</t>
        </is>
      </c>
      <c r="D202" t="inlineStr">
        <is>
          <t>HMMN</t>
        </is>
      </c>
      <c r="E202" t="inlineStr">
        <is>
          <t>Darsh Bhatt</t>
        </is>
      </c>
      <c r="F202" t="n">
        <v>3</v>
      </c>
      <c r="G202" t="n">
        <v>4</v>
      </c>
      <c r="H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inlineStr">
        <is>
          <t>ER=0 = R_Allowed. Pitches-Strikes: 16-7.</t>
        </is>
      </c>
    </row>
    <row r="203">
      <c r="A203" t="inlineStr">
        <is>
          <t>2026-03-21_HWRD_at_HMMN</t>
        </is>
      </c>
      <c r="B203" s="10" t="n">
        <v>46102</v>
      </c>
      <c r="C203" t="inlineStr">
        <is>
          <t>Howard Varsity Lions</t>
        </is>
      </c>
      <c r="D203" t="inlineStr">
        <is>
          <t>HMMN</t>
        </is>
      </c>
      <c r="E203" t="inlineStr">
        <is>
          <t>G Garris</t>
        </is>
      </c>
      <c r="F203" t="n">
        <v>3</v>
      </c>
      <c r="G203" t="n">
        <v>7</v>
      </c>
      <c r="H203" t="n">
        <v>1</v>
      </c>
      <c r="M203" t="n">
        <v>2</v>
      </c>
      <c r="N203" t="n">
        <v>1</v>
      </c>
      <c r="O203" t="n">
        <v>2</v>
      </c>
      <c r="P203" t="n">
        <v>1</v>
      </c>
      <c r="Q203" t="n">
        <v>0</v>
      </c>
      <c r="R203" t="inlineStr">
        <is>
          <t>Name in source: Griffin Garris. ER=0; R_Allowed=1 — 1 unearned run. Pitches-Strikes: 26-12.</t>
        </is>
      </c>
    </row>
    <row r="204">
      <c r="A204" t="inlineStr">
        <is>
          <t>2026-03-31_HWRD_at_CRFT</t>
        </is>
      </c>
      <c r="B204" s="10" t="n">
        <v>46112</v>
      </c>
      <c r="C204" t="inlineStr">
        <is>
          <t>Crofton Varsity Cardinals</t>
        </is>
      </c>
      <c r="D204" t="inlineStr">
        <is>
          <t>HWRD</t>
        </is>
      </c>
      <c r="E204" t="inlineStr">
        <is>
          <t>D Alves</t>
        </is>
      </c>
      <c r="F204" t="n">
        <v>3</v>
      </c>
      <c r="G204" t="n">
        <v>7</v>
      </c>
      <c r="H204" t="n">
        <v>3</v>
      </c>
      <c r="M204" t="n">
        <v>1</v>
      </c>
      <c r="N204" t="n">
        <v>0</v>
      </c>
      <c r="O204" t="n">
        <v>0</v>
      </c>
      <c r="P204" t="n">
        <v>3</v>
      </c>
      <c r="Q204" t="n">
        <v>0</v>
      </c>
      <c r="R204" t="inlineStr">
        <is>
          <t>Name in source: Dominic Alves. Pitches-Strikes: 22-13. ER=3 = R_Allowed.</t>
        </is>
      </c>
    </row>
    <row r="205">
      <c r="A205" t="inlineStr">
        <is>
          <t>2026-03-31_HWRD_at_CRFT</t>
        </is>
      </c>
      <c r="B205" s="10" t="n">
        <v>46112</v>
      </c>
      <c r="C205" t="inlineStr">
        <is>
          <t>Crofton Varsity Cardinals</t>
        </is>
      </c>
      <c r="D205" t="inlineStr">
        <is>
          <t>HWRD</t>
        </is>
      </c>
      <c r="E205" t="inlineStr">
        <is>
          <t>Z Blair</t>
        </is>
      </c>
      <c r="F205" t="n">
        <v>6</v>
      </c>
      <c r="G205" t="n">
        <v>11</v>
      </c>
      <c r="H205" t="n">
        <v>3</v>
      </c>
      <c r="M205" t="n">
        <v>1</v>
      </c>
      <c r="N205" t="n">
        <v>2</v>
      </c>
      <c r="O205" t="n">
        <v>1</v>
      </c>
      <c r="P205" t="n">
        <v>2</v>
      </c>
      <c r="Q205" t="n">
        <v>0</v>
      </c>
      <c r="R205" t="inlineStr">
        <is>
          <t>Name in source: Zach Blair. Pitches-Strikes: 42-23. ER=1; R_Allowed=2 — 1 unearned run.</t>
        </is>
      </c>
    </row>
    <row r="206">
      <c r="A206" t="inlineStr">
        <is>
          <t>2026-03-31_HWRD_at_CRFT</t>
        </is>
      </c>
      <c r="B206" s="10" t="n">
        <v>46112</v>
      </c>
      <c r="C206" t="inlineStr">
        <is>
          <t>Crofton Varsity Cardinals</t>
        </is>
      </c>
      <c r="D206" t="inlineStr">
        <is>
          <t>HWRD</t>
        </is>
      </c>
      <c r="E206" t="inlineStr">
        <is>
          <t>Ryan Su</t>
        </is>
      </c>
      <c r="F206" t="n">
        <v>2</v>
      </c>
      <c r="G206" t="n">
        <v>6</v>
      </c>
      <c r="H206" t="n">
        <v>1</v>
      </c>
      <c r="M206" t="n">
        <v>3</v>
      </c>
      <c r="N206" t="n">
        <v>0</v>
      </c>
      <c r="O206" t="n">
        <v>1</v>
      </c>
      <c r="P206" t="n">
        <v>4</v>
      </c>
      <c r="Q206" t="n">
        <v>0</v>
      </c>
      <c r="R206" t="inlineStr">
        <is>
          <t>Pitches-Strikes: 29-12. ER=4 = R_Allowed. H_Allowed confirmed as 1 via team cross-check; initial OCR read appeared as 4 (R column misread as H).</t>
        </is>
      </c>
    </row>
    <row r="207">
      <c r="A207" t="inlineStr">
        <is>
          <t>2026-03-31_HWRD_at_CRFT</t>
        </is>
      </c>
      <c r="B207" s="10" t="n">
        <v>46112</v>
      </c>
      <c r="C207" t="inlineStr">
        <is>
          <t>Crofton Varsity Cardinals</t>
        </is>
      </c>
      <c r="D207" t="inlineStr">
        <is>
          <t>HWRD</t>
        </is>
      </c>
      <c r="E207" t="inlineStr">
        <is>
          <t>Thomas Estrada</t>
        </is>
      </c>
      <c r="F207" t="n">
        <v>1</v>
      </c>
      <c r="G207" t="n">
        <v>5</v>
      </c>
      <c r="H207" t="n">
        <v>2</v>
      </c>
      <c r="M207" t="n">
        <v>2</v>
      </c>
      <c r="N207" t="n">
        <v>0</v>
      </c>
      <c r="O207" t="n">
        <v>0</v>
      </c>
      <c r="P207" t="n">
        <v>2</v>
      </c>
      <c r="Q207" t="n">
        <v>0</v>
      </c>
      <c r="R207" t="inlineStr">
        <is>
          <t>(W) designation; not written to column. Pitches-Strikes: 21-9. ER=2 = R_Allowed.</t>
        </is>
      </c>
    </row>
    <row r="208">
      <c r="A208" t="inlineStr">
        <is>
          <t>2026-03-31_HWRD_at_CRFT</t>
        </is>
      </c>
      <c r="B208" s="10" t="n">
        <v>46112</v>
      </c>
      <c r="C208" t="inlineStr">
        <is>
          <t>Crofton Varsity Cardinals</t>
        </is>
      </c>
      <c r="D208" t="inlineStr">
        <is>
          <t>HWRD</t>
        </is>
      </c>
      <c r="E208" t="inlineStr">
        <is>
          <t>A Proescher</t>
        </is>
      </c>
      <c r="F208" t="n">
        <v>3</v>
      </c>
      <c r="G208" t="n">
        <v>5</v>
      </c>
      <c r="H208" t="n">
        <v>1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inlineStr">
        <is>
          <t>Name in source: Austin Proescher. Pitches-Strikes: 18-9. ER=0 = R_Allowed.</t>
        </is>
      </c>
    </row>
    <row r="209">
      <c r="A209" t="inlineStr">
        <is>
          <t>2026-03-31_HWRD_at_CRFT</t>
        </is>
      </c>
      <c r="B209" s="10" t="n">
        <v>46112</v>
      </c>
      <c r="C209" t="inlineStr">
        <is>
          <t>Howard Varsity Lions</t>
        </is>
      </c>
      <c r="D209" t="inlineStr">
        <is>
          <t>CRFT</t>
        </is>
      </c>
      <c r="E209" t="inlineStr">
        <is>
          <t>Michael Seery</t>
        </is>
      </c>
      <c r="F209" t="n">
        <v>6</v>
      </c>
      <c r="G209" t="n">
        <v>15</v>
      </c>
      <c r="H209" t="n">
        <v>5</v>
      </c>
      <c r="M209" t="n">
        <v>4</v>
      </c>
      <c r="N209" t="n">
        <v>1</v>
      </c>
      <c r="O209" t="n">
        <v>2</v>
      </c>
      <c r="P209" t="n">
        <v>5</v>
      </c>
      <c r="Q209" t="n">
        <v>0</v>
      </c>
      <c r="R209" t="inlineStr">
        <is>
          <t>(L) designation; not written to column. Pitches-Strikes: 52-23. ER=5 = R_Allowed.</t>
        </is>
      </c>
    </row>
    <row r="210">
      <c r="A210" t="inlineStr">
        <is>
          <t>2026-03-31_HWRD_at_CRFT</t>
        </is>
      </c>
      <c r="B210" s="10" t="n">
        <v>46112</v>
      </c>
      <c r="C210" t="inlineStr">
        <is>
          <t>Howard Varsity Lions</t>
        </is>
      </c>
      <c r="D210" t="inlineStr">
        <is>
          <t>CRFT</t>
        </is>
      </c>
      <c r="E210" t="inlineStr">
        <is>
          <t>Xander Bejar</t>
        </is>
      </c>
      <c r="F210" t="n">
        <v>3</v>
      </c>
      <c r="G210" t="n">
        <v>7</v>
      </c>
      <c r="H210" t="n">
        <v>1</v>
      </c>
      <c r="M210" t="n">
        <v>3</v>
      </c>
      <c r="N210" t="n">
        <v>0</v>
      </c>
      <c r="O210" t="n">
        <v>1</v>
      </c>
      <c r="P210" t="n">
        <v>2</v>
      </c>
      <c r="Q210" t="n">
        <v>0</v>
      </c>
      <c r="R210" t="inlineStr">
        <is>
          <t>Pitches-Strikes: 32-13. ER=2 = R_Allowed. Also bats for CRFT.</t>
        </is>
      </c>
    </row>
    <row r="211">
      <c r="A211" t="inlineStr">
        <is>
          <t>2026-03-31_HWRD_at_CRFT</t>
        </is>
      </c>
      <c r="B211" s="10" t="n">
        <v>46112</v>
      </c>
      <c r="C211" t="inlineStr">
        <is>
          <t>Howard Varsity Lions</t>
        </is>
      </c>
      <c r="D211" t="inlineStr">
        <is>
          <t>CRFT</t>
        </is>
      </c>
      <c r="E211" t="inlineStr">
        <is>
          <t>CRFT_#10</t>
        </is>
      </c>
      <c r="F211" t="n">
        <v>6</v>
      </c>
      <c r="G211" t="n">
        <v>13</v>
      </c>
      <c r="H211" t="n">
        <v>4</v>
      </c>
      <c r="M211" t="n">
        <v>1</v>
      </c>
      <c r="N211" t="n">
        <v>1</v>
      </c>
      <c r="O211" t="n">
        <v>1</v>
      </c>
      <c r="P211" t="n">
        <v>5</v>
      </c>
      <c r="Q211" t="n">
        <v>0</v>
      </c>
      <c r="R211" t="inlineStr">
        <is>
          <t>Pitches-Strikes: 48-26. ER=0; R_Allowed=5 — 5 unearned runs allowed. Also bats for CRFT.</t>
        </is>
      </c>
    </row>
    <row r="212">
      <c r="A212" t="inlineStr">
        <is>
          <t>2026-03-30_HWRD_at_MRRT</t>
        </is>
      </c>
      <c r="B212" s="10" t="n">
        <v>46111</v>
      </c>
      <c r="C212" t="inlineStr">
        <is>
          <t>Marriotts Ridge Varsity Mustangs</t>
        </is>
      </c>
      <c r="D212" t="inlineStr">
        <is>
          <t>HWRD</t>
        </is>
      </c>
      <c r="E212" t="inlineStr">
        <is>
          <t>N Hegedus</t>
        </is>
      </c>
      <c r="F212" t="n">
        <v>10</v>
      </c>
      <c r="G212" t="n">
        <v>18</v>
      </c>
      <c r="H212" t="n">
        <v>1</v>
      </c>
      <c r="M212" t="n">
        <v>4</v>
      </c>
      <c r="N212" t="n">
        <v>1</v>
      </c>
      <c r="O212" t="n">
        <v>2</v>
      </c>
      <c r="P212" t="n">
        <v>6</v>
      </c>
      <c r="Q212" t="n">
        <v>2</v>
      </c>
      <c r="R212" t="inlineStr">
        <is>
          <t>(L) designation; not written to column. Name in source: Nate Hegedus. Pitches-Strikes: 58-27. ER=2; R_Allowed=6 — 4 unearned runs allowed.</t>
        </is>
      </c>
    </row>
    <row r="213">
      <c r="A213" t="inlineStr">
        <is>
          <t>2026-03-30_HWRD_at_MRRT</t>
        </is>
      </c>
      <c r="B213" s="10" t="n">
        <v>46111</v>
      </c>
      <c r="C213" t="inlineStr">
        <is>
          <t>Marriotts Ridge Varsity Mustangs</t>
        </is>
      </c>
      <c r="D213" t="inlineStr">
        <is>
          <t>HWRD</t>
        </is>
      </c>
      <c r="E213" t="inlineStr">
        <is>
          <t>D Heim</t>
        </is>
      </c>
      <c r="F213" t="n">
        <v>3</v>
      </c>
      <c r="G213" t="n">
        <v>11</v>
      </c>
      <c r="H213" t="n">
        <v>2</v>
      </c>
      <c r="M213" t="n">
        <v>3</v>
      </c>
      <c r="N213" t="n">
        <v>2</v>
      </c>
      <c r="O213" t="n">
        <v>1</v>
      </c>
      <c r="P213" t="n">
        <v>6</v>
      </c>
      <c r="Q213" t="n">
        <v>2</v>
      </c>
      <c r="R213" t="inlineStr">
        <is>
          <t>Name in source: Darren Heim. Pitches-Strikes: 40-20. ER=5; R_Allowed=6 — 1 unearned run allowed.</t>
        </is>
      </c>
    </row>
    <row r="214">
      <c r="A214" t="inlineStr">
        <is>
          <t>2026-03-30_HWRD_at_MRRT</t>
        </is>
      </c>
      <c r="B214" s="10" t="n">
        <v>46111</v>
      </c>
      <c r="C214" t="inlineStr">
        <is>
          <t>Marriotts Ridge Varsity Mustangs</t>
        </is>
      </c>
      <c r="D214" t="inlineStr">
        <is>
          <t>HWRD</t>
        </is>
      </c>
      <c r="E214" t="inlineStr">
        <is>
          <t>Gibson Martin</t>
        </is>
      </c>
      <c r="F214" t="n">
        <v>0</v>
      </c>
      <c r="G214" t="n">
        <v>2</v>
      </c>
      <c r="H214" t="n">
        <v>0</v>
      </c>
      <c r="M214" t="n">
        <v>2</v>
      </c>
      <c r="N214" t="n">
        <v>0</v>
      </c>
      <c r="O214" t="n">
        <v>0</v>
      </c>
      <c r="P214" t="n">
        <v>1</v>
      </c>
      <c r="Q214" t="n">
        <v>1</v>
      </c>
      <c r="R214" t="inlineStr">
        <is>
          <t>IP=0.0; Outs_Recorded=0 — faced 2 batters, recorded no outs. Pitches-Strikes: 13-2. ER=0; R_Allowed=1 — 1 unearned run allowed.</t>
        </is>
      </c>
    </row>
    <row r="215">
      <c r="A215" t="inlineStr">
        <is>
          <t>2026-03-30_HWRD_at_MRRT</t>
        </is>
      </c>
      <c r="B215" s="10" t="n">
        <v>46111</v>
      </c>
      <c r="C215" t="inlineStr">
        <is>
          <t>Howard Varsity Lions</t>
        </is>
      </c>
      <c r="D215" t="inlineStr">
        <is>
          <t>MRRT</t>
        </is>
      </c>
      <c r="E215" t="inlineStr">
        <is>
          <t>O Snow</t>
        </is>
      </c>
      <c r="F215" t="n">
        <v>5</v>
      </c>
      <c r="G215" t="n">
        <v>11</v>
      </c>
      <c r="H215" t="n">
        <v>1</v>
      </c>
      <c r="M215" t="n">
        <v>4</v>
      </c>
      <c r="N215" t="n">
        <v>1</v>
      </c>
      <c r="O215" t="n">
        <v>2</v>
      </c>
      <c r="P215" t="n">
        <v>3</v>
      </c>
      <c r="Q215" t="n">
        <v>1</v>
      </c>
      <c r="R215" t="inlineStr">
        <is>
          <t>Name in source: Owen Snow. Pitches-Strikes: 48-21. ER=1; R_Allowed=3 — 2 unearned runs allowed. Also bats for MRRT.</t>
        </is>
      </c>
    </row>
    <row r="216">
      <c r="A216" t="inlineStr">
        <is>
          <t>2026-03-30_HWRD_at_MRRT</t>
        </is>
      </c>
      <c r="B216" s="10" t="n">
        <v>46111</v>
      </c>
      <c r="C216" t="inlineStr">
        <is>
          <t>Howard Varsity Lions</t>
        </is>
      </c>
      <c r="D216" t="inlineStr">
        <is>
          <t>MRRT</t>
        </is>
      </c>
      <c r="E216" t="inlineStr">
        <is>
          <t>J Yeich</t>
        </is>
      </c>
      <c r="F216" t="n">
        <v>4</v>
      </c>
      <c r="G216" t="n">
        <v>6</v>
      </c>
      <c r="H216" t="n">
        <v>2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(W) designation; not written to column. Name in source: JP Yeich. Pitches-Strikes: 16-9. ER=0 = R_Allowed.</t>
        </is>
      </c>
    </row>
    <row r="217">
      <c r="A217" t="inlineStr">
        <is>
          <t>2026-03-30_HWRD_at_MRRT</t>
        </is>
      </c>
      <c r="B217" s="10" t="n">
        <v>46111</v>
      </c>
      <c r="C217" t="inlineStr">
        <is>
          <t>Howard Varsity Lions</t>
        </is>
      </c>
      <c r="D217" t="inlineStr">
        <is>
          <t>MRRT</t>
        </is>
      </c>
      <c r="E217" t="inlineStr">
        <is>
          <t>A Hlavaty</t>
        </is>
      </c>
      <c r="F217" t="n">
        <v>6</v>
      </c>
      <c r="G217" t="n">
        <v>6</v>
      </c>
      <c r="H217" t="n">
        <v>0</v>
      </c>
      <c r="M217" t="n">
        <v>1</v>
      </c>
      <c r="N217" t="n">
        <v>0</v>
      </c>
      <c r="O217" t="n">
        <v>2</v>
      </c>
      <c r="P217" t="n">
        <v>0</v>
      </c>
      <c r="Q217" t="n">
        <v>0</v>
      </c>
      <c r="R217" t="inlineStr">
        <is>
          <t>Name in source: Aiden Hlavaty. Pitches-Strikes: 20-13. ER=0 = R_Allowed. Also bats for MRRT.</t>
        </is>
      </c>
    </row>
    <row r="218">
      <c r="A218" t="inlineStr">
        <is>
          <t>2026-03-23_CPPN_at_PLYV</t>
        </is>
      </c>
      <c r="B218" s="10" t="n">
        <v>46104</v>
      </c>
      <c r="C218" t="inlineStr">
        <is>
          <t>Poly Varsity Engineers 2026</t>
        </is>
      </c>
      <c r="D218" t="inlineStr">
        <is>
          <t>CPPN</t>
        </is>
      </c>
      <c r="E218" t="inlineStr">
        <is>
          <t>K Rice</t>
        </is>
      </c>
      <c r="F218" t="n">
        <v>0</v>
      </c>
      <c r="G218" t="n">
        <v>7</v>
      </c>
      <c r="H218" t="n">
        <v>0</v>
      </c>
      <c r="M218" t="n">
        <v>5</v>
      </c>
      <c r="N218" t="n">
        <v>2</v>
      </c>
      <c r="O218" t="n">
        <v>0</v>
      </c>
      <c r="P218" t="n">
        <v>7</v>
      </c>
      <c r="Q218" t="n">
        <v>7</v>
      </c>
      <c r="R218" t="inlineStr">
        <is>
          <t>(L) designation; not written to column. Pitches-Strikes: 28-3 (not in schema). ER=7 = R_Allowed.</t>
        </is>
      </c>
    </row>
    <row r="219">
      <c r="A219" t="inlineStr">
        <is>
          <t>2026-03-23_CPPN_at_PLYV</t>
        </is>
      </c>
      <c r="B219" s="10" t="n">
        <v>46104</v>
      </c>
      <c r="C219" t="inlineStr">
        <is>
          <t>Poly Varsity Engineers 2026</t>
        </is>
      </c>
      <c r="D219" t="inlineStr">
        <is>
          <t>CPPN</t>
        </is>
      </c>
      <c r="E219" t="inlineStr">
        <is>
          <t>J Hardy</t>
        </is>
      </c>
      <c r="F219" t="n">
        <v>2</v>
      </c>
      <c r="G219" t="n">
        <v>11</v>
      </c>
      <c r="H219" t="n">
        <v>2</v>
      </c>
      <c r="M219" t="n">
        <v>3</v>
      </c>
      <c r="N219" t="n">
        <v>1</v>
      </c>
      <c r="O219" t="n">
        <v>1</v>
      </c>
      <c r="P219" t="n">
        <v>9</v>
      </c>
      <c r="Q219" t="n">
        <v>2</v>
      </c>
      <c r="R219" t="inlineStr">
        <is>
          <t>Pitches-Strikes: 45-22 (not in schema). ER=2; R_Allowed=9 — 7 unearned runs allowed.</t>
        </is>
      </c>
    </row>
    <row r="220">
      <c r="A220" t="inlineStr">
        <is>
          <t>2026-03-23_CPPN_at_PLYV</t>
        </is>
      </c>
      <c r="B220" s="10" t="n">
        <v>46104</v>
      </c>
      <c r="C220" t="inlineStr">
        <is>
          <t>Poly Varsity Engineers 2026</t>
        </is>
      </c>
      <c r="D220" t="inlineStr">
        <is>
          <t>CPPN</t>
        </is>
      </c>
      <c r="E220" t="inlineStr">
        <is>
          <t>J Whitehead</t>
        </is>
      </c>
      <c r="F220" t="n">
        <v>10</v>
      </c>
      <c r="G220" t="n">
        <v>16</v>
      </c>
      <c r="H220" t="n">
        <v>1</v>
      </c>
      <c r="M220" t="n">
        <v>1</v>
      </c>
      <c r="N220" t="n">
        <v>3</v>
      </c>
      <c r="O220" t="n">
        <v>1</v>
      </c>
      <c r="P220" t="n">
        <v>4</v>
      </c>
      <c r="Q220" t="n">
        <v>1</v>
      </c>
      <c r="R220" t="inlineStr">
        <is>
          <t>Pitches-Strikes: 33-18 (not in schema). ER=2; R_Allowed=4 — 2 unearned runs allowed.</t>
        </is>
      </c>
    </row>
    <row r="221">
      <c r="A221" t="inlineStr">
        <is>
          <t>2026-03-23_CPPN_at_PLYV</t>
        </is>
      </c>
      <c r="B221" s="10" t="n">
        <v>46104</v>
      </c>
      <c r="C221" t="inlineStr">
        <is>
          <t>Coppin Academy</t>
        </is>
      </c>
      <c r="D221" t="inlineStr">
        <is>
          <t>PLYV</t>
        </is>
      </c>
      <c r="E221" t="inlineStr">
        <is>
          <t>Max Freeman</t>
        </is>
      </c>
      <c r="F221" t="n">
        <v>15</v>
      </c>
      <c r="G221" t="n">
        <v>17</v>
      </c>
      <c r="H221" t="n">
        <v>0</v>
      </c>
      <c r="M221" t="n">
        <v>1</v>
      </c>
      <c r="N221" t="n">
        <v>0</v>
      </c>
      <c r="O221" t="n">
        <v>14</v>
      </c>
      <c r="P221" t="n">
        <v>0</v>
      </c>
      <c r="Q221" t="n">
        <v>3</v>
      </c>
      <c r="R221" t="inlineStr">
        <is>
          <t>(W) designation; not written to column. Pitches-Strikes: 69-56 (not in schema). ER=0 = R_Allowed. Complete-game shutout no-hitter with 14 Ks and 3 WPs.</t>
        </is>
      </c>
    </row>
    <row r="222">
      <c r="A222" t="inlineStr">
        <is>
          <t>2026-03-25_DGLS_at_PLYV</t>
        </is>
      </c>
      <c r="B222" s="10" t="n">
        <v>46106</v>
      </c>
      <c r="C222" t="inlineStr">
        <is>
          <t>Douglass</t>
        </is>
      </c>
      <c r="D222" t="inlineStr">
        <is>
          <t>PLYV</t>
        </is>
      </c>
      <c r="E222" t="inlineStr">
        <is>
          <t>Ian Dickensheets</t>
        </is>
      </c>
      <c r="F222" t="n">
        <v>12</v>
      </c>
      <c r="G222" t="n">
        <v>16</v>
      </c>
      <c r="H222" t="n">
        <v>3</v>
      </c>
      <c r="M222" t="n">
        <v>1</v>
      </c>
      <c r="N222" t="n">
        <v>0</v>
      </c>
      <c r="O222" t="n">
        <v>11</v>
      </c>
      <c r="P222" t="n">
        <v>1</v>
      </c>
      <c r="Q222" t="n">
        <v>0</v>
      </c>
      <c r="R222" t="inlineStr">
        <is>
          <t>(W) designation; not written to column. Pitches-Strikes: 56-44 (not in schema). ER=1 = R_Allowed.</t>
        </is>
      </c>
    </row>
    <row r="223">
      <c r="A223" t="inlineStr">
        <is>
          <t>2026-03-25_DGLS_at_PLYV</t>
        </is>
      </c>
      <c r="B223" s="10" t="n">
        <v>46106</v>
      </c>
      <c r="C223" t="inlineStr">
        <is>
          <t>Douglass</t>
        </is>
      </c>
      <c r="D223" t="inlineStr">
        <is>
          <t>PLYV</t>
        </is>
      </c>
      <c r="E223" t="inlineStr">
        <is>
          <t>Roman Girardi</t>
        </is>
      </c>
      <c r="F223" t="n">
        <v>3</v>
      </c>
      <c r="G223" t="n">
        <v>4</v>
      </c>
      <c r="H223" t="n">
        <v>0</v>
      </c>
      <c r="M223" t="n">
        <v>0</v>
      </c>
      <c r="N223" t="n">
        <v>0</v>
      </c>
      <c r="O223" t="n">
        <v>4</v>
      </c>
      <c r="P223" t="n">
        <v>0</v>
      </c>
      <c r="Q223" t="n">
        <v>0</v>
      </c>
      <c r="R223" t="inlineStr">
        <is>
          <t>Pitches-Strikes: 21-17 (not in schema). ER=0 = R_Allowed.</t>
        </is>
      </c>
    </row>
    <row r="224">
      <c r="A224" t="inlineStr">
        <is>
          <t>2026-03-25_DGLS_at_PLYV</t>
        </is>
      </c>
      <c r="B224" s="10" t="n">
        <v>46106</v>
      </c>
      <c r="C224" t="inlineStr">
        <is>
          <t>Poly Varsity Engineers 2026</t>
        </is>
      </c>
      <c r="D224" t="inlineStr">
        <is>
          <t>DGLS</t>
        </is>
      </c>
      <c r="E224" t="inlineStr">
        <is>
          <t>Wilner Vergel-Rivero</t>
        </is>
      </c>
      <c r="F224" t="n">
        <v>6</v>
      </c>
      <c r="G224" t="n">
        <v>11</v>
      </c>
      <c r="H224" t="n">
        <v>3</v>
      </c>
      <c r="M224" t="n">
        <v>2</v>
      </c>
      <c r="N224" t="n">
        <v>0</v>
      </c>
      <c r="O224" t="n">
        <v>6</v>
      </c>
      <c r="P224" t="n">
        <v>4</v>
      </c>
      <c r="Q224" t="n">
        <v>1</v>
      </c>
      <c r="R224" t="inlineStr">
        <is>
          <t>(L) designation; not written to column. Pitches-Strikes: 47-26 (not in schema). ER=4 = R_Allowed.</t>
        </is>
      </c>
    </row>
    <row r="225">
      <c r="A225" t="inlineStr">
        <is>
          <t>2026-03-25_DGLS_at_PLYV</t>
        </is>
      </c>
      <c r="B225" s="10" t="n">
        <v>46106</v>
      </c>
      <c r="C225" t="inlineStr">
        <is>
          <t>Poly Varsity Engineers 2026</t>
        </is>
      </c>
      <c r="D225" t="inlineStr">
        <is>
          <t>DGLS</t>
        </is>
      </c>
      <c r="E225" t="inlineStr">
        <is>
          <t>Deivid Mendoza</t>
        </is>
      </c>
      <c r="F225" t="n">
        <v>6</v>
      </c>
      <c r="G225" t="n">
        <v>21</v>
      </c>
      <c r="H225" t="n">
        <v>7</v>
      </c>
      <c r="M225" t="n">
        <v>7</v>
      </c>
      <c r="N225" t="n">
        <v>0</v>
      </c>
      <c r="O225" t="n">
        <v>1</v>
      </c>
      <c r="P225" t="n">
        <v>10</v>
      </c>
      <c r="Q225" t="n">
        <v>1</v>
      </c>
      <c r="R225" t="inlineStr">
        <is>
          <t>Pitches-Strikes: 72-35 (not in schema). ER=10 = R_Allowed.</t>
        </is>
      </c>
    </row>
    <row r="226">
      <c r="A226" t="inlineStr">
        <is>
          <t>2026-03-25_DGLS_at_PLYV</t>
        </is>
      </c>
      <c r="B226" s="10" t="n">
        <v>46106</v>
      </c>
      <c r="C226" t="inlineStr">
        <is>
          <t>Poly Varsity Engineers 2026</t>
        </is>
      </c>
      <c r="D226" t="inlineStr">
        <is>
          <t>DGLS</t>
        </is>
      </c>
      <c r="E226" t="inlineStr">
        <is>
          <t>Isaac Montufar Reyes</t>
        </is>
      </c>
      <c r="F226" t="n">
        <v>3</v>
      </c>
      <c r="G226" t="n">
        <v>5</v>
      </c>
      <c r="H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inlineStr">
        <is>
          <t>Pitches-Strikes: 11-8 (not in schema). ER=0 = R_Allowed.</t>
        </is>
      </c>
    </row>
    <row r="227">
      <c r="A227" t="inlineStr">
        <is>
          <t>2026-03-27_FRST_at_PLYV</t>
        </is>
      </c>
      <c r="B227" s="10" t="n">
        <v>46108</v>
      </c>
      <c r="C227" t="inlineStr">
        <is>
          <t>Forest Park Varsity Foresters</t>
        </is>
      </c>
      <c r="D227" t="inlineStr">
        <is>
          <t>PLYV</t>
        </is>
      </c>
      <c r="E227" t="inlineStr">
        <is>
          <t>Nathaniel Barry</t>
        </is>
      </c>
      <c r="F227" t="n">
        <v>3</v>
      </c>
      <c r="G227" t="n">
        <v>3</v>
      </c>
      <c r="H227" t="n">
        <v>0</v>
      </c>
      <c r="M227" t="n">
        <v>0</v>
      </c>
      <c r="N227" t="n">
        <v>0</v>
      </c>
      <c r="O227" t="n">
        <v>3</v>
      </c>
      <c r="P227" t="n">
        <v>0</v>
      </c>
      <c r="Q227" t="n">
        <v>0</v>
      </c>
      <c r="R227" t="inlineStr">
        <is>
          <t>(W) designation; not written to column. Pitches-Strikes: 12-9 (not in schema). ER=0 = R_Allowed.</t>
        </is>
      </c>
    </row>
    <row r="228">
      <c r="A228" t="inlineStr">
        <is>
          <t>2026-03-27_FRST_at_PLYV</t>
        </is>
      </c>
      <c r="B228" s="10" t="n">
        <v>46108</v>
      </c>
      <c r="C228" t="inlineStr">
        <is>
          <t>Forest Park Varsity Foresters</t>
        </is>
      </c>
      <c r="D228" t="inlineStr">
        <is>
          <t>PLYV</t>
        </is>
      </c>
      <c r="E228" t="inlineStr">
        <is>
          <t>Daniel Hong</t>
        </is>
      </c>
      <c r="F228" t="n">
        <v>3</v>
      </c>
      <c r="G228" t="n">
        <v>3</v>
      </c>
      <c r="H228" t="n">
        <v>0</v>
      </c>
      <c r="M228" t="n">
        <v>0</v>
      </c>
      <c r="N228" t="n">
        <v>0</v>
      </c>
      <c r="O228" t="n">
        <v>3</v>
      </c>
      <c r="P228" t="n">
        <v>0</v>
      </c>
      <c r="Q228" t="n">
        <v>0</v>
      </c>
      <c r="R228" t="inlineStr">
        <is>
          <t>Pitches-Strikes: 13-9 (not in schema). ER=0 = R_Allowed.</t>
        </is>
      </c>
    </row>
    <row r="229">
      <c r="A229" t="inlineStr">
        <is>
          <t>2026-03-27_FRST_at_PLYV</t>
        </is>
      </c>
      <c r="B229" s="10" t="n">
        <v>46108</v>
      </c>
      <c r="C229" t="inlineStr">
        <is>
          <t>Forest Park Varsity Foresters</t>
        </is>
      </c>
      <c r="D229" t="inlineStr">
        <is>
          <t>PLYV</t>
        </is>
      </c>
      <c r="E229" t="inlineStr">
        <is>
          <t>Jakeem Mcbride</t>
        </is>
      </c>
      <c r="F229" t="n">
        <v>3</v>
      </c>
      <c r="G229" t="n">
        <v>4</v>
      </c>
      <c r="H229" t="n">
        <v>0</v>
      </c>
      <c r="M229" t="n">
        <v>1</v>
      </c>
      <c r="N229" t="n">
        <v>0</v>
      </c>
      <c r="O229" t="n">
        <v>3</v>
      </c>
      <c r="P229" t="n">
        <v>0</v>
      </c>
      <c r="Q229" t="n">
        <v>0</v>
      </c>
      <c r="R229" t="inlineStr">
        <is>
          <t>Pitches-Strikes: 16-10 (not in schema). ER=0 = R_Allowed.</t>
        </is>
      </c>
    </row>
    <row r="230">
      <c r="A230" t="inlineStr">
        <is>
          <t>2026-03-27_FRST_at_PLYV</t>
        </is>
      </c>
      <c r="B230" s="10" t="n">
        <v>46108</v>
      </c>
      <c r="C230" t="inlineStr">
        <is>
          <t>Forest Park Varsity Foresters</t>
        </is>
      </c>
      <c r="D230" t="inlineStr">
        <is>
          <t>PLYV</t>
        </is>
      </c>
      <c r="E230" t="inlineStr">
        <is>
          <t>Henry Overton</t>
        </is>
      </c>
      <c r="F230" t="n">
        <v>3</v>
      </c>
      <c r="G230" t="n">
        <v>3</v>
      </c>
      <c r="H230" t="n">
        <v>0</v>
      </c>
      <c r="M230" t="n">
        <v>0</v>
      </c>
      <c r="N230" t="n">
        <v>0</v>
      </c>
      <c r="O230" t="n">
        <v>3</v>
      </c>
      <c r="P230" t="n">
        <v>0</v>
      </c>
      <c r="Q230" t="n">
        <v>0</v>
      </c>
      <c r="R230" t="inlineStr">
        <is>
          <t>Pitches-Strikes: 11-9 (not in schema). ER=0 = R_Allowed.</t>
        </is>
      </c>
    </row>
    <row r="231">
      <c r="A231" t="inlineStr">
        <is>
          <t>2026-03-27_FRST_at_PLYV</t>
        </is>
      </c>
      <c r="B231" s="10" t="n">
        <v>46108</v>
      </c>
      <c r="C231" t="inlineStr">
        <is>
          <t>Forest Park Varsity Foresters</t>
        </is>
      </c>
      <c r="D231" t="inlineStr">
        <is>
          <t>PLYV</t>
        </is>
      </c>
      <c r="E231" t="inlineStr">
        <is>
          <t>Kingston Antonio</t>
        </is>
      </c>
      <c r="F231" t="n">
        <v>3</v>
      </c>
      <c r="G231" t="n">
        <v>4</v>
      </c>
      <c r="H231" t="n">
        <v>0</v>
      </c>
      <c r="M231" t="n">
        <v>1</v>
      </c>
      <c r="N231" t="n">
        <v>0</v>
      </c>
      <c r="O231" t="n">
        <v>3</v>
      </c>
      <c r="P231" t="n">
        <v>0</v>
      </c>
      <c r="Q231" t="n">
        <v>1</v>
      </c>
      <c r="R231" t="inlineStr">
        <is>
          <t>Pitches-Strikes: 15-9 (not in schema). ER=0 = R_Allowed. Also bats (zero PA).</t>
        </is>
      </c>
    </row>
    <row r="232">
      <c r="A232" t="inlineStr">
        <is>
          <t>2026-03-27_FRST_at_PLYV</t>
        </is>
      </c>
      <c r="B232" s="10" t="n">
        <v>46108</v>
      </c>
      <c r="C232" t="inlineStr">
        <is>
          <t>Poly Varsity Engineers 2026</t>
        </is>
      </c>
      <c r="D232" t="inlineStr">
        <is>
          <t>FRST</t>
        </is>
      </c>
      <c r="E232" t="inlineStr">
        <is>
          <t>Laboo</t>
        </is>
      </c>
      <c r="F232" t="n">
        <v>6</v>
      </c>
      <c r="G232" t="n">
        <v>27</v>
      </c>
      <c r="H232" t="n">
        <v>11</v>
      </c>
      <c r="M232" t="n">
        <v>7</v>
      </c>
      <c r="N232" t="n">
        <v>0</v>
      </c>
      <c r="O232" t="n">
        <v>2</v>
      </c>
      <c r="P232" t="n">
        <v>18</v>
      </c>
      <c r="Q232" t="n">
        <v>1</v>
      </c>
      <c r="R232" t="inlineStr">
        <is>
          <t>(L) designation; not written to column. Pitches-Strikes: 109-53 (not in schema). ER=12; R_Allowed=18 — 6 unearned runs. Also bats; E in Fielding x2.</t>
        </is>
      </c>
    </row>
    <row r="233">
      <c r="A233" t="inlineStr">
        <is>
          <t>2026-03-27_FRST_at_PLYV</t>
        </is>
      </c>
      <c r="B233" s="10" t="n">
        <v>46108</v>
      </c>
      <c r="C233" t="inlineStr">
        <is>
          <t>Poly Varsity Engineers 2026</t>
        </is>
      </c>
      <c r="D233" t="inlineStr">
        <is>
          <t>FRST</t>
        </is>
      </c>
      <c r="E233" t="inlineStr">
        <is>
          <t>Riddick</t>
        </is>
      </c>
      <c r="F233" t="n">
        <v>9</v>
      </c>
      <c r="G233" t="n">
        <v>20</v>
      </c>
      <c r="H233" t="n">
        <v>2</v>
      </c>
      <c r="M233" t="n">
        <v>5</v>
      </c>
      <c r="N233" t="n">
        <v>1</v>
      </c>
      <c r="O233" t="n">
        <v>3</v>
      </c>
      <c r="P233" t="n">
        <v>6</v>
      </c>
      <c r="Q233" t="n">
        <v>0</v>
      </c>
      <c r="R233" t="inlineStr">
        <is>
          <t>Pitches-Strikes: 70-36 (not in schema). ER=0; R_Allowed=6 — all 6 unearned. HBP_Allowed=1 (Kaden Wooden, PLYV). Also bats; E in Fielding x3.</t>
        </is>
      </c>
    </row>
    <row r="234">
      <c r="A234" t="inlineStr">
        <is>
          <t>2026-04-04_PLYV_at_ESTR</t>
        </is>
      </c>
      <c r="B234" s="10" t="n">
        <v>46116</v>
      </c>
      <c r="C234" t="inlineStr">
        <is>
          <t>Eastern Tech Varsity Mavericks</t>
        </is>
      </c>
      <c r="D234" t="inlineStr">
        <is>
          <t>PLYV</t>
        </is>
      </c>
      <c r="E234" t="inlineStr">
        <is>
          <t>Henry Overton</t>
        </is>
      </c>
      <c r="F234" t="n">
        <v>9</v>
      </c>
      <c r="G234" t="n">
        <v>15</v>
      </c>
      <c r="H234" t="n">
        <v>4</v>
      </c>
      <c r="M234" t="n">
        <v>2</v>
      </c>
      <c r="N234" t="n">
        <v>0</v>
      </c>
      <c r="O234" t="n">
        <v>3</v>
      </c>
      <c r="P234" t="n">
        <v>4</v>
      </c>
      <c r="Q234" t="n">
        <v>0</v>
      </c>
      <c r="R234" t="inlineStr">
        <is>
          <t>Pitches-Strikes: 64-38 (not in schema). ER=1; R_Allowed=4 — 3 unearned runs.</t>
        </is>
      </c>
    </row>
    <row r="235">
      <c r="A235" t="inlineStr">
        <is>
          <t>2026-04-04_PLYV_at_ESTR</t>
        </is>
      </c>
      <c r="B235" s="10" t="n">
        <v>46116</v>
      </c>
      <c r="C235" t="inlineStr">
        <is>
          <t>Eastern Tech Varsity Mavericks</t>
        </is>
      </c>
      <c r="D235" t="inlineStr">
        <is>
          <t>PLYV</t>
        </is>
      </c>
      <c r="E235" t="inlineStr">
        <is>
          <t>Daniel Hong</t>
        </is>
      </c>
      <c r="F235" t="n">
        <v>9</v>
      </c>
      <c r="G235" t="n">
        <v>13</v>
      </c>
      <c r="H235" t="n">
        <v>1</v>
      </c>
      <c r="M235" t="n">
        <v>4</v>
      </c>
      <c r="N235" t="n">
        <v>0</v>
      </c>
      <c r="O235" t="n">
        <v>1</v>
      </c>
      <c r="P235" t="n">
        <v>2</v>
      </c>
      <c r="Q235" t="n">
        <v>0</v>
      </c>
      <c r="R235" t="inlineStr">
        <is>
          <t>Pitches-Strikes: 53-24 (not in schema). ER=2 = R_Allowed.</t>
        </is>
      </c>
    </row>
    <row r="236">
      <c r="A236" t="inlineStr">
        <is>
          <t>2026-04-04_PLYV_at_ESTR</t>
        </is>
      </c>
      <c r="B236" s="10" t="n">
        <v>46116</v>
      </c>
      <c r="C236" t="inlineStr">
        <is>
          <t>Eastern Tech Varsity Mavericks</t>
        </is>
      </c>
      <c r="D236" t="inlineStr">
        <is>
          <t>PLYV</t>
        </is>
      </c>
      <c r="E236" t="inlineStr">
        <is>
          <t>Roman Girardi</t>
        </is>
      </c>
      <c r="F236" t="n">
        <v>3</v>
      </c>
      <c r="G236" t="n">
        <v>6</v>
      </c>
      <c r="H236" t="n">
        <v>1</v>
      </c>
      <c r="M236" t="n">
        <v>2</v>
      </c>
      <c r="N236" t="n">
        <v>0</v>
      </c>
      <c r="O236" t="n">
        <v>0</v>
      </c>
      <c r="P236" t="n">
        <v>2</v>
      </c>
      <c r="Q236" t="n">
        <v>0</v>
      </c>
      <c r="R236" t="inlineStr">
        <is>
          <t>Pitches-Strikes: 25-10 (not in schema). ER=2 = R_Allowed.</t>
        </is>
      </c>
    </row>
    <row r="237">
      <c r="A237" t="inlineStr">
        <is>
          <t>2026-04-04_PLYV_at_ESTR</t>
        </is>
      </c>
      <c r="B237" s="10" t="n">
        <v>46116</v>
      </c>
      <c r="C237" t="inlineStr">
        <is>
          <t>Poly Varsity Engineers 2026</t>
        </is>
      </c>
      <c r="D237" t="inlineStr">
        <is>
          <t>ESTR</t>
        </is>
      </c>
      <c r="E237" t="inlineStr">
        <is>
          <t>Kingston Lawrence</t>
        </is>
      </c>
      <c r="F237" t="n">
        <v>11</v>
      </c>
      <c r="G237" t="n">
        <v>19</v>
      </c>
      <c r="H237" t="n">
        <v>3</v>
      </c>
      <c r="M237" t="n">
        <v>1</v>
      </c>
      <c r="N237" t="n">
        <v>2</v>
      </c>
      <c r="O237" t="n">
        <v>5</v>
      </c>
      <c r="P237" t="n">
        <v>2</v>
      </c>
      <c r="Q237" t="n">
        <v>0</v>
      </c>
      <c r="R237" t="inlineStr">
        <is>
          <t>Pitches-Strikes: 71-42 (not in schema). ER=1; R_Allowed=2 — 1 unearned. HBP_Allowed=2. Also bats; 3.2 IP = 11 outs.</t>
        </is>
      </c>
    </row>
    <row r="238">
      <c r="A238" t="inlineStr">
        <is>
          <t>2026-04-04_PLYV_at_ESTR</t>
        </is>
      </c>
      <c r="B238" s="10" t="n">
        <v>46116</v>
      </c>
      <c r="C238" t="inlineStr">
        <is>
          <t>Poly Varsity Engineers 2026</t>
        </is>
      </c>
      <c r="D238" t="inlineStr">
        <is>
          <t>ESTR</t>
        </is>
      </c>
      <c r="E238" t="inlineStr">
        <is>
          <t>Mason Glatt</t>
        </is>
      </c>
      <c r="F238" t="n">
        <v>1</v>
      </c>
      <c r="G238" t="n">
        <v>6</v>
      </c>
      <c r="H238" t="n">
        <v>2</v>
      </c>
      <c r="M238" t="n">
        <v>2</v>
      </c>
      <c r="N238" t="n">
        <v>1</v>
      </c>
      <c r="O238" t="n">
        <v>0</v>
      </c>
      <c r="P238" t="n">
        <v>2</v>
      </c>
      <c r="Q238" t="n">
        <v>0</v>
      </c>
      <c r="R238" t="inlineStr">
        <is>
          <t>Pitches-Strikes: 23-11 (not in schema). ER=2 = R_Allowed. HBP_Allowed=1. Also bats; 0.1 IP = 1 out.</t>
        </is>
      </c>
    </row>
    <row r="239">
      <c r="A239" t="inlineStr">
        <is>
          <t>2026-04-04_PLYV_at_ESTR</t>
        </is>
      </c>
      <c r="B239" s="10" t="n">
        <v>46116</v>
      </c>
      <c r="C239" t="inlineStr">
        <is>
          <t>Poly Varsity Engineers 2026</t>
        </is>
      </c>
      <c r="D239" t="inlineStr">
        <is>
          <t>ESTR</t>
        </is>
      </c>
      <c r="E239" t="inlineStr">
        <is>
          <t>Nate Noyes</t>
        </is>
      </c>
      <c r="F239" t="n">
        <v>9</v>
      </c>
      <c r="G239" t="n">
        <v>9</v>
      </c>
      <c r="H239" t="n">
        <v>2</v>
      </c>
      <c r="M239" t="n">
        <v>0</v>
      </c>
      <c r="N239" t="n">
        <v>0</v>
      </c>
      <c r="O239" t="n">
        <v>6</v>
      </c>
      <c r="P239" t="n">
        <v>0</v>
      </c>
      <c r="Q239" t="n">
        <v>0</v>
      </c>
      <c r="R239" t="inlineStr">
        <is>
          <t>Pitches-Strikes: 32-24 (not in schema). ER=0 = R_Allowed. Also bats.</t>
        </is>
      </c>
    </row>
    <row r="240">
      <c r="A240" t="inlineStr">
        <is>
          <t>2026-04-04_PRKS_at_PLYV</t>
        </is>
      </c>
      <c r="B240" s="10" t="n">
        <v>46116</v>
      </c>
      <c r="C240" t="inlineStr">
        <is>
          <t>Park School Varsity Bruins</t>
        </is>
      </c>
      <c r="D240" t="inlineStr">
        <is>
          <t>PLYV</t>
        </is>
      </c>
      <c r="E240" t="inlineStr">
        <is>
          <t>Nathaniel Barry</t>
        </is>
      </c>
      <c r="F240" t="n">
        <v>6</v>
      </c>
      <c r="G240" t="n">
        <v>10</v>
      </c>
      <c r="H240" t="n">
        <v>1</v>
      </c>
      <c r="M240" t="n">
        <v>2</v>
      </c>
      <c r="N240" t="n">
        <v>1</v>
      </c>
      <c r="O240" t="n">
        <v>3</v>
      </c>
      <c r="P240" t="n">
        <v>2</v>
      </c>
      <c r="Q240" t="n">
        <v>0</v>
      </c>
      <c r="R240" t="inlineStr">
        <is>
          <t>Pitches-Strikes: 41-23 (not in schema). ER=2 = R_Allowed. HBP_Allowed=1 (True Bridgeford).</t>
        </is>
      </c>
    </row>
    <row r="241">
      <c r="A241" t="inlineStr">
        <is>
          <t>2026-04-04_PRKS_at_PLYV</t>
        </is>
      </c>
      <c r="B241" s="10" t="n">
        <v>46116</v>
      </c>
      <c r="C241" t="inlineStr">
        <is>
          <t>Park School Varsity Bruins</t>
        </is>
      </c>
      <c r="D241" t="inlineStr">
        <is>
          <t>PLYV</t>
        </is>
      </c>
      <c r="E241" t="inlineStr">
        <is>
          <t>Max Freeman</t>
        </is>
      </c>
      <c r="F241" t="n">
        <v>12</v>
      </c>
      <c r="G241" t="n">
        <v>16</v>
      </c>
      <c r="H241" t="n">
        <v>1</v>
      </c>
      <c r="M241" t="n">
        <v>3</v>
      </c>
      <c r="N241" t="n">
        <v>0</v>
      </c>
      <c r="O241" t="n">
        <v>5</v>
      </c>
      <c r="P241" t="n">
        <v>1</v>
      </c>
      <c r="Q241" t="n">
        <v>1</v>
      </c>
      <c r="R241" t="inlineStr">
        <is>
          <t>(W) designation; not written to column. Pitches-Strikes: 65-41 (not in schema). ER=0; R_Allowed=1 — 1 unearned run allowed.</t>
        </is>
      </c>
    </row>
    <row r="242">
      <c r="A242" t="inlineStr">
        <is>
          <t>2026-04-04_PRKS_at_PLYV</t>
        </is>
      </c>
      <c r="B242" s="10" t="n">
        <v>46116</v>
      </c>
      <c r="C242" t="inlineStr">
        <is>
          <t>Park School Varsity Bruins</t>
        </is>
      </c>
      <c r="D242" t="inlineStr">
        <is>
          <t>PLYV</t>
        </is>
      </c>
      <c r="E242" t="inlineStr">
        <is>
          <t>Kingston Antonio</t>
        </is>
      </c>
      <c r="F242" t="n">
        <v>3</v>
      </c>
      <c r="G242" t="n">
        <v>3</v>
      </c>
      <c r="H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Pitches-Strikes: 13-7 (not in schema). ER=0 = R_Allowed. Also bats.</t>
        </is>
      </c>
    </row>
    <row r="243">
      <c r="A243" t="inlineStr">
        <is>
          <t>2026-04-04_PRKS_at_PLYV</t>
        </is>
      </c>
      <c r="B243" s="10" t="n">
        <v>46116</v>
      </c>
      <c r="C243" t="inlineStr">
        <is>
          <t>Poly Varsity Engineers 2026</t>
        </is>
      </c>
      <c r="D243" t="inlineStr">
        <is>
          <t>PRKS</t>
        </is>
      </c>
      <c r="E243" t="inlineStr">
        <is>
          <t>I Shapero</t>
        </is>
      </c>
      <c r="F243" t="n">
        <v>3</v>
      </c>
      <c r="G243" t="n">
        <v>6</v>
      </c>
      <c r="H243" t="n">
        <v>2</v>
      </c>
      <c r="M243" t="n">
        <v>1</v>
      </c>
      <c r="N243" t="n">
        <v>0</v>
      </c>
      <c r="O243" t="n">
        <v>2</v>
      </c>
      <c r="P243" t="n">
        <v>1</v>
      </c>
      <c r="Q243" t="n">
        <v>1</v>
      </c>
      <c r="R243" t="inlineStr">
        <is>
          <t>Pitches-Strikes: 22-13 (not in schema). ER=1 = R_Allowed.</t>
        </is>
      </c>
    </row>
    <row r="244">
      <c r="A244" t="inlineStr">
        <is>
          <t>2026-04-04_PRKS_at_PLYV</t>
        </is>
      </c>
      <c r="B244" s="10" t="n">
        <v>46116</v>
      </c>
      <c r="C244" t="inlineStr">
        <is>
          <t>Poly Varsity Engineers 2026</t>
        </is>
      </c>
      <c r="D244" t="inlineStr">
        <is>
          <t>PRKS</t>
        </is>
      </c>
      <c r="E244" t="inlineStr">
        <is>
          <t>Cam Blum</t>
        </is>
      </c>
      <c r="F244" t="n">
        <v>9</v>
      </c>
      <c r="G244" t="n">
        <v>18</v>
      </c>
      <c r="H244" t="n">
        <v>6</v>
      </c>
      <c r="M244" t="n">
        <v>2</v>
      </c>
      <c r="N244" t="n">
        <v>1</v>
      </c>
      <c r="O244" t="n">
        <v>5</v>
      </c>
      <c r="P244" t="n">
        <v>6</v>
      </c>
      <c r="Q244" t="n">
        <v>2</v>
      </c>
      <c r="R244" t="inlineStr">
        <is>
          <t>(L) designation; not written to column. Pitches-Strikes: 72-42 (not in schema). ER=6 = R_Allowed. HBP_Allowed=1 (Joshua Tyree or Kingston Antonio). WP=2.</t>
        </is>
      </c>
    </row>
    <row r="245">
      <c r="A245" t="inlineStr">
        <is>
          <t>2026-04-04_PRKS_at_PLYV</t>
        </is>
      </c>
      <c r="B245" s="10" t="n">
        <v>46116</v>
      </c>
      <c r="C245" t="inlineStr">
        <is>
          <t>Poly Varsity Engineers 2026</t>
        </is>
      </c>
      <c r="D245" t="inlineStr">
        <is>
          <t>PRKS</t>
        </is>
      </c>
      <c r="E245" t="inlineStr">
        <is>
          <t>Dylan Katz</t>
        </is>
      </c>
      <c r="F245" t="n">
        <v>6</v>
      </c>
      <c r="G245" t="n">
        <v>12</v>
      </c>
      <c r="H245" t="n">
        <v>6</v>
      </c>
      <c r="M245" t="n">
        <v>0</v>
      </c>
      <c r="N245" t="n">
        <v>0</v>
      </c>
      <c r="O245" t="n">
        <v>1</v>
      </c>
      <c r="P245" t="n">
        <v>4</v>
      </c>
      <c r="Q245" t="n">
        <v>1</v>
      </c>
      <c r="R245" t="inlineStr">
        <is>
          <t>Pitches-Strikes: 30-22 (not in schema). ER=4 = R_Allowed. WP=1.</t>
        </is>
      </c>
    </row>
    <row r="246">
      <c r="A246" t="inlineStr">
        <is>
          <t>2026-04-04_PRKS_at_PLYV</t>
        </is>
      </c>
      <c r="B246" s="10" t="n">
        <v>46116</v>
      </c>
      <c r="C246" t="inlineStr">
        <is>
          <t>Poly Varsity Engineers 2026</t>
        </is>
      </c>
      <c r="D246" t="inlineStr">
        <is>
          <t>PRKS</t>
        </is>
      </c>
      <c r="E246" t="inlineStr">
        <is>
          <t>James Robbins</t>
        </is>
      </c>
      <c r="F246" t="n">
        <v>3</v>
      </c>
      <c r="G246" t="n">
        <v>8</v>
      </c>
      <c r="H246" t="n">
        <v>2</v>
      </c>
      <c r="M246" t="n">
        <v>1</v>
      </c>
      <c r="N246" t="n">
        <v>1</v>
      </c>
      <c r="O246" t="n">
        <v>2</v>
      </c>
      <c r="P246" t="n">
        <v>3</v>
      </c>
      <c r="Q246" t="n">
        <v>1</v>
      </c>
      <c r="R246" t="inlineStr">
        <is>
          <t>Pitches-Strikes: 33-17 (not in schema). ER=3 = R_Allowed. HBP_Allowed=1 (Kingston Antonio or Joshua Tyree). WP=1.</t>
        </is>
      </c>
    </row>
    <row r="247">
      <c r="A247" t="inlineStr">
        <is>
          <t>2026-03-14_CNTN_at_WSTM</t>
        </is>
      </c>
      <c r="B247" s="10" t="n">
        <v>46095</v>
      </c>
      <c r="C247" t="inlineStr">
        <is>
          <t>Westminster Varsity Owls</t>
        </is>
      </c>
      <c r="D247" t="inlineStr">
        <is>
          <t>CNTN</t>
        </is>
      </c>
      <c r="E247" t="inlineStr">
        <is>
          <t>C Stachera</t>
        </is>
      </c>
      <c r="F247" t="n">
        <v>3</v>
      </c>
      <c r="G247" t="n">
        <v>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inlineStr">
        <is>
          <t>B1 (plays #5-#7); entry inferred from play descriptions (Flag #1) — no Lineup changed note; opening pitcher for CNTN. K: J Cedeno K_S (play #6).</t>
        </is>
      </c>
    </row>
    <row r="248">
      <c r="A248" t="inlineStr">
        <is>
          <t>2026-03-14_CNTN_at_WSTM</t>
        </is>
      </c>
      <c r="B248" s="10" t="n">
        <v>46095</v>
      </c>
      <c r="C248" t="inlineStr">
        <is>
          <t>Westminster Varsity Owls</t>
        </is>
      </c>
      <c r="D248" t="inlineStr">
        <is>
          <t>CNTN</t>
        </is>
      </c>
      <c r="E248" t="inlineStr">
        <is>
          <t>A Lee</t>
        </is>
      </c>
      <c r="F248" t="n">
        <v>3</v>
      </c>
      <c r="G248" t="n">
        <v>5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2</v>
      </c>
      <c r="P248" t="n">
        <v>1</v>
      </c>
      <c r="Q248" t="n">
        <v>0</v>
      </c>
      <c r="R248" t="inlineStr">
        <is>
          <t>B2 (plays #11-#15); Lineup changed note play #11. H: B 1B (play #13). BB: B Barrett (play #12). K: C Messier K_S (play #14), W Shepperd K_L (play #15). R_Allowed=1: B Barrett scores on error by catcher B Harris embedded play #14 (CNTN Error #1) — run on error.</t>
        </is>
      </c>
    </row>
    <row r="249">
      <c r="A249" t="inlineStr">
        <is>
          <t>2026-03-14_CNTN_at_WSTM</t>
        </is>
      </c>
      <c r="B249" s="10" t="n">
        <v>46095</v>
      </c>
      <c r="C249" t="inlineStr">
        <is>
          <t>Westminster Varsity Owls</t>
        </is>
      </c>
      <c r="D249" t="inlineStr">
        <is>
          <t>CNTN</t>
        </is>
      </c>
      <c r="E249" t="inlineStr">
        <is>
          <t>C Proescher</t>
        </is>
      </c>
      <c r="F249" t="n">
        <v>3</v>
      </c>
      <c r="G249" t="n">
        <v>8</v>
      </c>
      <c r="H249" t="n">
        <v>2</v>
      </c>
      <c r="I249" t="n">
        <v>1</v>
      </c>
      <c r="J249" t="n">
        <v>1</v>
      </c>
      <c r="K249" t="n">
        <v>0</v>
      </c>
      <c r="L249" t="n">
        <v>0</v>
      </c>
      <c r="M249" t="n">
        <v>2</v>
      </c>
      <c r="N249" t="n">
        <v>0</v>
      </c>
      <c r="O249" t="n">
        <v>2</v>
      </c>
      <c r="P249" t="n">
        <v>3</v>
      </c>
      <c r="Q249" t="n">
        <v>1</v>
      </c>
      <c r="R249" t="inlineStr">
        <is>
          <t>B3 (plays #20-#27); Lineup changed note play #20. H: R Winebrunner 2B (play #20), B Barrett 1B (play #25). BB: M Stonesifer (play #24), B (play #26). K: C Stultz K_L (play #21), J Cedeno K_S (play #22). WP: play #27 embedded (M Stonesifer scores). R_Allowed=3: R Winebrunner scores on balk play #21 (balk not in schema, noted here — CNTN Error #2 same play embedded); Paul scores on B Barrett 1B play #25; M Stonesifer scores on WP play #27.</t>
        </is>
      </c>
    </row>
    <row r="250">
      <c r="A250" t="inlineStr">
        <is>
          <t>2026-03-14_CNTN_at_WSTM</t>
        </is>
      </c>
      <c r="B250" s="10" t="n">
        <v>46095</v>
      </c>
      <c r="C250" t="inlineStr">
        <is>
          <t>Westminster Varsity Owls</t>
        </is>
      </c>
      <c r="D250" t="inlineStr">
        <is>
          <t>CNTN</t>
        </is>
      </c>
      <c r="E250" t="inlineStr">
        <is>
          <t>A Barrett</t>
        </is>
      </c>
      <c r="F250" t="n">
        <v>3</v>
      </c>
      <c r="G250" t="n">
        <v>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</v>
      </c>
      <c r="N250" t="n">
        <v>0</v>
      </c>
      <c r="O250" t="n">
        <v>2</v>
      </c>
      <c r="P250" t="n">
        <v>1</v>
      </c>
      <c r="Q250" t="n">
        <v>1</v>
      </c>
      <c r="R250" t="inlineStr">
        <is>
          <t>B4 (plays #32-#35); Lineup changed note play #32. BB: W Shepperd (play #32), C Stultz (play #34). K: R Winebrunner K_L (play #33), J Cedeno K_S (play #35). WP: play #35 embedded (C Stultz scores). R_Allowed=1: C Stultz scores on WP embedded play #35. Runner Out: J Stone picked off at 3rd (out #2 in inning, embedded play #35 Sec4 — pitcher A Barrett to 3B A Lee). CNTN Error #4 by A Barrett embedded play #35.</t>
        </is>
      </c>
    </row>
    <row r="251">
      <c r="A251" t="inlineStr">
        <is>
          <t>2026-03-14_CNTN_at_WSTM</t>
        </is>
      </c>
      <c r="B251" s="10" t="n">
        <v>46095</v>
      </c>
      <c r="C251" t="inlineStr">
        <is>
          <t>Westminster Varsity Owls</t>
        </is>
      </c>
      <c r="D251" t="inlineStr">
        <is>
          <t>CNTN</t>
        </is>
      </c>
      <c r="E251" t="inlineStr">
        <is>
          <t>E Rayne</t>
        </is>
      </c>
      <c r="F251" t="n">
        <v>3</v>
      </c>
      <c r="G251" t="n">
        <v>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inlineStr">
        <is>
          <t>B5 (plays #39-#42); Lineup changed note play #39. BB: B Barrett (play #41). K: B K_L (play #42). R_Allowed=0.</t>
        </is>
      </c>
    </row>
    <row r="252">
      <c r="A252" t="inlineStr">
        <is>
          <t>2026-03-14_CNTN_at_WSTM</t>
        </is>
      </c>
      <c r="B252" s="10" t="n">
        <v>46095</v>
      </c>
      <c r="C252" t="inlineStr">
        <is>
          <t>Westminster Varsity Owls</t>
        </is>
      </c>
      <c r="D252" t="inlineStr">
        <is>
          <t>CNTN</t>
        </is>
      </c>
      <c r="E252" t="inlineStr">
        <is>
          <t>B Johnston</t>
        </is>
      </c>
      <c r="F252" t="n">
        <v>3</v>
      </c>
      <c r="G252" t="n">
        <v>4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0</v>
      </c>
      <c r="Q252" t="n">
        <v>0</v>
      </c>
      <c r="R252" t="inlineStr">
        <is>
          <t>B6 (plays #47-#50); Lineup changed note play #47. H: C Messier 1B (play #47). K: W Shepperd K_L (play #48), C Stultz K_S (play #50). C Messier steals 2nd embedded play #50 Sec4 (during C Stultz K AB). R_Allowed=0.</t>
        </is>
      </c>
    </row>
    <row r="253">
      <c r="A253" t="inlineStr">
        <is>
          <t>2026-03-14_CNTN_at_WSTM</t>
        </is>
      </c>
      <c r="B253" s="10" t="n">
        <v>46095</v>
      </c>
      <c r="C253" t="inlineStr">
        <is>
          <t>Centennial Varsity Eagles</t>
        </is>
      </c>
      <c r="D253" t="inlineStr">
        <is>
          <t>WSTM</t>
        </is>
      </c>
      <c r="E253" t="inlineStr">
        <is>
          <t>B Barrett</t>
        </is>
      </c>
      <c r="F253" t="n">
        <v>9</v>
      </c>
      <c r="G253" t="n">
        <v>11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3</v>
      </c>
      <c r="P253" t="n">
        <v>0</v>
      </c>
      <c r="Q253" t="n">
        <v>0</v>
      </c>
      <c r="R253" t="inlineStr">
        <is>
          <t>T1-T3; Lineup changed note play #1. T1 BF=4 (A Gauthier K_S, E Rayne GO, C Bade 1B, A Banks PO), Outs=3, H=1, K=1. T2 BF=3 (B Harris GO, C Stachera PO, L Choe GO), Outs=3. T3 BF=4 (C Proescher K_L, B Johnston K_L, A Gauthier BB, E Rayne GO), Outs=3, K=2, BB=1. R_Allowed=0. B Barrett also bats for WSTM.</t>
        </is>
      </c>
    </row>
    <row r="254">
      <c r="A254" t="inlineStr">
        <is>
          <t>2026-03-14_CNTN_at_WSTM</t>
        </is>
      </c>
      <c r="B254" s="10" t="n">
        <v>46095</v>
      </c>
      <c r="C254" t="inlineStr">
        <is>
          <t>Centennial Varsity Eagles</t>
        </is>
      </c>
      <c r="D254" t="inlineStr">
        <is>
          <t>WSTM</t>
        </is>
      </c>
      <c r="E254" t="inlineStr">
        <is>
          <t>L Rohde</t>
        </is>
      </c>
      <c r="F254" t="n">
        <v>6</v>
      </c>
      <c r="G254" t="n">
        <v>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t="n">
        <v>1</v>
      </c>
      <c r="Q254" t="n">
        <v>0</v>
      </c>
      <c r="R254" t="inlineStr">
        <is>
          <t>T4-T5; Lineup changed note play #28. T4 BF=4 (C Bade BB, A Banks PO, B Harris GO, C Stachera K_S), Outs=3, BB=1, K=1, R_Allowed=1 (C Bade scores on PB during C Stachera K AB play #31 — PB not in schema, noted here). T5 BF=3 (L Choe GO, C Proescher GO, B Johnston GO), Outs=3. R_Allowed=1 total.</t>
        </is>
      </c>
    </row>
    <row r="255">
      <c r="A255" t="inlineStr">
        <is>
          <t>2026-03-14_CNTN_at_WSTM</t>
        </is>
      </c>
      <c r="B255" s="10" t="n">
        <v>46095</v>
      </c>
      <c r="C255" t="inlineStr">
        <is>
          <t>Centennial Varsity Eagles</t>
        </is>
      </c>
      <c r="D255" t="inlineStr">
        <is>
          <t>WSTM</t>
        </is>
      </c>
      <c r="E255" t="inlineStr">
        <is>
          <t>W Shepperd</t>
        </is>
      </c>
      <c r="F255" t="n">
        <v>3</v>
      </c>
      <c r="G255" t="n">
        <v>4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0</v>
      </c>
      <c r="Q255" t="n">
        <v>0</v>
      </c>
      <c r="R255" t="inlineStr">
        <is>
          <t>T6 (plays #43-#46); entry inferred from play descriptions (Flag #2) — no Lineup changed note. H: B Corrao 1B (play #43, mid-AB sub for A Gauthier — PA credited to B Corrao). K: A Barrett K_S (play #45), A Lee K_S (play #46). B Corrao steals 3rd embedded play #46 Sec4. R_Allowed=0. W Shepperd also bats for WSTM.</t>
        </is>
      </c>
    </row>
    <row r="256">
      <c r="A256" t="inlineStr">
        <is>
          <t>2026-03-14_CNTN_at_WSTM</t>
        </is>
      </c>
      <c r="B256" s="10" t="n">
        <v>46095</v>
      </c>
      <c r="C256" t="inlineStr">
        <is>
          <t>Centennial Varsity Eagles</t>
        </is>
      </c>
      <c r="D256" t="inlineStr">
        <is>
          <t>WSTM</t>
        </is>
      </c>
      <c r="E256" t="inlineStr">
        <is>
          <t>O Brilhart</t>
        </is>
      </c>
      <c r="F256" t="n">
        <v>3</v>
      </c>
      <c r="G256" t="n">
        <v>3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0</v>
      </c>
      <c r="Q256" t="n">
        <v>0</v>
      </c>
      <c r="R256" t="inlineStr">
        <is>
          <t>T7 (plays #51-#53); Lineup changed note play #51. K: E Ogg K_S (play #51), W Sisolak K_L (play #53). LO: L Rivkin (play #52). R_Allowed=0.</t>
        </is>
      </c>
    </row>
    <row r="257">
      <c r="A257" t="inlineStr">
        <is>
          <t>2026-03-21_CNTN_at_WLDL</t>
        </is>
      </c>
      <c r="B257" s="10" t="n">
        <v>46102</v>
      </c>
      <c r="C257" t="inlineStr">
        <is>
          <t>Wilde Lake Varsity Cats</t>
        </is>
      </c>
      <c r="D257" t="inlineStr">
        <is>
          <t>CNTN</t>
        </is>
      </c>
      <c r="E257" t="inlineStr">
        <is>
          <t>C Stachera</t>
        </is>
      </c>
      <c r="F257" t="n">
        <v>12</v>
      </c>
      <c r="G257" t="n">
        <v>13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10</v>
      </c>
      <c r="P257" t="n">
        <v>0</v>
      </c>
      <c r="Q257" t="n">
        <v>0</v>
      </c>
      <c r="R257" t="inlineStr">
        <is>
          <t>B1-B4; entry play #7 (Lineup changed note). B1 BF=4 (T Sommer K_L, D Coleman BB, N Dalesio K_L, J Bunnell K_S foul tip), Outs=3, K=3, BB=1. B2 BF=3 (W Switzer K_S, R Schmidt GO, D Linares K_S), Outs=3, K=2. B3 BF=3 (B Habershon K_L, A Lindsay K_L, T Sommer GO), Outs=3, K=2; duplicate Lineup changed entry play #25 (Flag #4). B4 BF=3 (D Coleman K_L, N Dalesio K_S dropped 3rd, J Bunnell K_L), Outs=3, K=3. R_Allowed=0. PB B1 play #10 embedded (D Coleman 1st→2nd during J Bunnell foul-tip K AB) — PB not in schema, noted here. E Ogg PR for C Stachera T3 play #24 — C Stachera continues pitching (Flag #6). Also bats for CNTN.</t>
        </is>
      </c>
    </row>
    <row r="258">
      <c r="A258" t="inlineStr">
        <is>
          <t>2026-03-21_CNTN_at_WLDL</t>
        </is>
      </c>
      <c r="B258" s="10" t="n">
        <v>46102</v>
      </c>
      <c r="C258" t="inlineStr">
        <is>
          <t>Wilde Lake Varsity Cats</t>
        </is>
      </c>
      <c r="D258" t="inlineStr">
        <is>
          <t>CNTN</t>
        </is>
      </c>
      <c r="E258" t="inlineStr">
        <is>
          <t>E Rayne</t>
        </is>
      </c>
      <c r="F258" t="n">
        <v>3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  <c r="P258" t="n">
        <v>0</v>
      </c>
      <c r="Q258" t="n">
        <v>0</v>
      </c>
      <c r="R258" t="inlineStr">
        <is>
          <t>B5; entry inferred from play descriptions (Flag #3) — no Lineup changed note. BF=3 (W Switzer K_S, R Schmidt K_S, D Linares K_S). 3 K, 0 BB, 0 H, R_Allowed=0. Also bats for CNTN.</t>
        </is>
      </c>
    </row>
    <row r="259">
      <c r="A259" t="inlineStr">
        <is>
          <t>2026-03-21_CNTN_at_WLDL</t>
        </is>
      </c>
      <c r="B259" s="10" t="n">
        <v>46102</v>
      </c>
      <c r="C259" t="inlineStr">
        <is>
          <t>Centennial Varsity Eagles</t>
        </is>
      </c>
      <c r="D259" t="inlineStr">
        <is>
          <t>WLDL</t>
        </is>
      </c>
      <c r="E259" t="inlineStr">
        <is>
          <t>T Sommer</t>
        </is>
      </c>
      <c r="F259" t="n">
        <v>8</v>
      </c>
      <c r="G259" t="n">
        <v>15</v>
      </c>
      <c r="H259" t="n">
        <v>3</v>
      </c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2</v>
      </c>
      <c r="O259" t="n">
        <v>2</v>
      </c>
      <c r="P259" t="n">
        <v>4</v>
      </c>
      <c r="Q259" t="n">
        <v>1</v>
      </c>
      <c r="R259" t="inlineStr">
        <is>
          <t>T1-T3 plays #1-#22; entry play #1 (Lineup changed note). T1 BF=6 (A Gauthier HBP, E Rayne FO, C Bade FC, A Banks K_S dropped 3rd/WP, B Harris Error-ROE, B Corrao GO), Outs=3, HBP=1, K=1, WP=1, R=2. T2 BF=7 (C Stachera 1B, L Choe PO, E Ortiz K_S, A Gauthier HBP, E Rayne 1B, C Bade 1B, A Banks PO), Outs=3, H=3, HBP=1, K=1, R=2. T3 plays #21-#22: BF=2 (B Harris K_L, B Corrao PO), Outs=2; pitcher for play #22 ambiguous (Flag #1) — attributed to T Sommer as last named pitcher. WP: play #4 T1 (dropped 3rd/WP mechanism — A Banks reaches, C Bade scores). PB: play #17 T2 (E Rayne to 3rd, C Bade to 2nd during A Banks PO AB) — PB not in schema, noted here. Also bats for WLDL.</t>
        </is>
      </c>
    </row>
    <row r="260">
      <c r="A260" t="inlineStr">
        <is>
          <t>2026-03-21_CNTN_at_WLDL</t>
        </is>
      </c>
      <c r="B260" s="10" t="n">
        <v>46102</v>
      </c>
      <c r="C260" t="inlineStr">
        <is>
          <t>Centennial Varsity Eagles</t>
        </is>
      </c>
      <c r="D260" t="inlineStr">
        <is>
          <t>WLDL</t>
        </is>
      </c>
      <c r="E260" t="inlineStr">
        <is>
          <t>R Schmidt</t>
        </is>
      </c>
      <c r="F260" t="n">
        <v>6</v>
      </c>
      <c r="G260" t="n">
        <v>14</v>
      </c>
      <c r="H260" t="n">
        <v>6</v>
      </c>
      <c r="I260" t="n">
        <v>4</v>
      </c>
      <c r="J260" t="n">
        <v>2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6</v>
      </c>
      <c r="Q260" t="n">
        <v>2</v>
      </c>
      <c r="R260" t="inlineStr">
        <is>
          <t>T3 plays #23-#24 + T4 plays #28-#33 + T5 plays #37-#42; entry inferred play #23 (Flag #1). T3 BF=2 (C Stachera HBP, L Choe K_L), Outs=1, HBP=1, K=1, R=0. T4 BF=6 (E Ortiz Error-ROE, A Gauthier 2B, E Rayne 2B, C Bade PO, A Banks GO, B Harris LO), Outs=3, H=2 (2B×2), WP=2, R=3. T5 plays #37-#42 BF=6 (B Corrao 1B, C Stachera 1B, L Choe GO, E Ortiz 1B, A Gauthier 1B, E Rayne GO), Outs=2, H=4, R=3. T4 pitcher attribution inferred — no WLDL pitcher named in any T4 play (Flags #1, #2). T5 plays #37-#42 attributed to R Schmidt as last named pitcher before B Habershon enters play #43 (Flag #2). WP×2: both during A Gauthier AB T4 (play #29 Sec4: E Ortiz 1st→2nd, 2nd→3rd). Also bats for WLDL.</t>
        </is>
      </c>
    </row>
    <row r="261">
      <c r="A261" t="inlineStr">
        <is>
          <t>2026-03-21_CNTN_at_WLDL</t>
        </is>
      </c>
      <c r="B261" s="10" t="n">
        <v>46102</v>
      </c>
      <c r="C261" t="inlineStr">
        <is>
          <t>Centennial Varsity Eagles</t>
        </is>
      </c>
      <c r="D261" t="inlineStr">
        <is>
          <t>WLDL</t>
        </is>
      </c>
      <c r="E261" t="inlineStr">
        <is>
          <t>B Habershon</t>
        </is>
      </c>
      <c r="F261" t="n">
        <v>1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T5 plays #43-#44; entry inferred from play description play #43 (Flag #2) — no Lineup changed note. BF=2 (C Bade BB, A Banks FO), Outs=1, BB=1, R=0. C Bade and A Gauthier stranded. Also bats for WLDL (B3) and committed WLDL Error #3 play #38 embedded (T5).</t>
        </is>
      </c>
    </row>
    <row r="262">
      <c r="A262" t="inlineStr">
        <is>
          <t>2026-03-23_HMMN_at_CNTN</t>
        </is>
      </c>
      <c r="B262" s="10" t="n">
        <v>46104</v>
      </c>
      <c r="C262" t="inlineStr">
        <is>
          <t>Hammond Varsity Bears</t>
        </is>
      </c>
      <c r="D262" t="inlineStr">
        <is>
          <t>CNTN</t>
        </is>
      </c>
      <c r="E262" t="inlineStr">
        <is>
          <t>A Lee</t>
        </is>
      </c>
      <c r="F262" t="n">
        <v>12</v>
      </c>
      <c r="G262" t="n">
        <v>16</v>
      </c>
      <c r="H262" t="n">
        <v>2</v>
      </c>
      <c r="I262" t="n">
        <v>2</v>
      </c>
      <c r="J262" t="n">
        <v>0</v>
      </c>
      <c r="K262" t="n">
        <v>0</v>
      </c>
      <c r="L262" t="n">
        <v>0</v>
      </c>
      <c r="M262" t="n">
        <v>3</v>
      </c>
      <c r="N262" t="n">
        <v>0</v>
      </c>
      <c r="O262" t="n">
        <v>5</v>
      </c>
      <c r="P262" t="n">
        <v>0</v>
      </c>
      <c r="Q262" t="n">
        <v>1</v>
      </c>
      <c r="R262" t="inlineStr">
        <is>
          <t>T1-T4; entry play #1 (Lineup changed note). T1: BF=3, Outs=3 (Y Rivera GO, J Willis BB+CS embedded, P Yarnell K_L). CS credited to J Willis; out #2 = CS, out #3 = P Yarnell K. WP T2 play #14 (C Stryker advances 2nd→3rd during G Garris Walk AB). T2: BF=6, Outs=3, H=1 (C Stryker 1B), BB=2 (D Bhatt, G Garris), K=2 (L Tordella, G Draminski). T3: BF=3, Outs=3, K=1 (Y Rivera K_S). T4: BF=4, Outs=3, H=1 (G Draminski 1B), K=1 (L Tordella K_S). R_Allowed=0 all 4 innings. Also: C Stachera bats as CNTN player (pitching role separate).</t>
        </is>
      </c>
    </row>
    <row r="263">
      <c r="A263" t="inlineStr">
        <is>
          <t>2026-03-23_HMMN_at_CNTN</t>
        </is>
      </c>
      <c r="B263" s="10" t="n">
        <v>46104</v>
      </c>
      <c r="C263" t="inlineStr">
        <is>
          <t>Hammond Varsity Bears</t>
        </is>
      </c>
      <c r="D263" t="inlineStr">
        <is>
          <t>CNTN</t>
        </is>
      </c>
      <c r="E263" t="inlineStr">
        <is>
          <t>C Proescher</t>
        </is>
      </c>
      <c r="F263" t="n">
        <v>9</v>
      </c>
      <c r="G263" t="n">
        <v>12</v>
      </c>
      <c r="H263" t="n">
        <v>2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6</v>
      </c>
      <c r="P263" t="n">
        <v>1</v>
      </c>
      <c r="Q263" t="n">
        <v>1</v>
      </c>
      <c r="R263" t="inlineStr">
        <is>
          <t>T5-T7; entry play #36 (Lineup changed note). T5: BF=5, Outs=3, H=2 (Y Rivera 1B, J Willis 1B), K=1 (G Garris K_S), WP=1 (play #40: J Willis advances 2nd during P Yarnell AB), R_Allowed=1 (Y Rivera scores on CNTN Error #2 by CF C Bade during J Willis AB — error run still charged to active pitcher). T6: BF=3, Outs=3, K=2 (C Stryker K_S, L Tordella K_L; G Draminski FO inferred at play #56). T7: BF=4, Outs=3, K=3 (T Thomas K_S dropped 3rd reaches via PB; L Duckworth K_L; K Gardner K_S). PB play #63 T Thomas — not WP (noted here; PB not in schema). Total R_Allowed=1.</t>
        </is>
      </c>
    </row>
    <row r="264">
      <c r="A264" t="inlineStr">
        <is>
          <t>2026-03-23_HMMN_at_CNTN</t>
        </is>
      </c>
      <c r="B264" s="10" t="n">
        <v>46104</v>
      </c>
      <c r="C264" t="inlineStr">
        <is>
          <t>Centennial Varsity Eagles</t>
        </is>
      </c>
      <c r="D264" t="inlineStr">
        <is>
          <t>HMMN</t>
        </is>
      </c>
      <c r="E264" t="inlineStr">
        <is>
          <t>D Bhatt</t>
        </is>
      </c>
      <c r="F264" t="n">
        <v>13</v>
      </c>
      <c r="G264" t="n">
        <v>23</v>
      </c>
      <c r="H264" t="n">
        <v>7</v>
      </c>
      <c r="I264" t="n">
        <v>4</v>
      </c>
      <c r="J264" t="n">
        <v>3</v>
      </c>
      <c r="K264" t="n">
        <v>0</v>
      </c>
      <c r="L264" t="n">
        <v>0</v>
      </c>
      <c r="M264" t="n">
        <v>3</v>
      </c>
      <c r="N264" t="n">
        <v>1</v>
      </c>
      <c r="O264" t="n">
        <v>1</v>
      </c>
      <c r="P264" t="n">
        <v>2</v>
      </c>
      <c r="Q264" t="n">
        <v>0</v>
      </c>
      <c r="R264" t="inlineStr">
        <is>
          <t>B1-B5 play #44; entry inferred (Flag #1). B1: BF=6, Outs=3, H=2 (A Gauthier 1B, E Rayne 2B), BB=1 (A Banks), K=1 (B Harris K_S), R=1 (A Gauthier scores on E Rayne 2B play #5). B2: BF=5, Outs=3 (L Choe SAC + E Rayne DP 2 outs), H=1 (D Hill 1B), BB=1 (C Stachera), HBP=1 (A Gauthier), R=0. E Rayne DP: flyball to RF G Garris + C Stachera out at home on tag-up = 2 outs credited. B3: BF=5, Outs=3 (C Bade PO, runner A Banks out on FC, C Stachera GO), H=2 (A Banks 1B, B Corrao 2B), R=0. B4: BF=3, Outs=3, H=0, R=0. B5 play #44: BF=1, Outs=0, BB=1 (B Harris), R=1 (E Rayne scores on A Banks 1B play #43 — D Bhatt was active pitcher through play #44). Total R_Allowed=2. Also bats for HMMN.</t>
        </is>
      </c>
    </row>
    <row r="265">
      <c r="A265" t="inlineStr">
        <is>
          <t>2026-03-23_HMMN_at_CNTN</t>
        </is>
      </c>
      <c r="B265" s="10" t="n">
        <v>46104</v>
      </c>
      <c r="C265" t="inlineStr">
        <is>
          <t>Centennial Varsity Eagles</t>
        </is>
      </c>
      <c r="D265" t="inlineStr">
        <is>
          <t>HMMN</t>
        </is>
      </c>
      <c r="E265" t="inlineStr">
        <is>
          <t>B Garris</t>
        </is>
      </c>
      <c r="F265" t="n">
        <v>0</v>
      </c>
      <c r="G265" t="n">
        <v>5</v>
      </c>
      <c r="H265" t="n">
        <v>2</v>
      </c>
      <c r="I265" t="n">
        <v>2</v>
      </c>
      <c r="J265" t="n">
        <v>0</v>
      </c>
      <c r="K265" t="n">
        <v>0</v>
      </c>
      <c r="L265" t="n">
        <v>0</v>
      </c>
      <c r="M265" t="n">
        <v>2</v>
      </c>
      <c r="N265" t="n">
        <v>1</v>
      </c>
      <c r="O265" t="n">
        <v>0</v>
      </c>
      <c r="P265" t="n">
        <v>5</v>
      </c>
      <c r="Q265" t="n">
        <v>0</v>
      </c>
      <c r="R265" t="inlineStr">
        <is>
          <t>B5 plays #45-#49; entry inferred (Flag #2) — no Lineup changed note; first named play #45. BF=5 (B Corrao BB, C Stachera HBP, D Hill 1B, L Choe BB, A Gauthier 1B), Outs=0. R_Allowed=5: A Banks forced home on C Stachera HBP (play #46); B Corrao + E Ogg/B Harris on D Hill 1B (play #47, 2R); D Hill + C Stachera on A Gauthier 1B (play #49, 2R). Replaced mid-AB by L Duckworth (play #50, documented). Also bats for HMMN.</t>
        </is>
      </c>
    </row>
    <row r="266">
      <c r="A266" t="inlineStr">
        <is>
          <t>2026-03-23_HMMN_at_CNTN</t>
        </is>
      </c>
      <c r="B266" s="10" t="n">
        <v>46104</v>
      </c>
      <c r="C266" t="inlineStr">
        <is>
          <t>Centennial Varsity Eagles</t>
        </is>
      </c>
      <c r="D266" t="inlineStr">
        <is>
          <t>HMMN</t>
        </is>
      </c>
      <c r="E266" t="inlineStr">
        <is>
          <t>L Duckworth</t>
        </is>
      </c>
      <c r="F266" t="n">
        <v>5</v>
      </c>
      <c r="G266" t="n">
        <v>9</v>
      </c>
      <c r="H266" t="n">
        <v>3</v>
      </c>
      <c r="I266" t="n">
        <v>1</v>
      </c>
      <c r="J266" t="n">
        <v>2</v>
      </c>
      <c r="K266" t="n">
        <v>0</v>
      </c>
      <c r="L266" t="n">
        <v>0</v>
      </c>
      <c r="M266" t="n">
        <v>0</v>
      </c>
      <c r="N266" t="n">
        <v>1</v>
      </c>
      <c r="O266" t="n">
        <v>3</v>
      </c>
      <c r="P266" t="n">
        <v>3</v>
      </c>
      <c r="Q266" t="n">
        <v>0</v>
      </c>
      <c r="R266" t="inlineStr">
        <is>
          <t>B5 from E Rayne mid-AB onward (play #50 documented: "Lineup changed: L Duckworth in for pitcher B Garris; all documented pitches credited to L Duckworth") + B6 plays #57-#61. B5: BF=4 (E Rayne 2B, C Bade HBP, A Banks K_L, B Harris K_S foul tip), Outs=2 (A Banks K, B Harris K), H=1 (E Rayne 2B), HBP=1, K=2, R=2 (L Choe + A Gauthier score on E Rayne 2B play #50). B6: BF=5 (B Corrao 2B, C Stachera PO, D Hill 1B, L Choe SAC Fly, A Gauthier K_S), Outs=3 (C Stachera PO, L Choe SAC Fly out, A Gauthier K), H=2 (B Corrao 2B, D Hill 1B), K=1, R=1 (B Corrao scores on L Choe SAC fly play #60). Total R_Allowed=3. Also bats T7 for HMMN.</t>
        </is>
      </c>
    </row>
    <row r="267">
      <c r="A267" t="inlineStr">
        <is>
          <t>2026-03-26_MRRT_at_CNTN</t>
        </is>
      </c>
      <c r="B267" s="10" t="n">
        <v>46107</v>
      </c>
      <c r="C267" t="inlineStr">
        <is>
          <t>Centennial Varsity Eagles</t>
        </is>
      </c>
      <c r="D267" t="inlineStr">
        <is>
          <t>MRRT</t>
        </is>
      </c>
      <c r="E267" t="inlineStr">
        <is>
          <t>T Smith</t>
        </is>
      </c>
      <c r="F267" t="n">
        <v>6</v>
      </c>
      <c r="G267" t="n">
        <v>12</v>
      </c>
      <c r="H267" t="n">
        <v>4</v>
      </c>
      <c r="I267" t="n">
        <v>3</v>
      </c>
      <c r="J267" t="n">
        <v>1</v>
      </c>
      <c r="K267" t="n">
        <v>0</v>
      </c>
      <c r="L267" t="n">
        <v>0</v>
      </c>
      <c r="M267" t="n">
        <v>3</v>
      </c>
      <c r="N267" t="n">
        <v>0</v>
      </c>
      <c r="O267" t="n">
        <v>1</v>
      </c>
      <c r="P267" t="n">
        <v>2</v>
      </c>
      <c r="Q267" t="n">
        <v>1</v>
      </c>
      <c r="R267" t="inlineStr">
        <is>
          <t>B1-B3 (partial, through C Bade walk play #23; J Ketterer enters mid-A Banks AB play #24). Entry inferred from play descriptions per Flag #1 — no Lineup changed note. WP B2: L Choe advances to 2nd on wild pitch during A Gauthier AB (play #18 embedded, Flag #3). Outs: A Gauthier LO(B1) + E Rayne runner out advancing(B1) + B Corrao PO(B1) + C Stachera K(B2) + D Hill PO(B2) + E Rayne PO(B2) = 6. BF: does not include A Banks (J Ketterer completes that AB per mid-AB rule).</t>
        </is>
      </c>
    </row>
    <row r="268">
      <c r="A268" t="inlineStr">
        <is>
          <t>2026-03-26_MRRT_at_CNTN</t>
        </is>
      </c>
      <c r="B268" s="10" t="n">
        <v>46107</v>
      </c>
      <c r="C268" t="inlineStr">
        <is>
          <t>Centennial Varsity Eagles</t>
        </is>
      </c>
      <c r="D268" t="inlineStr">
        <is>
          <t>MRRT</t>
        </is>
      </c>
      <c r="E268" t="inlineStr">
        <is>
          <t>J Ketterer</t>
        </is>
      </c>
      <c r="F268" t="n">
        <v>4</v>
      </c>
      <c r="G268" t="n">
        <v>7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2</v>
      </c>
      <c r="O268" t="n">
        <v>1</v>
      </c>
      <c r="P268" t="n">
        <v>1</v>
      </c>
      <c r="Q268" t="n">
        <v>0</v>
      </c>
      <c r="R268" t="inlineStr">
        <is>
          <t>B3 from A Banks AB (play #24, mid-AB entry documented in pitch sequence) through B4 (through A Gauthier HBP play #36); B Balighian enters mid-E Rayne AB (play #37). Outs: A Banks PO(B3) + B Corrao FO(B3) + C Stachera LO(B3) + D Hill K_L(B4) = 4. HBP_Allowed: L Choe(B4 play #35) + A Gauthier(B4 play #36) = 2. H_Allowed: B Harris 2B (B3 play #25). R_Allowed: C Bade scores on B Harris 2B(B3 play #25).</t>
        </is>
      </c>
    </row>
    <row r="269">
      <c r="A269" t="inlineStr">
        <is>
          <t>2026-03-26_MRRT_at_CNTN</t>
        </is>
      </c>
      <c r="B269" s="10" t="n">
        <v>46107</v>
      </c>
      <c r="C269" t="inlineStr">
        <is>
          <t>Centennial Varsity Eagles</t>
        </is>
      </c>
      <c r="D269" t="inlineStr">
        <is>
          <t>MRRT</t>
        </is>
      </c>
      <c r="E269" t="inlineStr">
        <is>
          <t>B Balighian</t>
        </is>
      </c>
      <c r="F269" t="n">
        <v>9</v>
      </c>
      <c r="G269" t="n">
        <v>12</v>
      </c>
      <c r="H269" t="n">
        <v>2</v>
      </c>
      <c r="I269" t="n">
        <v>2</v>
      </c>
      <c r="J269" t="n">
        <v>0</v>
      </c>
      <c r="K269" t="n">
        <v>0</v>
      </c>
      <c r="L269" t="n">
        <v>0</v>
      </c>
      <c r="M269" t="n">
        <v>2</v>
      </c>
      <c r="N269" t="n">
        <v>1</v>
      </c>
      <c r="O269" t="n">
        <v>1</v>
      </c>
      <c r="P269" t="n">
        <v>0</v>
      </c>
      <c r="Q269" t="n">
        <v>0</v>
      </c>
      <c r="R269" t="inlineStr">
        <is>
          <t>B4 from E Rayne AB (mid-AB entry documented play #37 pitch sequence) through B6. Outs: E Rayne PO(B4) + A Banks LO(B4) + E Ogg runner out advancing(B5 DP) + B Corrao DP(B5) + D Hill GO(B5) + L Choe GO(B6) + E Rayne K_L(B6) + A Banks PO(B6) = 9. DP B5 play #45: 2 outs credited (E Ogg out advancing + B Corrao out at 1B). H_Allowed: B Harris 1B(B5 play #44) + A Gauthier 1B(B6 play #54). HBP_Allowed: C Bade(B6 play #56). BB_Allowed: C Bade(B4 play #38) + C Stachera(B5 play #46). R_Allowed=0. WP=0. Note: runner advancements L Choe to 3rd + A Gauthier to 2nd (play #38 embedded B4) — mechanism unstated (Flag #6).</t>
        </is>
      </c>
    </row>
    <row r="270">
      <c r="A270" t="inlineStr">
        <is>
          <t>2026-03-26_MRRT_at_CNTN</t>
        </is>
      </c>
      <c r="B270" s="10" t="n">
        <v>46107</v>
      </c>
      <c r="C270" t="inlineStr">
        <is>
          <t>Marriotts Ridge Varsity Mustangs</t>
        </is>
      </c>
      <c r="D270" t="inlineStr">
        <is>
          <t>CNTN</t>
        </is>
      </c>
      <c r="E270" t="inlineStr">
        <is>
          <t>E Rayne</t>
        </is>
      </c>
      <c r="F270" t="n">
        <v>15</v>
      </c>
      <c r="G270" t="n">
        <v>21</v>
      </c>
      <c r="H270" t="n">
        <v>2</v>
      </c>
      <c r="I270" t="n">
        <v>2</v>
      </c>
      <c r="J270" t="n">
        <v>0</v>
      </c>
      <c r="K270" t="n">
        <v>0</v>
      </c>
      <c r="L270" t="n">
        <v>0</v>
      </c>
      <c r="M270" t="n">
        <v>3</v>
      </c>
      <c r="N270" t="n">
        <v>2</v>
      </c>
      <c r="O270" t="n">
        <v>5</v>
      </c>
      <c r="P270" t="n">
        <v>0</v>
      </c>
      <c r="Q270" t="n">
        <v>0</v>
      </c>
      <c r="R270" t="inlineStr">
        <is>
          <t>T1-T5; entry documented Lineup changed: E Rayne in at pitcher (play #1 pitch sequence). B Johnston enters T6 (undocumented transition per Flag #2). Outs: A Schwendeman K(T1) + O Snow pickoff runner out(T1) + N Brown FO(T1) + J Devito PO(T2) + Z Magee PO(T2) + A Montgomery GO(T2) + M Delmonte PO(T3) + A Schwendeman PO(T3) + O Snow K(T3) + A Devito K(T4) + J Devito K(T4) + Z Magee FC runner out(T4) + M Delmonte K(T5) + O Snow GO(T5) + M Parson GO(T5) = 15. H_Allowed: A Devito 1B(T2 play #11) + M Parson 1B(T4 play #28). BB_Allowed: M Parson T1 + N Brown T4 + A Schwendeman T5. HBP_Allowed: O Snow T1(play #2) + Z Magee T4(play #32). K: A Schwendeman K_L(T1) + O Snow K_S(T3) + A Devito K_L(T4) + J Devito K_L(T4) + M Delmonte K_L(T5) = 5. R_Allowed=0. WP=0. Note: pickoff O Snow T1 (embedded M Parson walk AB) = runner out credited to E Rayne; FC A Montgomery T4 (Z Magee out advancing) = out credited to E Rayne.</t>
        </is>
      </c>
    </row>
    <row r="271">
      <c r="A271" t="inlineStr">
        <is>
          <t>2026-03-26_MRRT_at_CNTN</t>
        </is>
      </c>
      <c r="B271" s="10" t="n">
        <v>46107</v>
      </c>
      <c r="C271" t="inlineStr">
        <is>
          <t>Marriotts Ridge Varsity Mustangs</t>
        </is>
      </c>
      <c r="D271" t="inlineStr">
        <is>
          <t>CNTN</t>
        </is>
      </c>
      <c r="E271" t="inlineStr">
        <is>
          <t>B Johnston</t>
        </is>
      </c>
      <c r="F271" t="n">
        <v>4</v>
      </c>
      <c r="G271" t="n">
        <v>9</v>
      </c>
      <c r="H271" t="n">
        <v>3</v>
      </c>
      <c r="I271" t="n">
        <v>3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inlineStr">
        <is>
          <t>T6 (plays #48-52) + T7 (plays #58-61); C Proescher enters mid-N Brown AB (play #62). Entry inferred from play descriptions per Flag #2 — no Lineup changed note; play #48 names no pitcher; first explicit attribution play #49. Outs: J Devito FC runner out (A Devito out advancing T6 play #50) + Z Magee PO(T6 play #51) + A Montgomery K_S(T6 play #52) + A Hlavaty GO(T7 play #58) = 4. H_Allowed: N Brown 1B(T6 play #48) + A Schwendeman 1B(T7 play #59) + M Parson 1B(T7 play #61). BB_Allowed: A Devito(T6 play #49). HBP_Allowed: O Snow(T7 play #60). K: A Montgomery K_S(T6 play #52). R_Allowed=1: N Brown scores embedded A Montgomery K AB (mechanism not stated Flag #6); no RBI credited (MRRT R=1, RBI=0 — RBI advisory discrepancy). CNTN Error #1 committed by B Johnston (pitcher) on pickoff throw embedded play #60 — A Schwendeman advances to 2nd. Error not charged as WP. Note: PB by catcher B Harris (J Devito adv 3rd T6 play #52 embedded) — PB charged to catcher, not in Pitching schema, noted here.</t>
        </is>
      </c>
    </row>
    <row r="272">
      <c r="A272" t="inlineStr">
        <is>
          <t>2026-03-26_MRRT_at_CNTN</t>
        </is>
      </c>
      <c r="B272" s="10" t="n">
        <v>46107</v>
      </c>
      <c r="C272" t="inlineStr">
        <is>
          <t>Marriotts Ridge Varsity Mustangs</t>
        </is>
      </c>
      <c r="D272" t="inlineStr">
        <is>
          <t>CNTN</t>
        </is>
      </c>
      <c r="E272" t="inlineStr">
        <is>
          <t>C Proescher</t>
        </is>
      </c>
      <c r="F272" t="n">
        <v>2</v>
      </c>
      <c r="G272" t="n">
        <v>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inlineStr">
        <is>
          <t>T7 from N Brown AB onward; entry documented within N Brown AB pitch sequence (play #62, T7). Outs: N Brown PO(T7 play #62) + A Devito K_L(T7 play #63) = 2. K: A Devito K_L (play #63). R_Allowed=0. WP=0.</t>
        </is>
      </c>
    </row>
    <row r="273">
      <c r="A273" t="inlineStr">
        <is>
          <t>2026-03-31_CRFT_at_CNTN</t>
        </is>
      </c>
      <c r="B273" s="10" t="n">
        <v>46112</v>
      </c>
      <c r="C273" t="inlineStr">
        <is>
          <t>Crofton Varsity Cardinals</t>
        </is>
      </c>
      <c r="D273" t="inlineStr">
        <is>
          <t>CNTN</t>
        </is>
      </c>
      <c r="E273" t="inlineStr">
        <is>
          <t>E Rayne</t>
        </is>
      </c>
      <c r="F273" t="n">
        <v>9</v>
      </c>
      <c r="G273" t="n">
        <v>14</v>
      </c>
      <c r="H273" t="n">
        <v>2</v>
      </c>
      <c r="I273" t="n">
        <v>0</v>
      </c>
      <c r="J273" t="n">
        <v>1</v>
      </c>
      <c r="K273" t="n">
        <v>1</v>
      </c>
      <c r="L273" t="n">
        <v>0</v>
      </c>
      <c r="M273" t="n">
        <v>2</v>
      </c>
      <c r="N273" t="n">
        <v>1</v>
      </c>
      <c r="O273" t="n">
        <v>3</v>
      </c>
      <c r="P273" t="n">
        <v>3</v>
      </c>
      <c r="Q273" t="n">
        <v>1</v>
      </c>
      <c r="R273" t="inlineStr">
        <is>
          <t>T1-T3 (plays #1-3,#10-15,#20-24). PB play #14 (G Gallow advances to 3rd on PB during E Colgan K AB, T2) — PB not in schema. Also bats for CNTN — see Batting sheet.</t>
        </is>
      </c>
    </row>
    <row r="274">
      <c r="A274" t="inlineStr">
        <is>
          <t>2026-03-31_CRFT_at_CNTN</t>
        </is>
      </c>
      <c r="B274" s="10" t="n">
        <v>46112</v>
      </c>
      <c r="C274" t="inlineStr">
        <is>
          <t>Crofton Varsity Cardinals</t>
        </is>
      </c>
      <c r="D274" t="inlineStr">
        <is>
          <t>CNTN</t>
        </is>
      </c>
      <c r="E274" t="inlineStr">
        <is>
          <t>C Proescher</t>
        </is>
      </c>
      <c r="F274" t="n">
        <v>10</v>
      </c>
      <c r="G274" t="n">
        <v>19</v>
      </c>
      <c r="H274" t="n">
        <v>4</v>
      </c>
      <c r="I274" t="n">
        <v>3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5</v>
      </c>
      <c r="P274" t="n">
        <v>6</v>
      </c>
      <c r="Q274" t="n">
        <v>1</v>
      </c>
      <c r="R274" t="inlineStr">
        <is>
          <t>T4-T7 plays #28-59 (entered play #28; exited after X Bejar walk play #59). 1B×3 (N Kehs #43, X Bejar #45, G Gallow #46). 2B: N Kehs #57. WP play #48 (G Gallow advances 3rd during M Davis K AB, T6). R_Allowed=6 (2 T6, 4 T7 — all scored before A Barrett entry).</t>
        </is>
      </c>
    </row>
    <row r="275">
      <c r="A275" t="inlineStr">
        <is>
          <t>2026-03-31_CRFT_at_CNTN</t>
        </is>
      </c>
      <c r="B275" s="10" t="n">
        <v>46112</v>
      </c>
      <c r="C275" t="inlineStr">
        <is>
          <t>Crofton Varsity Cardinals</t>
        </is>
      </c>
      <c r="D275" t="inlineStr">
        <is>
          <t>CNTN</t>
        </is>
      </c>
      <c r="E275" t="inlineStr">
        <is>
          <t>A Barrett</t>
        </is>
      </c>
      <c r="F275" t="n">
        <v>2</v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0</v>
      </c>
      <c r="Q275" t="n">
        <v>0</v>
      </c>
      <c r="R275" t="inlineStr">
        <is>
          <t>T7 from G Gallow AB onward (plays #60-61). Entry documented during G Gallow AB play #60. K_L×2 (G Gallow #60, E Colgan #61). CNTN Error #5 embedded in G Gallow AB (X Bejar advances to 2nd on A Barrett error, play #60) — does not affect pitching stats.</t>
        </is>
      </c>
    </row>
    <row r="276">
      <c r="A276" t="inlineStr">
        <is>
          <t>2026-03-31_CRFT_at_CNTN</t>
        </is>
      </c>
      <c r="B276" s="10" t="n">
        <v>46112</v>
      </c>
      <c r="C276" t="inlineStr">
        <is>
          <t>Centennial Varsity Eagles</t>
        </is>
      </c>
      <c r="D276" t="inlineStr">
        <is>
          <t>CRFT</t>
        </is>
      </c>
      <c r="E276" t="inlineStr">
        <is>
          <t>A Weber</t>
        </is>
      </c>
      <c r="F276" t="n">
        <v>12</v>
      </c>
      <c r="G276" t="n">
        <v>16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6</v>
      </c>
      <c r="N276" t="n">
        <v>0</v>
      </c>
      <c r="O276" t="n">
        <v>4</v>
      </c>
      <c r="P276" t="n">
        <v>0</v>
      </c>
      <c r="Q276" t="n">
        <v>2</v>
      </c>
      <c r="R276" t="inlineStr">
        <is>
          <t>B1-B4 (plays #4-34). Entry inferred from play description — no documented lineup change entry (Flag #1). 1B: D Hill play #17. BB×6. K_S×4 (L Choe #18, C Bade #26, A Banks #27, C Stachera #33). WP×2 (play #5 A Gauthier advances 2nd during E Rayne walk AB B1; play #8 A Banks advances 2nd during B Harris walk AB B1).</t>
        </is>
      </c>
    </row>
    <row r="277">
      <c r="A277" t="inlineStr">
        <is>
          <t>2026-03-31_CRFT_at_CNTN</t>
        </is>
      </c>
      <c r="B277" s="10" t="n">
        <v>46112</v>
      </c>
      <c r="C277" t="inlineStr">
        <is>
          <t>Centennial Varsity Eagles</t>
        </is>
      </c>
      <c r="D277" t="inlineStr">
        <is>
          <t>CRFT</t>
        </is>
      </c>
      <c r="E277" t="inlineStr">
        <is>
          <t>H Riley</t>
        </is>
      </c>
      <c r="F277" t="n">
        <v>3</v>
      </c>
      <c r="G277" t="n">
        <v>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inlineStr">
        <is>
          <t>B5 (plays #39-42). Entered during D Hill walk AB play #39 — lineup change documented mid-AB. K_L: L Choe play #40. WP play #41 (D Hill advances 2nd during A Gauthier FO AB, B5).</t>
        </is>
      </c>
    </row>
    <row r="278">
      <c r="A278" t="inlineStr">
        <is>
          <t>2026-03-31_CRFT_at_CNTN</t>
        </is>
      </c>
      <c r="B278" s="10" t="n">
        <v>46112</v>
      </c>
      <c r="C278" t="inlineStr">
        <is>
          <t>Centennial Varsity Eagles</t>
        </is>
      </c>
      <c r="D278" t="inlineStr">
        <is>
          <t>CRFT</t>
        </is>
      </c>
      <c r="E278" t="inlineStr">
        <is>
          <t>C Horay</t>
        </is>
      </c>
      <c r="F278" t="n">
        <v>3</v>
      </c>
      <c r="G278" t="n">
        <v>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3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B6 (plays #49-53). Entered during C Bade walk AB play #49 — lineup change documented mid-AB. BB×3 (C Bade #49, B Harris #51, B Corrao #52).</t>
        </is>
      </c>
    </row>
    <row r="279">
      <c r="A279" t="inlineStr">
        <is>
          <t>2026-03-31_CRFT_at_CNTN</t>
        </is>
      </c>
      <c r="B279" s="10" t="n">
        <v>46112</v>
      </c>
      <c r="C279" t="inlineStr">
        <is>
          <t>Centennial Varsity Eagles</t>
        </is>
      </c>
      <c r="D279" t="inlineStr">
        <is>
          <t>CRFT</t>
        </is>
      </c>
      <c r="E279" t="inlineStr">
        <is>
          <t>J Gifford</t>
        </is>
      </c>
      <c r="F279" t="n">
        <v>3</v>
      </c>
      <c r="G279" t="n">
        <v>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0</v>
      </c>
      <c r="Q279" t="n">
        <v>0</v>
      </c>
      <c r="R279" t="inlineStr">
        <is>
          <t>B7 (plays #62-64). Entry inferred from play description — no documented lineup change entry (Flag #2). Previously batted/ran for CRFT this game. K_S: L Rivkin play #62; K_L: A Li play #64. Also batted for CRFT — see Batting sheet.</t>
        </is>
      </c>
    </row>
    <row r="280">
      <c r="A280" t="inlineStr">
        <is>
          <t>2026-03-31_CNTN_at_WLTR</t>
        </is>
      </c>
      <c r="B280" s="10" t="n">
        <v>46112</v>
      </c>
      <c r="C280" t="inlineStr">
        <is>
          <t>Centennial Varsity Eagles</t>
        </is>
      </c>
      <c r="D280" t="inlineStr">
        <is>
          <t>WLTR</t>
        </is>
      </c>
      <c r="E280" t="inlineStr">
        <is>
          <t>L Rayment-Cruz</t>
        </is>
      </c>
      <c r="F280" t="n">
        <v>18</v>
      </c>
      <c r="G280" t="n">
        <v>29</v>
      </c>
      <c r="H280" t="n">
        <v>5</v>
      </c>
      <c r="I280" t="n">
        <v>3</v>
      </c>
      <c r="J280" t="n">
        <v>1</v>
      </c>
      <c r="K280" t="n">
        <v>1</v>
      </c>
      <c r="L280" t="n">
        <v>0</v>
      </c>
      <c r="M280" t="n">
        <v>5</v>
      </c>
      <c r="N280" t="n">
        <v>0</v>
      </c>
      <c r="O280" t="n">
        <v>8</v>
      </c>
      <c r="P280" t="n">
        <v>3</v>
      </c>
      <c r="Q280" t="n">
        <v>0</v>
      </c>
      <c r="R280" t="inlineStr">
        <is>
          <t>T1-T6 (plays #1-4,#10-18,#24-28,#35-37,#43-46,#51-54). 1B×3 (B Corrao #11, D Hill #13, B Harris #24); 2B: B Harris #10; 3B: A Gauthier #53. BB×5 (L Choe #14, A Gauthier #15, E Rayne #16 T2; E Rayne #36 T4; D Hill #51 T6). K×8: A Banks K_S #4; C Stachera K_S #12; C Bade K_L #17; D Hill K_L #27; L Choe K_S #28; B Harris foul-tip K_S #44; C Stachera K_S #46; E Rayne D3S K_S #54. R_Allowed=3 (all T2). Also bats for WLTR — see Batting sheet.</t>
        </is>
      </c>
    </row>
    <row r="281">
      <c r="A281" t="inlineStr">
        <is>
          <t>2026-03-31_CNTN_at_WLTR</t>
        </is>
      </c>
      <c r="B281" s="10" t="n">
        <v>46112</v>
      </c>
      <c r="C281" t="inlineStr">
        <is>
          <t>Centennial Varsity Eagles</t>
        </is>
      </c>
      <c r="D281" t="inlineStr">
        <is>
          <t>WLTR</t>
        </is>
      </c>
      <c r="E281" t="inlineStr">
        <is>
          <t>J Gilder</t>
        </is>
      </c>
      <c r="F281" t="n">
        <v>3</v>
      </c>
      <c r="G281" t="n">
        <v>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2</v>
      </c>
      <c r="P281" t="n">
        <v>0</v>
      </c>
      <c r="Q281" t="n">
        <v>0</v>
      </c>
      <c r="R281" t="inlineStr">
        <is>
          <t>T7 (plays #59-62). Entered during C Bade HBP AB play #59 — lineup change documented mid-AB. HBP: C Bade play #59. K_L: A Banks play #60; K_S: B Corrao play #62. Also bats for WLTR — see Batting sheet.</t>
        </is>
      </c>
    </row>
    <row r="282">
      <c r="A282" t="inlineStr">
        <is>
          <t>2026-03-31_CNTN_at_WLTR</t>
        </is>
      </c>
      <c r="B282" s="10" t="n">
        <v>46112</v>
      </c>
      <c r="C282" t="inlineStr">
        <is>
          <t>Walter Johnson Varsity Wildcats</t>
        </is>
      </c>
      <c r="D282" t="inlineStr">
        <is>
          <t>CNTN</t>
        </is>
      </c>
      <c r="E282" t="inlineStr">
        <is>
          <t>C Stachera</t>
        </is>
      </c>
      <c r="F282" t="n">
        <v>9</v>
      </c>
      <c r="G282" t="n">
        <v>16</v>
      </c>
      <c r="H282" t="n">
        <v>3</v>
      </c>
      <c r="I282" t="n">
        <v>3</v>
      </c>
      <c r="J282" t="n">
        <v>0</v>
      </c>
      <c r="K282" t="n">
        <v>0</v>
      </c>
      <c r="L282" t="n">
        <v>0</v>
      </c>
      <c r="M282" t="n">
        <v>2</v>
      </c>
      <c r="N282" t="n">
        <v>0</v>
      </c>
      <c r="O282" t="n">
        <v>9</v>
      </c>
      <c r="P282" t="n">
        <v>2</v>
      </c>
      <c r="Q282" t="n">
        <v>2</v>
      </c>
      <c r="R282" t="inlineStr">
        <is>
          <t>B1-B3 (plays #5-9,#19-23,#29-34). 1B×3 (S Weston #6, G Matalia #8, L Rayment-Cruz #32). BB×2 (S Weston #29, J Pena Simon #30). K×9: J Gilder K_S #5; J Pena Simon K_S #7; L Rayment-Cruz K_S #9; S Gilcrest K_S #19; T Alexander K_S #21; E Retzlaff D3S K_L #22 (batter reached safely); J Gilder K_S #23; G Matalia D3S K_S #31 (batter out); E Taylor K_S #34. WP×2: play #9 (C Martin/S Weston CR scores, B1); play #31 (J Pena Simon advances 2nd, B3). PB×2: play #22 (D3S mechanism for E Retzlaff); play #30 (S Weston advances 2nd) — PB not in schema. R_Allowed=2: 1R B1 (S Weston on WP play #9); 1R B3 (S Weston on C Stachera error play #31). Also bats for CNTN — see Batting sheet.</t>
        </is>
      </c>
    </row>
    <row r="283">
      <c r="A283" t="inlineStr">
        <is>
          <t>2026-03-31_CNTN_at_WLTR</t>
        </is>
      </c>
      <c r="B283" s="10" t="n">
        <v>46112</v>
      </c>
      <c r="C283" t="inlineStr">
        <is>
          <t>Walter Johnson Varsity Wildcats</t>
        </is>
      </c>
      <c r="D283" t="inlineStr">
        <is>
          <t>CNTN</t>
        </is>
      </c>
      <c r="E283" t="inlineStr">
        <is>
          <t>A Lee</t>
        </is>
      </c>
      <c r="F283" t="n">
        <v>12</v>
      </c>
      <c r="G283" t="n">
        <v>18</v>
      </c>
      <c r="H283" t="n">
        <v>3</v>
      </c>
      <c r="I283" t="n">
        <v>3</v>
      </c>
      <c r="J283" t="n">
        <v>0</v>
      </c>
      <c r="K283" t="n">
        <v>0</v>
      </c>
      <c r="L283" t="n">
        <v>0</v>
      </c>
      <c r="M283" t="n">
        <v>3</v>
      </c>
      <c r="N283" t="n">
        <v>0</v>
      </c>
      <c r="O283" t="n">
        <v>5</v>
      </c>
      <c r="P283" t="n">
        <v>1</v>
      </c>
      <c r="Q283" t="n">
        <v>1</v>
      </c>
      <c r="R283" t="inlineStr">
        <is>
          <t>B4-B7 (plays #38-42,#47-50,#55-58,#63-67). Entered play #38 — lineup change documented in B4. 1B×3 (H Bauer #38, J Gilder #40, J Pena Simon #63). BB×3 (S Weston #41, G Matalia IBB #64, L Rayment-Cruz IBB #65). K×5: C Martin K_S #39; G Matalia K_L #47; E Taylor K_S #50; S Gilcrest K_L #66; E Taylor K_S #67. WP play #41 (H Bauer advances 3rd, J Gilder advances 2nd during S Weston walk AB, B4). R_Allowed=1 (H Bauer scores on J Gilder SacFly play #57, B6). Outs include J Pena Simon CS home play #66 (out #1 of B7, embedded in S Gilcrest AB).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6" customWidth="1" min="4" max="4"/>
    <col width="14" customWidth="1" min="5" max="5"/>
    <col width="8" customWidth="1" min="6" max="6"/>
    <col width="10" customWidth="1" min="7" max="7"/>
    <col width="80" customWidth="1" min="8" max="8"/>
  </cols>
  <sheetData>
    <row r="1">
      <c r="A1" s="1" t="inlineStr">
        <is>
          <t>Game_ID</t>
        </is>
      </c>
      <c r="B1" s="1" t="inlineStr">
        <is>
          <t>Game_Date</t>
        </is>
      </c>
      <c r="C1" s="1" t="inlineStr">
        <is>
          <t>Opponent</t>
        </is>
      </c>
      <c r="D1" s="1" t="inlineStr">
        <is>
          <t>Team</t>
        </is>
      </c>
      <c r="E1" s="1" t="inlineStr">
        <is>
          <t>Player</t>
        </is>
      </c>
      <c r="F1" s="1" t="inlineStr">
        <is>
          <t>Inning</t>
        </is>
      </c>
      <c r="G1" s="1" t="inlineStr">
        <is>
          <t>Play_Ref</t>
        </is>
      </c>
      <c r="H1" s="1" t="inlineStr">
        <is>
          <t>Notes</t>
        </is>
      </c>
    </row>
    <row r="2" ht="40" customHeight="1">
      <c r="A2" t="inlineStr">
        <is>
          <t>2026-03-10_RVRH_at_WSTF</t>
        </is>
      </c>
      <c r="B2" t="inlineStr">
        <is>
          <t>2026-03-10</t>
        </is>
      </c>
      <c r="C2" t="inlineStr">
        <is>
          <t>Westfield High School</t>
        </is>
      </c>
      <c r="D2" t="inlineStr">
        <is>
          <t>RVRH</t>
        </is>
      </c>
      <c r="E2" t="inlineStr">
        <is>
          <t>E Skolkin</t>
        </is>
      </c>
      <c r="F2" t="n">
        <v>8</v>
      </c>
      <c r="G2" t="n">
        <v>69</v>
      </c>
      <c r="H2" t="inlineStr">
        <is>
          <t>#3 hits ground ball, reaches base on error by 2B E Skolkin (play #69, B8). RVRH E=1 per Section 2 totals. No errors recorded for WSTF.</t>
        </is>
      </c>
    </row>
    <row r="3">
      <c r="A3" t="inlineStr">
        <is>
          <t>2026-03-14_WTTN_at_RVRH</t>
        </is>
      </c>
      <c r="B3" t="inlineStr">
        <is>
          <t>2026-03-14</t>
        </is>
      </c>
      <c r="C3" t="inlineStr">
        <is>
          <t>Wootton Varsity Patriots</t>
        </is>
      </c>
      <c r="D3" t="inlineStr">
        <is>
          <t>RVRH</t>
        </is>
      </c>
      <c r="E3" t="inlineStr">
        <is>
          <t>H Zhang</t>
        </is>
      </c>
      <c r="F3" t="n">
        <v>5</v>
      </c>
      <c r="G3" t="n">
        <v>42</v>
      </c>
      <c r="H3" t="inlineStr">
        <is>
          <t>J Reid hits a hard ground ball and reaches on an error by 1B H Zhang (play #42, T5). RVRH E=1 per running tally.</t>
        </is>
      </c>
    </row>
    <row r="4">
      <c r="A4" t="inlineStr">
        <is>
          <t>2026-03-14_WTTN_at_RVRH</t>
        </is>
      </c>
      <c r="B4" t="inlineStr">
        <is>
          <t>2026-03-14</t>
        </is>
      </c>
      <c r="C4" t="inlineStr">
        <is>
          <t>Wootton Varsity Patriots</t>
        </is>
      </c>
      <c r="D4" t="inlineStr">
        <is>
          <t>RVRH</t>
        </is>
      </c>
      <c r="E4" t="inlineStr">
        <is>
          <t>B Bixby</t>
        </is>
      </c>
      <c r="F4" t="n">
        <v>6</v>
      </c>
      <c r="G4" t="n">
        <v>49</v>
      </c>
      <c r="H4" t="inlineStr">
        <is>
          <t>A Grainger hits a fly ball and reaches on an error by LF B Bixby (play #49, T6). RVRH E=2 per running tally.</t>
        </is>
      </c>
    </row>
    <row r="5">
      <c r="A5" t="inlineStr">
        <is>
          <t>2026-03-14_WTTN_at_RVRH</t>
        </is>
      </c>
      <c r="B5" t="inlineStr">
        <is>
          <t>2026-03-14</t>
        </is>
      </c>
      <c r="C5" t="inlineStr">
        <is>
          <t>Wootton Varsity Patriots</t>
        </is>
      </c>
      <c r="D5" t="inlineStr">
        <is>
          <t>RVRH</t>
        </is>
      </c>
      <c r="E5" t="inlineStr">
        <is>
          <t>B Bixby</t>
        </is>
      </c>
      <c r="F5" t="n">
        <v>6</v>
      </c>
      <c r="G5" t="n">
        <v>52</v>
      </c>
      <c r="H5" t="inlineStr">
        <is>
          <t>N Zweig hits a fly ball and reaches on an error by LF B Bixby; A Grainger scores on the play (play #52, T6). RVRH E=3 per running tally.</t>
        </is>
      </c>
    </row>
    <row r="6">
      <c r="A6" t="inlineStr">
        <is>
          <t>2026-03-14_WTTN_at_RVRH</t>
        </is>
      </c>
      <c r="B6" t="inlineStr">
        <is>
          <t>2026-03-14</t>
        </is>
      </c>
      <c r="C6" t="inlineStr">
        <is>
          <t>Wootton Varsity Patriots</t>
        </is>
      </c>
      <c r="D6" t="inlineStr">
        <is>
          <t>WTTN</t>
        </is>
      </c>
      <c r="E6" t="inlineStr">
        <is>
          <t>WTTN_1B</t>
        </is>
      </c>
      <c r="F6" t="n">
        <v>5</v>
      </c>
      <c r="G6" t="n">
        <v>45</v>
      </c>
      <c r="H6" t="inlineStr">
        <is>
          <t>C Reis advances to 2nd on error by WTTN first baseman; embedded in J Norwood pop out AB (play #45, B5; Flag #6). WTTN E=1 per running tally. Fielder identity not specified in log.</t>
        </is>
      </c>
    </row>
    <row r="7">
      <c r="A7" t="inlineStr">
        <is>
          <t>2026-03-14_WTTN_at_RVRH</t>
        </is>
      </c>
      <c r="B7" t="inlineStr">
        <is>
          <t>2026-03-14</t>
        </is>
      </c>
      <c r="C7" t="inlineStr">
        <is>
          <t>Wootton Varsity Patriots</t>
        </is>
      </c>
      <c r="D7" t="inlineStr">
        <is>
          <t>WTTN</t>
        </is>
      </c>
      <c r="E7" t="inlineStr">
        <is>
          <t>WTTN_SS</t>
        </is>
      </c>
      <c r="F7" t="n">
        <v>5</v>
      </c>
      <c r="G7" t="n">
        <v>46</v>
      </c>
      <c r="H7" t="inlineStr">
        <is>
          <t>H Zhang hits a ground ball and reaches on an error by WTTN shortstop (play #46, B5). WTTN E=2 per running tally. Fielder identity not specified in log.</t>
        </is>
      </c>
    </row>
    <row r="8">
      <c r="A8" t="inlineStr">
        <is>
          <t>2026-03-21_RVRH_at_GLFR</t>
        </is>
      </c>
      <c r="B8" t="inlineStr">
        <is>
          <t>2026-03-21</t>
        </is>
      </c>
      <c r="C8" t="inlineStr">
        <is>
          <t>Guilford Park Varsity Panthers</t>
        </is>
      </c>
      <c r="D8" t="inlineStr">
        <is>
          <t>GLFR</t>
        </is>
      </c>
      <c r="E8" t="inlineStr">
        <is>
          <t>GLFR_AA</t>
        </is>
      </c>
      <c r="F8" t="n">
        <v>1</v>
      </c>
      <c r="G8" t="n">
        <v>14</v>
      </c>
      <c r="H8" t="inlineStr">
        <is>
          <t>C Naecker hits a pop fly and reaches on an error by SS A A; C Naecker also advances to 2nd on same error (play #14, T1). GLFR E=1. Two separate advances credited to one error event; no RVRH error.</t>
        </is>
      </c>
    </row>
    <row r="9">
      <c r="A9" t="inlineStr">
        <is>
          <t>2026-03-21_RVRH_at_GLFR</t>
        </is>
      </c>
      <c r="B9" t="inlineStr">
        <is>
          <t>2026-03-21</t>
        </is>
      </c>
      <c r="C9" t="inlineStr">
        <is>
          <t>Guilford Park Varsity Panthers</t>
        </is>
      </c>
      <c r="D9" t="inlineStr">
        <is>
          <t>GLFR</t>
        </is>
      </c>
      <c r="E9" t="inlineStr">
        <is>
          <t>GLFR_AA</t>
        </is>
      </c>
      <c r="F9" t="n">
        <v>1</v>
      </c>
      <c r="G9" t="n">
        <v>15</v>
      </c>
      <c r="H9" t="inlineStr">
        <is>
          <t>G Dang hits a hard ground ball and reaches on an error by SS A A; C Naecker and H Zhang score on the play (play #15, T1). GLFR E=2. Runs scored on error — no RBI credited to G Dang.</t>
        </is>
      </c>
    </row>
    <row r="10">
      <c r="A10" t="inlineStr">
        <is>
          <t>2026-03-21_RVRH_at_GLFR</t>
        </is>
      </c>
      <c r="B10" t="inlineStr">
        <is>
          <t>2026-03-21</t>
        </is>
      </c>
      <c r="C10" t="inlineStr">
        <is>
          <t>Guilford Park Varsity Panthers</t>
        </is>
      </c>
      <c r="D10" t="inlineStr">
        <is>
          <t>GLFR</t>
        </is>
      </c>
      <c r="E10" t="inlineStr">
        <is>
          <t>GLFR_MR</t>
        </is>
      </c>
      <c r="F10" t="n">
        <v>2</v>
      </c>
      <c r="G10" t="n">
        <v>23</v>
      </c>
      <c r="H10" t="inlineStr">
        <is>
          <t>E McCoy advances to 2nd on an error by 1B M R during A Contreras AB (play #23, T2; embedded in Sec4 #23). GLFR E=3. Error embedded in pitch sequence, not a standalone play entry (Flag #11).</t>
        </is>
      </c>
    </row>
    <row r="11">
      <c r="A11" t="inlineStr">
        <is>
          <t>2026-03-23_WLDL_at_RVRH</t>
        </is>
      </c>
      <c r="B11" t="inlineStr">
        <is>
          <t>2026-03-23</t>
        </is>
      </c>
      <c r="C11" t="inlineStr">
        <is>
          <t>Wilde Lake Varsity Cats</t>
        </is>
      </c>
      <c r="D11" t="inlineStr">
        <is>
          <t>WLDL</t>
        </is>
      </c>
      <c r="E11" t="inlineStr">
        <is>
          <t>J Bunnell</t>
        </is>
      </c>
      <c r="F11" t="n">
        <v>2</v>
      </c>
      <c r="G11" t="n">
        <v>14</v>
      </c>
      <c r="H11" t="inlineStr">
        <is>
          <t>C Naecker scores on error by C (J Bunnell) during G Dang K AB (play #14, B2); error embedded in pitch sequence, not a standalone play entry (Flag #6). WLDL E=1.</t>
        </is>
      </c>
    </row>
    <row r="12">
      <c r="A12" t="inlineStr">
        <is>
          <t>2026-03-23_WLDL_at_RVRH</t>
        </is>
      </c>
      <c r="B12" t="inlineStr">
        <is>
          <t>2026-03-23</t>
        </is>
      </c>
      <c r="C12" t="inlineStr">
        <is>
          <t>Wilde Lake Varsity Cats</t>
        </is>
      </c>
      <c r="D12" t="inlineStr">
        <is>
          <t>WLDL</t>
        </is>
      </c>
      <c r="E12" t="inlineStr">
        <is>
          <t>R Schmidt</t>
        </is>
      </c>
      <c r="F12" t="n">
        <v>2</v>
      </c>
      <c r="G12" t="n">
        <v>16</v>
      </c>
      <c r="H12" t="inlineStr">
        <is>
          <t>A Fields advances to 2nd on error by 1B R Schmidt during E McCoy AB (play #16, B2); error embedded in pitch sequence (Sec4 #16). WLDL E=2.</t>
        </is>
      </c>
    </row>
    <row r="13">
      <c r="A13" t="inlineStr">
        <is>
          <t>2026-03-23_WLDL_at_RVRH</t>
        </is>
      </c>
      <c r="B13" t="inlineStr">
        <is>
          <t>2026-03-23</t>
        </is>
      </c>
      <c r="C13" t="inlineStr">
        <is>
          <t>Wilde Lake Varsity Cats</t>
        </is>
      </c>
      <c r="D13" t="inlineStr">
        <is>
          <t>WLDL</t>
        </is>
      </c>
      <c r="E13" t="inlineStr">
        <is>
          <t>A Lindsay</t>
        </is>
      </c>
      <c r="F13" t="n">
        <v>3</v>
      </c>
      <c r="G13" t="n">
        <v>24</v>
      </c>
      <c r="H13" t="inlineStr">
        <is>
          <t>J Norwood hits a fly ball and reaches on an error by RF A Lindsay; J Norwood advances to 2nd on the same error (play #24, B3). WLDL E=3.</t>
        </is>
      </c>
    </row>
    <row r="14">
      <c r="A14" t="inlineStr">
        <is>
          <t>2026-03-25_RVRH_at_HMMN</t>
        </is>
      </c>
      <c r="B14" t="inlineStr">
        <is>
          <t>2026-03-25</t>
        </is>
      </c>
      <c r="C14" t="inlineStr">
        <is>
          <t>Hammond Varsity Bears</t>
        </is>
      </c>
      <c r="D14" t="inlineStr">
        <is>
          <t>RVRH</t>
        </is>
      </c>
      <c r="E14" t="inlineStr">
        <is>
          <t>A Contreras</t>
        </is>
      </c>
      <c r="F14" t="n">
        <v>6</v>
      </c>
      <c r="G14" t="n">
        <v>61</v>
      </c>
      <c r="H14" t="inlineStr">
        <is>
          <t>J Willis singles to LF A Contreras; C Stryker scores on error by LF A Contreras, J Willis advances to 2nd on same error (play #61, B6). RVRH E=1. C Stryker scored on error — no RBI for J Willis.</t>
        </is>
      </c>
    </row>
    <row r="15">
      <c r="A15" t="inlineStr">
        <is>
          <t>2026-03-25_RVRH_at_HMMN</t>
        </is>
      </c>
      <c r="B15" t="inlineStr">
        <is>
          <t>2026-03-25</t>
        </is>
      </c>
      <c r="C15" t="inlineStr">
        <is>
          <t>Hammond Varsity Bears</t>
        </is>
      </c>
      <c r="D15" t="inlineStr">
        <is>
          <t>HMMN</t>
        </is>
      </c>
      <c r="E15" t="inlineStr">
        <is>
          <t>J Willis</t>
        </is>
      </c>
      <c r="F15" t="n">
        <v>3</v>
      </c>
      <c r="G15" t="n">
        <v>26</v>
      </c>
      <c r="H15" t="inlineStr">
        <is>
          <t>A Contreras hits a fly ball and reaches on an error by CF J Willis; A Contreras advances to 2nd on same error (play #26, T3). HMMN E=1.</t>
        </is>
      </c>
    </row>
    <row r="16">
      <c r="A16" t="inlineStr">
        <is>
          <t>2026-03-25_RVRH_at_HMMN</t>
        </is>
      </c>
      <c r="B16" t="inlineStr">
        <is>
          <t>2026-03-25</t>
        </is>
      </c>
      <c r="C16" t="inlineStr">
        <is>
          <t>Hammond Varsity Bears</t>
        </is>
      </c>
      <c r="D16" t="inlineStr">
        <is>
          <t>HMMN</t>
        </is>
      </c>
      <c r="E16" t="inlineStr">
        <is>
          <t>P Yarnell</t>
        </is>
      </c>
      <c r="F16" t="n">
        <v>4</v>
      </c>
      <c r="G16" t="n">
        <v>36</v>
      </c>
      <c r="H16" t="inlineStr">
        <is>
          <t>C McClellan (CR for H Zhang) advances to 3rd on error by SS P Yarnell — embedded in A Fields walk AB pitch sequence (play #36, T4; Flag #5). HMMN E=2.</t>
        </is>
      </c>
    </row>
    <row r="17">
      <c r="A17" t="inlineStr">
        <is>
          <t>2026-03-25_RVRH_at_HMMN</t>
        </is>
      </c>
      <c r="B17" t="inlineStr">
        <is>
          <t>2026-03-25</t>
        </is>
      </c>
      <c r="C17" t="inlineStr">
        <is>
          <t>Hammond Varsity Bears</t>
        </is>
      </c>
      <c r="D17" t="inlineStr">
        <is>
          <t>HMMN</t>
        </is>
      </c>
      <c r="E17" t="inlineStr">
        <is>
          <t>P Yarnell</t>
        </is>
      </c>
      <c r="F17" t="n">
        <v>5</v>
      </c>
      <c r="G17" t="n">
        <v>44</v>
      </c>
      <c r="H17" t="inlineStr">
        <is>
          <t>C Reis singles on a ground ball to SS P Yarnell; C Reis advances to 2nd on error by SS P Yarnell (play #44, T5). HMMN E=3.</t>
        </is>
      </c>
    </row>
    <row r="18">
      <c r="A18" t="inlineStr">
        <is>
          <t>2026-03-25_RVRH_at_HMMN</t>
        </is>
      </c>
      <c r="B18" t="inlineStr">
        <is>
          <t>2026-03-25</t>
        </is>
      </c>
      <c r="C18" t="inlineStr">
        <is>
          <t>Hammond Varsity Bears</t>
        </is>
      </c>
      <c r="D18" t="inlineStr">
        <is>
          <t>HMMN</t>
        </is>
      </c>
      <c r="E18" t="inlineStr">
        <is>
          <t>P Yarnell</t>
        </is>
      </c>
      <c r="F18" t="n">
        <v>7</v>
      </c>
      <c r="G18" t="n">
        <v>69</v>
      </c>
      <c r="H18" t="inlineStr">
        <is>
          <t>C Naecker scores on error by SS P Yarnell — embedded in E McCoy pop out AB pitch sequence (play #69, T7; Flag #6). HMMN E=4. Run scored on error — no RBI for E McCoy.</t>
        </is>
      </c>
    </row>
    <row r="19">
      <c r="A19" t="inlineStr">
        <is>
          <t>2026-03-27_GLNL_at_RVRH</t>
        </is>
      </c>
      <c r="B19" t="inlineStr">
        <is>
          <t>2026-03-27</t>
        </is>
      </c>
      <c r="C19" t="inlineStr">
        <is>
          <t>Glenelg Varsity Gladiators</t>
        </is>
      </c>
      <c r="D19" t="inlineStr">
        <is>
          <t>RVRH</t>
        </is>
      </c>
      <c r="E19" t="inlineStr">
        <is>
          <t>C Nichols</t>
        </is>
      </c>
      <c r="F19" t="n">
        <v>1</v>
      </c>
      <c r="G19" t="n">
        <v>3</v>
      </c>
      <c r="H19" t="inlineStr">
        <is>
          <t>C Lease hits a ground ball and reaches on an error by SS C Nichols; C Lease advances to 2nd on same error (play #3, T1). RVRH E=1 identified. Second RVRH error (E=2 total per Section 2) is unidentifiable in the play log — see Flag #5; no second fielding row written.</t>
        </is>
      </c>
    </row>
    <row r="20">
      <c r="A20" t="inlineStr">
        <is>
          <t>2026-03-27_GLNL_at_RVRH</t>
        </is>
      </c>
      <c r="B20" t="inlineStr">
        <is>
          <t>2026-03-27</t>
        </is>
      </c>
      <c r="C20" t="inlineStr">
        <is>
          <t>Glenelg Varsity Gladiators</t>
        </is>
      </c>
      <c r="D20" t="inlineStr">
        <is>
          <t>GLNL</t>
        </is>
      </c>
      <c r="E20" t="inlineStr">
        <is>
          <t>J Miles</t>
        </is>
      </c>
      <c r="F20" t="n">
        <v>3</v>
      </c>
      <c r="G20" t="n">
        <v>38</v>
      </c>
      <c r="H20" t="inlineStr">
        <is>
          <t>E McCoy hits a pop fly and reaches on an error by 1B J Miles; A Fields scores from 3rd, B Bixby (CR for G Dang) scores from 3rd on the play (play #38, B3). GLNL E=1. Runs scored on error — no RBI for E McCoy.</t>
        </is>
      </c>
    </row>
    <row r="21">
      <c r="A21" t="inlineStr">
        <is>
          <t>2026-03-30_FLLS_at_RVRH</t>
        </is>
      </c>
      <c r="B21" t="inlineStr">
        <is>
          <t>2026-03-30</t>
        </is>
      </c>
      <c r="C21" t="inlineStr">
        <is>
          <t>Fallston Varsity Cougars</t>
        </is>
      </c>
      <c r="D21" t="inlineStr">
        <is>
          <t>RVRH</t>
        </is>
      </c>
      <c r="E21" t="inlineStr">
        <is>
          <t>A Fields</t>
        </is>
      </c>
      <c r="F21" t="n">
        <v>2</v>
      </c>
      <c r="G21" t="n">
        <v>14</v>
      </c>
      <c r="H21" t="inlineStr">
        <is>
          <t>G Kersch hits a ground ball and reaches on an error by 2B A Fields (play #14, T2). RVRH E=1. Error is the only event; G Kersch advances to 1B only.</t>
        </is>
      </c>
    </row>
    <row r="22">
      <c r="A22" t="inlineStr">
        <is>
          <t>2026-03-30_FLLS_at_RVRH</t>
        </is>
      </c>
      <c r="B22" t="inlineStr">
        <is>
          <t>2026-03-30</t>
        </is>
      </c>
      <c r="C22" t="inlineStr">
        <is>
          <t>Fallston Varsity Cougars</t>
        </is>
      </c>
      <c r="D22" t="inlineStr">
        <is>
          <t>RVRH</t>
        </is>
      </c>
      <c r="E22" t="inlineStr">
        <is>
          <t>G Dang</t>
        </is>
      </c>
      <c r="F22" t="n">
        <v>5</v>
      </c>
      <c r="G22" t="n">
        <v>43</v>
      </c>
      <c r="H22" t="inlineStr">
        <is>
          <t>E Slicher scores on an error by C G Dang — embedded in F Rebasti walk AB pitch sequence (play #43, T5; Flag #3). RVRH E=2. Z Loewe steals 2nd on the same pitch. Error and SB both embedded; neither logged as standalone play entry.</t>
        </is>
      </c>
    </row>
    <row r="23">
      <c r="A23" t="inlineStr">
        <is>
          <t>2026-03-07_ELNR_at_NRTH</t>
        </is>
      </c>
      <c r="B23" s="17" t="n">
        <v>46088</v>
      </c>
      <c r="C23" t="inlineStr">
        <is>
          <t>North Point Varsity Eagles</t>
        </is>
      </c>
      <c r="D23" t="inlineStr">
        <is>
          <t>ELNR</t>
        </is>
      </c>
      <c r="E23" t="inlineStr">
        <is>
          <t>S Hamilton</t>
        </is>
      </c>
      <c r="F23" t="n">
        <v>1</v>
      </c>
      <c r="G23" t="n">
        <v>9</v>
      </c>
      <c r="H23" t="inlineStr">
        <is>
          <t>A Harding reaches on error by SS S Hamilton; A Espejo advances to 2nd (B1). ELNR E=1.</t>
        </is>
      </c>
    </row>
    <row r="24">
      <c r="A24" t="inlineStr">
        <is>
          <t>2026-03-07_ELNR_at_NRTH</t>
        </is>
      </c>
      <c r="B24" s="17" t="n">
        <v>46088</v>
      </c>
      <c r="C24" t="inlineStr">
        <is>
          <t>North Point Varsity Eagles</t>
        </is>
      </c>
      <c r="D24" t="inlineStr">
        <is>
          <t>ELNR</t>
        </is>
      </c>
      <c r="E24" t="inlineStr">
        <is>
          <t>J Maitland</t>
        </is>
      </c>
      <c r="F24" t="n">
        <v>1</v>
      </c>
      <c r="G24" t="n">
        <v>12</v>
      </c>
      <c r="H24" t="inlineStr">
        <is>
          <t>W Kwisnek singles; W Kwisnek advances to 3rd on error by C J Maitland; A Harding scores (B1). ELNR E=2. See Flag #4.</t>
        </is>
      </c>
    </row>
    <row r="25">
      <c r="A25" t="inlineStr">
        <is>
          <t>2026-03-07_ELNR_at_NRTH</t>
        </is>
      </c>
      <c r="B25" s="17" t="n">
        <v>46088</v>
      </c>
      <c r="C25" t="inlineStr">
        <is>
          <t>North Point Varsity Eagles</t>
        </is>
      </c>
      <c r="D25" t="inlineStr">
        <is>
          <t>ELNR</t>
        </is>
      </c>
      <c r="E25" t="inlineStr">
        <is>
          <t>J Maitland</t>
        </is>
      </c>
      <c r="F25" t="n">
        <v>1</v>
      </c>
      <c r="G25" t="n">
        <v>15</v>
      </c>
      <c r="H25" t="inlineStr">
        <is>
          <t>S Dixon scores on error by C J Maitland during C Pettko walk sequence (B1). ELNR E=3. See Flag #5.</t>
        </is>
      </c>
    </row>
    <row r="26">
      <c r="A26" t="inlineStr">
        <is>
          <t>2026-03-07_ELNR_at_NRTH</t>
        </is>
      </c>
      <c r="B26" s="17" t="n">
        <v>46088</v>
      </c>
      <c r="C26" t="inlineStr">
        <is>
          <t>North Point Varsity Eagles</t>
        </is>
      </c>
      <c r="D26" t="inlineStr">
        <is>
          <t>ELNR</t>
        </is>
      </c>
      <c r="E26" t="inlineStr">
        <is>
          <t>A Wimbish</t>
        </is>
      </c>
      <c r="F26" t="n">
        <v>2</v>
      </c>
      <c r="G26" t="n">
        <v>24</v>
      </c>
      <c r="H26" t="inlineStr">
        <is>
          <t>Z Bowman reaches and advances to 2nd on error by RF A Wimbish (B2). ELNR E=4.</t>
        </is>
      </c>
    </row>
    <row r="27">
      <c r="A27" t="inlineStr">
        <is>
          <t>2026-03-07_ELNR_at_NRTH</t>
        </is>
      </c>
      <c r="B27" s="17" t="n">
        <v>46088</v>
      </c>
      <c r="C27" t="inlineStr">
        <is>
          <t>North Point Varsity Eagles</t>
        </is>
      </c>
      <c r="D27" t="inlineStr">
        <is>
          <t>ELNR</t>
        </is>
      </c>
      <c r="E27" t="inlineStr">
        <is>
          <t>S Hamilton</t>
        </is>
      </c>
      <c r="F27" t="n">
        <v>2</v>
      </c>
      <c r="G27" t="n">
        <v>27</v>
      </c>
      <c r="H27" t="inlineStr">
        <is>
          <t>S Dixon reaches on error by SS S Hamilton; Z Bowman scores (B2). ELNR E=5.</t>
        </is>
      </c>
    </row>
    <row r="28">
      <c r="A28" t="inlineStr">
        <is>
          <t>2026-03-07_ELNR_at_NRTH</t>
        </is>
      </c>
      <c r="B28" s="17" t="n">
        <v>46088</v>
      </c>
      <c r="C28" t="inlineStr">
        <is>
          <t>North Point Varsity Eagles</t>
        </is>
      </c>
      <c r="D28" t="inlineStr">
        <is>
          <t>ELNR</t>
        </is>
      </c>
      <c r="E28" t="inlineStr">
        <is>
          <t>J Maitland</t>
        </is>
      </c>
      <c r="F28" t="n">
        <v>3</v>
      </c>
      <c r="G28" t="n">
        <v>36</v>
      </c>
      <c r="H28" t="inlineStr">
        <is>
          <t>T Roy scores on error by C J Maitland; C Pettko also advances — embedded in A Espejo walk sequence (B3). ELNR E=6. See Flag #5.</t>
        </is>
      </c>
    </row>
    <row r="29">
      <c r="A29" t="inlineStr">
        <is>
          <t>2026-03-07_ELNR_at_NRTH</t>
        </is>
      </c>
      <c r="B29" s="17" t="n">
        <v>46088</v>
      </c>
      <c r="C29" t="inlineStr">
        <is>
          <t>North Point Varsity Eagles</t>
        </is>
      </c>
      <c r="D29" t="inlineStr">
        <is>
          <t>ELNR</t>
        </is>
      </c>
      <c r="E29" t="inlineStr">
        <is>
          <t>R Coxen</t>
        </is>
      </c>
      <c r="F29" t="n">
        <v>3</v>
      </c>
      <c r="G29" t="n">
        <v>39</v>
      </c>
      <c r="H29" t="inlineStr">
        <is>
          <t>Z Bowman advances to 2nd on error by 2B R Coxen on throw during FC play (B3). ELNR E=7. See Flag #8.</t>
        </is>
      </c>
    </row>
    <row r="30">
      <c r="A30" t="inlineStr">
        <is>
          <t>2026-03-07_ELNR_at_NRTH</t>
        </is>
      </c>
      <c r="B30" s="17" t="n">
        <v>46088</v>
      </c>
      <c r="C30" t="inlineStr">
        <is>
          <t>North Point Varsity Eagles</t>
        </is>
      </c>
      <c r="D30" t="inlineStr">
        <is>
          <t>ELNR</t>
        </is>
      </c>
      <c r="E30" t="inlineStr">
        <is>
          <t>S Hamilton</t>
        </is>
      </c>
      <c r="F30" t="n">
        <v>5</v>
      </c>
      <c r="G30" t="n">
        <v>58</v>
      </c>
      <c r="H30" t="inlineStr">
        <is>
          <t>W Kwisnek reaches on error by SS S Hamilton (B5). ELNR E=8.</t>
        </is>
      </c>
    </row>
    <row r="31">
      <c r="A31" t="inlineStr">
        <is>
          <t>2026-03-07_ELNR_at_NRTH</t>
        </is>
      </c>
      <c r="B31" s="17" t="n">
        <v>46088</v>
      </c>
      <c r="C31" t="inlineStr">
        <is>
          <t>North Point Varsity Eagles</t>
        </is>
      </c>
      <c r="D31" t="inlineStr">
        <is>
          <t>NRTH</t>
        </is>
      </c>
      <c r="E31" t="inlineStr">
        <is>
          <t>Z Bowman</t>
        </is>
      </c>
      <c r="F31" t="n">
        <v>2</v>
      </c>
      <c r="G31" t="n">
        <v>19</v>
      </c>
      <c r="H31" t="inlineStr">
        <is>
          <t>A Kennell reaches on error by 3B Z Bowman (T2). NRTH E=1.</t>
        </is>
      </c>
    </row>
    <row r="32">
      <c r="A32" t="inlineStr">
        <is>
          <t>2026-03-07_ELNR_at_NRTH</t>
        </is>
      </c>
      <c r="B32" s="17" t="n">
        <v>46088</v>
      </c>
      <c r="C32" t="inlineStr">
        <is>
          <t>North Point Varsity Eagles</t>
        </is>
      </c>
      <c r="D32" t="inlineStr">
        <is>
          <t>NRTH</t>
        </is>
      </c>
      <c r="E32" t="inlineStr">
        <is>
          <t>Z Bowman</t>
        </is>
      </c>
      <c r="F32" t="n">
        <v>3</v>
      </c>
      <c r="G32" t="n">
        <v>32</v>
      </c>
      <c r="H32" t="inlineStr">
        <is>
          <t>K Watkins-Fleisher reaches; C Knight advances to 3rd on same error by 3B Z Bowman (T3). NRTH E=2.</t>
        </is>
      </c>
    </row>
    <row r="33">
      <c r="A33" t="inlineStr">
        <is>
          <t>2026-03-07_ELNR_at_NRTH</t>
        </is>
      </c>
      <c r="B33" s="17" t="n">
        <v>46088</v>
      </c>
      <c r="C33" t="inlineStr">
        <is>
          <t>North Point Varsity Eagles</t>
        </is>
      </c>
      <c r="D33" t="inlineStr">
        <is>
          <t>NRTH</t>
        </is>
      </c>
      <c r="E33" t="inlineStr">
        <is>
          <t>C Pettko</t>
        </is>
      </c>
      <c r="F33" t="n">
        <v>5</v>
      </c>
      <c r="G33" t="n">
        <v>53</v>
      </c>
      <c r="H33" t="inlineStr">
        <is>
          <t>J Maitland reaches on error by SS C Pettko (T5). NRTH E=3.</t>
        </is>
      </c>
    </row>
    <row r="34">
      <c r="A34" t="inlineStr">
        <is>
          <t>2026-03-14_NRTH_at_ARND</t>
        </is>
      </c>
      <c r="B34" t="inlineStr">
        <is>
          <t>2026-03-14</t>
        </is>
      </c>
      <c r="C34" t="inlineStr">
        <is>
          <t>ARND</t>
        </is>
      </c>
      <c r="D34" t="inlineStr">
        <is>
          <t>NRTH</t>
        </is>
      </c>
      <c r="E34" t="inlineStr">
        <is>
          <t>W Kwisnek</t>
        </is>
      </c>
      <c r="F34" t="n">
        <v>1</v>
      </c>
      <c r="G34" t="inlineStr">
        <is>
          <t>play#6</t>
        </is>
      </c>
      <c r="H34" t="inlineStr">
        <is>
          <t>E at 1B; J Bailey reaches on error; see Flag#3</t>
        </is>
      </c>
    </row>
    <row r="35">
      <c r="A35" t="inlineStr">
        <is>
          <t>2026-03-14_NRTH_at_ARND</t>
        </is>
      </c>
      <c r="B35" t="inlineStr">
        <is>
          <t>2026-03-14</t>
        </is>
      </c>
      <c r="C35" t="inlineStr">
        <is>
          <t>ARND</t>
        </is>
      </c>
      <c r="D35" t="inlineStr">
        <is>
          <t>NRTH</t>
        </is>
      </c>
      <c r="E35" t="inlineStr">
        <is>
          <t>A Harding</t>
        </is>
      </c>
      <c r="F35" t="n">
        <v>1</v>
      </c>
      <c r="G35" t="inlineStr">
        <is>
          <t>play#8</t>
        </is>
      </c>
      <c r="H35" t="inlineStr">
        <is>
          <t>E at SS; B Gardner reaches on error</t>
        </is>
      </c>
    </row>
    <row r="36">
      <c r="A36" t="inlineStr">
        <is>
          <t>2026-03-14_NRTH_at_ARND</t>
        </is>
      </c>
      <c r="B36" t="inlineStr">
        <is>
          <t>2026-03-14</t>
        </is>
      </c>
      <c r="C36" t="inlineStr">
        <is>
          <t>ARND</t>
        </is>
      </c>
      <c r="D36" t="inlineStr">
        <is>
          <t>NRTH</t>
        </is>
      </c>
      <c r="E36" t="inlineStr">
        <is>
          <t>A Williams</t>
        </is>
      </c>
      <c r="F36" t="n">
        <v>4</v>
      </c>
      <c r="G36" t="inlineStr">
        <is>
          <t>play#41</t>
        </is>
      </c>
      <c r="H36" t="inlineStr">
        <is>
          <t>E at C; B Gardner scores on error; see Flag#5</t>
        </is>
      </c>
    </row>
    <row r="37">
      <c r="A37" t="inlineStr">
        <is>
          <t>2026-03-14_NRTH_at_ARND</t>
        </is>
      </c>
      <c r="B37" t="inlineStr">
        <is>
          <t>2026-03-14</t>
        </is>
      </c>
      <c r="C37" t="inlineStr">
        <is>
          <t>ARND</t>
        </is>
      </c>
      <c r="D37" t="inlineStr">
        <is>
          <t>NRTH</t>
        </is>
      </c>
      <c r="E37" t="inlineStr">
        <is>
          <t>A Harding</t>
        </is>
      </c>
      <c r="F37" t="n">
        <v>4</v>
      </c>
      <c r="G37" t="inlineStr">
        <is>
          <t>play#43</t>
        </is>
      </c>
      <c r="H37" t="inlineStr">
        <is>
          <t>E at SS; J Bailey reaches on error; see Flag#6</t>
        </is>
      </c>
    </row>
    <row r="38">
      <c r="A38" t="inlineStr">
        <is>
          <t>2026-03-14_NRTH_at_ARND</t>
        </is>
      </c>
      <c r="B38" t="inlineStr">
        <is>
          <t>2026-03-14</t>
        </is>
      </c>
      <c r="C38" t="inlineStr">
        <is>
          <t>ARND</t>
        </is>
      </c>
      <c r="D38" t="inlineStr">
        <is>
          <t>NRTH</t>
        </is>
      </c>
      <c r="E38" t="inlineStr">
        <is>
          <t>A Harding</t>
        </is>
      </c>
      <c r="F38" t="n">
        <v>5</v>
      </c>
      <c r="G38" t="inlineStr">
        <is>
          <t>play#54</t>
        </is>
      </c>
      <c r="H38" t="inlineStr">
        <is>
          <t>E at SS; J Verdier reaches on error</t>
        </is>
      </c>
    </row>
    <row r="39">
      <c r="A39" t="inlineStr">
        <is>
          <t>2026-03-14_NRTH_at_ARND</t>
        </is>
      </c>
      <c r="B39" t="inlineStr">
        <is>
          <t>2026-03-14</t>
        </is>
      </c>
      <c r="C39" t="inlineStr">
        <is>
          <t>ARND</t>
        </is>
      </c>
      <c r="D39" t="inlineStr">
        <is>
          <t>NRTH</t>
        </is>
      </c>
      <c r="E39" t="inlineStr">
        <is>
          <t>Z Bowman</t>
        </is>
      </c>
      <c r="F39" t="n">
        <v>5</v>
      </c>
      <c r="G39" t="inlineStr">
        <is>
          <t>play#58</t>
        </is>
      </c>
      <c r="H39" t="inlineStr">
        <is>
          <t>E at 3B; J Niles reaches on error</t>
        </is>
      </c>
    </row>
    <row r="40">
      <c r="A40" t="inlineStr">
        <is>
          <t>2026-03-14_NRTH_at_ARND</t>
        </is>
      </c>
      <c r="B40" t="inlineStr">
        <is>
          <t>2026-03-14</t>
        </is>
      </c>
      <c r="C40" t="inlineStr">
        <is>
          <t>ARND</t>
        </is>
      </c>
      <c r="D40" t="inlineStr">
        <is>
          <t>NRTH</t>
        </is>
      </c>
      <c r="E40" t="inlineStr">
        <is>
          <t>A Thomas</t>
        </is>
      </c>
      <c r="F40" t="n">
        <v>5</v>
      </c>
      <c r="G40" t="inlineStr">
        <is>
          <t>play#62</t>
        </is>
      </c>
      <c r="H40" t="inlineStr">
        <is>
          <t>E at 2B; J Verdier reaches on error</t>
        </is>
      </c>
    </row>
    <row r="41">
      <c r="A41" t="inlineStr">
        <is>
          <t>2026-03-14_NRTH_at_MRRT</t>
        </is>
      </c>
      <c r="B41" t="inlineStr">
        <is>
          <t>2026-03-14</t>
        </is>
      </c>
      <c r="C41" t="inlineStr">
        <is>
          <t>MRRT</t>
        </is>
      </c>
      <c r="D41" t="inlineStr">
        <is>
          <t>NRTH</t>
        </is>
      </c>
      <c r="E41" t="inlineStr">
        <is>
          <t>A Thomas</t>
        </is>
      </c>
      <c r="F41" t="n">
        <v>1</v>
      </c>
      <c r="G41" t="inlineStr">
        <is>
          <t>play#9</t>
        </is>
      </c>
      <c r="H41" t="inlineStr">
        <is>
          <t>E at 2B embedded in A Devito AB; Z Magee advances to 2nd on E</t>
        </is>
      </c>
    </row>
    <row r="42">
      <c r="A42" t="inlineStr">
        <is>
          <t>2026-03-14_NRTH_at_MRRT</t>
        </is>
      </c>
      <c r="B42" t="inlineStr">
        <is>
          <t>2026-03-14</t>
        </is>
      </c>
      <c r="C42" t="inlineStr">
        <is>
          <t>MRRT</t>
        </is>
      </c>
      <c r="D42" t="inlineStr">
        <is>
          <t>NRTH</t>
        </is>
      </c>
      <c r="E42" t="inlineStr">
        <is>
          <t>A Williams</t>
        </is>
      </c>
      <c r="F42" t="n">
        <v>2</v>
      </c>
      <c r="G42" t="inlineStr">
        <is>
          <t>play#21</t>
        </is>
      </c>
      <c r="H42" t="inlineStr">
        <is>
          <t>E at C embedded in N Brown AB; O Snow scores on E (steals 3rd then scores)</t>
        </is>
      </c>
    </row>
    <row r="43">
      <c r="A43" t="inlineStr">
        <is>
          <t>2026-03-14_NRTH_at_MRRT</t>
        </is>
      </c>
      <c r="B43" t="inlineStr">
        <is>
          <t>2026-03-14</t>
        </is>
      </c>
      <c r="C43" t="inlineStr">
        <is>
          <t>MRRT</t>
        </is>
      </c>
      <c r="D43" t="inlineStr">
        <is>
          <t>NRTH</t>
        </is>
      </c>
      <c r="E43" t="inlineStr">
        <is>
          <t>Z Bowman</t>
        </is>
      </c>
      <c r="F43" t="n">
        <v>3</v>
      </c>
      <c r="G43" t="inlineStr">
        <is>
          <t>play#30</t>
        </is>
      </c>
      <c r="H43" t="inlineStr">
        <is>
          <t>E at 3B; J Devito reaches on error</t>
        </is>
      </c>
    </row>
    <row r="44">
      <c r="A44" t="inlineStr">
        <is>
          <t>2026-03-14_NRTH_at_MRRT</t>
        </is>
      </c>
      <c r="B44" t="inlineStr">
        <is>
          <t>2026-03-14</t>
        </is>
      </c>
      <c r="C44" t="inlineStr">
        <is>
          <t>MRRT</t>
        </is>
      </c>
      <c r="D44" t="inlineStr">
        <is>
          <t>NRTH</t>
        </is>
      </c>
      <c r="E44" t="inlineStr">
        <is>
          <t>Z Bowman</t>
        </is>
      </c>
      <c r="F44" t="n">
        <v>3</v>
      </c>
      <c r="G44" t="inlineStr">
        <is>
          <t>play#34</t>
        </is>
      </c>
      <c r="H44" t="inlineStr">
        <is>
          <t>E at 3B; A Hlavaty reaches on error; J Devito scores on same error</t>
        </is>
      </c>
    </row>
    <row r="45">
      <c r="A45" t="inlineStr">
        <is>
          <t>2026-03-14_NRTH_at_MRRT</t>
        </is>
      </c>
      <c r="B45" t="inlineStr">
        <is>
          <t>2026-03-14</t>
        </is>
      </c>
      <c r="C45" t="inlineStr">
        <is>
          <t>MRRT</t>
        </is>
      </c>
      <c r="D45" t="inlineStr">
        <is>
          <t>NRTH</t>
        </is>
      </c>
      <c r="E45" t="inlineStr">
        <is>
          <t>S Dixon</t>
        </is>
      </c>
      <c r="F45" t="n">
        <v>5</v>
      </c>
      <c r="G45" t="inlineStr">
        <is>
          <t>play#51</t>
        </is>
      </c>
      <c r="H45" t="inlineStr">
        <is>
          <t>E at LF embedded in #6 AB; A Montgomery (CR for T Rauscher) scores on E; see Flag#13</t>
        </is>
      </c>
    </row>
    <row r="46">
      <c r="A46" t="inlineStr">
        <is>
          <t>2026-03-14_NRTH_at_MRRT</t>
        </is>
      </c>
      <c r="B46" t="inlineStr">
        <is>
          <t>2026-03-14</t>
        </is>
      </c>
      <c r="C46" t="inlineStr">
        <is>
          <t>MRRT</t>
        </is>
      </c>
      <c r="D46" t="inlineStr">
        <is>
          <t>NRTH</t>
        </is>
      </c>
      <c r="E46" t="inlineStr">
        <is>
          <t>A Williams</t>
        </is>
      </c>
      <c r="F46" t="n">
        <v>5</v>
      </c>
      <c r="G46" t="inlineStr">
        <is>
          <t>play#54</t>
        </is>
      </c>
      <c r="H46" t="inlineStr">
        <is>
          <t>E at C embedded in K Yarema 2B AB (before batted ball, Seq#54); #6 scores on E; see Flag#12</t>
        </is>
      </c>
    </row>
    <row r="47">
      <c r="A47" t="inlineStr">
        <is>
          <t>2026-03-14_NRTH_at_MRRT</t>
        </is>
      </c>
      <c r="B47" t="inlineStr">
        <is>
          <t>2026-03-14</t>
        </is>
      </c>
      <c r="C47" t="inlineStr">
        <is>
          <t>MRRT</t>
        </is>
      </c>
      <c r="D47" t="inlineStr">
        <is>
          <t>NRTH</t>
        </is>
      </c>
      <c r="E47" t="inlineStr">
        <is>
          <t>Z Bowman</t>
        </is>
      </c>
      <c r="F47" t="n">
        <v>5</v>
      </c>
      <c r="G47" t="inlineStr">
        <is>
          <t>play#56</t>
        </is>
      </c>
      <c r="H47" t="inlineStr">
        <is>
          <t>E as P (pitcher) embedded in B Balighian K Seq#56; J Ketterer advances to 2nd; K Yarema scores on same E</t>
        </is>
      </c>
    </row>
    <row r="48">
      <c r="A48" t="inlineStr">
        <is>
          <t>2026-03-20_PTXN_at_NRTH</t>
        </is>
      </c>
      <c r="B48" t="inlineStr">
        <is>
          <t>2026-03-20</t>
        </is>
      </c>
      <c r="C48" t="inlineStr">
        <is>
          <t>PTXN</t>
        </is>
      </c>
      <c r="D48" t="inlineStr">
        <is>
          <t>NRTH</t>
        </is>
      </c>
      <c r="E48" t="inlineStr">
        <is>
          <t>A Harding</t>
        </is>
      </c>
      <c r="F48" t="n">
        <v>2</v>
      </c>
      <c r="G48" t="inlineStr">
        <is>
          <t>play#16</t>
        </is>
      </c>
      <c r="H48" t="inlineStr">
        <is>
          <t>E at SS; B Cowan reaches on error; N Sands and C White score on same error</t>
        </is>
      </c>
    </row>
    <row r="49">
      <c r="A49" t="inlineStr">
        <is>
          <t>2026-03-20_PTXN_at_NRTH</t>
        </is>
      </c>
      <c r="B49" t="inlineStr">
        <is>
          <t>2026-03-20</t>
        </is>
      </c>
      <c r="C49" t="inlineStr">
        <is>
          <t>PTXN</t>
        </is>
      </c>
      <c r="D49" t="inlineStr">
        <is>
          <t>NRTH</t>
        </is>
      </c>
      <c r="E49" t="inlineStr">
        <is>
          <t>A Williams</t>
        </is>
      </c>
      <c r="F49" t="n">
        <v>6</v>
      </c>
      <c r="G49" t="inlineStr">
        <is>
          <t>play#50</t>
        </is>
      </c>
      <c r="H49" t="inlineStr">
        <is>
          <t>E at C embedded in D Bradley GO AB (Seq#50); N Sands scores on E (adv 1st to 3rd on PB then scored on E); see Flag#7</t>
        </is>
      </c>
    </row>
    <row r="50">
      <c r="A50" t="inlineStr">
        <is>
          <t>2026-03-20_PTXN_at_NRTH</t>
        </is>
      </c>
      <c r="B50" t="inlineStr">
        <is>
          <t>2026-03-20</t>
        </is>
      </c>
      <c r="C50" t="inlineStr">
        <is>
          <t>NRTH</t>
        </is>
      </c>
      <c r="D50" t="inlineStr">
        <is>
          <t>PTXN</t>
        </is>
      </c>
      <c r="E50" t="inlineStr">
        <is>
          <t>R Whitney</t>
        </is>
      </c>
      <c r="F50" t="n">
        <v>1</v>
      </c>
      <c r="G50" t="inlineStr">
        <is>
          <t>play#9</t>
        </is>
      </c>
      <c r="H50" t="inlineStr">
        <is>
          <t>E at SS; Z Bowman reaches on error; A Harding scores on same error</t>
        </is>
      </c>
    </row>
    <row r="51">
      <c r="A51" t="inlineStr">
        <is>
          <t>2026-03-20_PTXN_at_NRTH</t>
        </is>
      </c>
      <c r="B51" t="inlineStr">
        <is>
          <t>2026-03-20</t>
        </is>
      </c>
      <c r="C51" t="inlineStr">
        <is>
          <t>NRTH</t>
        </is>
      </c>
      <c r="D51" t="inlineStr">
        <is>
          <t>PTXN</t>
        </is>
      </c>
      <c r="E51" t="inlineStr">
        <is>
          <t>D Bradley</t>
        </is>
      </c>
      <c r="F51" t="n">
        <v>2</v>
      </c>
      <c r="G51" t="inlineStr">
        <is>
          <t>play#19</t>
        </is>
      </c>
      <c r="H51" t="inlineStr">
        <is>
          <t>E at 3B; S Dixon reaches on error</t>
        </is>
      </c>
    </row>
    <row r="52">
      <c r="A52" t="inlineStr">
        <is>
          <t>2026-03-20_PTXN_at_NRTH</t>
        </is>
      </c>
      <c r="B52" t="inlineStr">
        <is>
          <t>2026-03-20</t>
        </is>
      </c>
      <c r="C52" t="inlineStr">
        <is>
          <t>NRTH</t>
        </is>
      </c>
      <c r="D52" t="inlineStr">
        <is>
          <t>PTXN</t>
        </is>
      </c>
      <c r="E52" t="inlineStr">
        <is>
          <t>R Whitney</t>
        </is>
      </c>
      <c r="F52" t="n">
        <v>5</v>
      </c>
      <c r="G52" t="inlineStr">
        <is>
          <t>play#46</t>
        </is>
      </c>
      <c r="H52" t="inlineStr">
        <is>
          <t>E at SS; Z Bowman reaches on error; A Harding advances to 2nd on same error; see Flag#6</t>
        </is>
      </c>
    </row>
    <row r="53">
      <c r="A53" t="inlineStr">
        <is>
          <t>2026-03-20_PTXN_at_NRTH</t>
        </is>
      </c>
      <c r="B53" t="inlineStr">
        <is>
          <t>2026-03-20</t>
        </is>
      </c>
      <c r="C53" t="inlineStr">
        <is>
          <t>NRTH</t>
        </is>
      </c>
      <c r="D53" t="inlineStr">
        <is>
          <t>PTXN</t>
        </is>
      </c>
      <c r="E53" t="inlineStr">
        <is>
          <t>N Kelly</t>
        </is>
      </c>
      <c r="F53" t="n">
        <v>6</v>
      </c>
      <c r="G53" t="inlineStr">
        <is>
          <t>play#57</t>
        </is>
      </c>
      <c r="H53" t="inlineStr">
        <is>
          <t>E at LF; S Dixon reaches on error; CR J Smith (for E Zimmerman) held up at 2nd</t>
        </is>
      </c>
    </row>
    <row r="54">
      <c r="A54" t="inlineStr">
        <is>
          <t>2026-03-23_NRTH_at_ST.C</t>
        </is>
      </c>
      <c r="B54" t="inlineStr">
        <is>
          <t>2026-03-23</t>
        </is>
      </c>
      <c r="C54" t="inlineStr">
        <is>
          <t>NRTH</t>
        </is>
      </c>
      <c r="D54" t="inlineStr">
        <is>
          <t>ST.C</t>
        </is>
      </c>
      <c r="E54" t="inlineStr">
        <is>
          <t>R Generette</t>
        </is>
      </c>
      <c r="F54" t="n">
        <v>1</v>
      </c>
      <c r="G54" t="inlineStr">
        <is>
          <t>play#4</t>
        </is>
      </c>
      <c r="H54" t="inlineStr">
        <is>
          <t>E at 1B; Z Bowman reaches on fly ball error; A Thomas scores on same error</t>
        </is>
      </c>
    </row>
    <row r="55">
      <c r="A55" t="inlineStr">
        <is>
          <t>2026-03-25_NRTH_at_CHPT</t>
        </is>
      </c>
      <c r="B55" t="inlineStr">
        <is>
          <t>2026-03-25</t>
        </is>
      </c>
      <c r="C55" t="inlineStr">
        <is>
          <t>CHPT</t>
        </is>
      </c>
      <c r="D55" t="inlineStr">
        <is>
          <t>NRTH</t>
        </is>
      </c>
      <c r="E55" t="inlineStr">
        <is>
          <t>A Thomas</t>
        </is>
      </c>
      <c r="F55" t="n">
        <v>1</v>
      </c>
      <c r="G55" t="inlineStr">
        <is>
          <t>play#9</t>
        </is>
      </c>
      <c r="H55" t="inlineStr">
        <is>
          <t>E at 2B; T Haggard reaches on E; T Bailey scores (was at 3rd via balk); balk by C Pettko embedded before play</t>
        </is>
      </c>
    </row>
    <row r="56">
      <c r="A56" t="inlineStr">
        <is>
          <t>2026-03-25_NRTH_at_CHPT</t>
        </is>
      </c>
      <c r="B56" t="inlineStr">
        <is>
          <t>2026-03-25</t>
        </is>
      </c>
      <c r="C56" t="inlineStr">
        <is>
          <t>CHPT</t>
        </is>
      </c>
      <c r="D56" t="inlineStr">
        <is>
          <t>NRTH</t>
        </is>
      </c>
      <c r="E56" t="inlineStr">
        <is>
          <t>A Espejo</t>
        </is>
      </c>
      <c r="F56" t="n">
        <v>1</v>
      </c>
      <c r="G56" t="inlineStr">
        <is>
          <t>play#11</t>
        </is>
      </c>
      <c r="H56" t="inlineStr">
        <is>
          <t>E at 3B; A Norris reaches; H Headley (CR for T Haggard) + C Rabon + R Welch all score on same error; see Flag#4</t>
        </is>
      </c>
    </row>
    <row r="57">
      <c r="A57" t="inlineStr">
        <is>
          <t>2026-03-25_NRTH_at_CHPT</t>
        </is>
      </c>
      <c r="B57" t="inlineStr">
        <is>
          <t>2026-03-25</t>
        </is>
      </c>
      <c r="C57" t="inlineStr">
        <is>
          <t>CHPT</t>
        </is>
      </c>
      <c r="D57" t="inlineStr">
        <is>
          <t>NRTH</t>
        </is>
      </c>
      <c r="E57" t="inlineStr">
        <is>
          <t>A Espejo</t>
        </is>
      </c>
      <c r="F57" t="n">
        <v>1</v>
      </c>
      <c r="G57" t="inlineStr">
        <is>
          <t>play#13</t>
        </is>
      </c>
      <c r="H57" t="inlineStr">
        <is>
          <t>E at 3B; S Beach reaches and advances to 2nd on same error</t>
        </is>
      </c>
    </row>
    <row r="58">
      <c r="A58" t="inlineStr">
        <is>
          <t>2026-03-25_NRTH_at_CHPT</t>
        </is>
      </c>
      <c r="B58" t="inlineStr">
        <is>
          <t>2026-03-25</t>
        </is>
      </c>
      <c r="C58" t="inlineStr">
        <is>
          <t>CHPT</t>
        </is>
      </c>
      <c r="D58" t="inlineStr">
        <is>
          <t>NRTH</t>
        </is>
      </c>
      <c r="E58" t="inlineStr">
        <is>
          <t>S Dixon</t>
        </is>
      </c>
      <c r="F58" t="n">
        <v>2</v>
      </c>
      <c r="G58" t="inlineStr">
        <is>
          <t>play#20</t>
        </is>
      </c>
      <c r="H58" t="inlineStr">
        <is>
          <t>E at CF; R Welch reaches on line drive E; advances to 2nd on same error</t>
        </is>
      </c>
    </row>
    <row r="59">
      <c r="A59" t="inlineStr">
        <is>
          <t>2026-03-25_NRTH_at_CHPT</t>
        </is>
      </c>
      <c r="B59" t="inlineStr">
        <is>
          <t>2026-03-25</t>
        </is>
      </c>
      <c r="C59" t="inlineStr">
        <is>
          <t>CHPT</t>
        </is>
      </c>
      <c r="D59" t="inlineStr">
        <is>
          <t>NRTH</t>
        </is>
      </c>
      <c r="E59" t="inlineStr">
        <is>
          <t>A Harding</t>
        </is>
      </c>
      <c r="F59" t="n">
        <v>4</v>
      </c>
      <c r="G59" t="inlineStr">
        <is>
          <t>play#36</t>
        </is>
      </c>
      <c r="H59" t="inlineStr">
        <is>
          <t>E at SS; M McDermott reaches on E</t>
        </is>
      </c>
    </row>
    <row r="60">
      <c r="A60" t="inlineStr">
        <is>
          <t>2026-03-25_NRTH_at_CHPT</t>
        </is>
      </c>
      <c r="B60" t="inlineStr">
        <is>
          <t>2026-03-25</t>
        </is>
      </c>
      <c r="C60" t="inlineStr">
        <is>
          <t>CHPT</t>
        </is>
      </c>
      <c r="D60" t="inlineStr">
        <is>
          <t>NRTH</t>
        </is>
      </c>
      <c r="E60" t="inlineStr">
        <is>
          <t>A Harding</t>
        </is>
      </c>
      <c r="F60" t="n">
        <v>5</v>
      </c>
      <c r="G60" t="inlineStr">
        <is>
          <t>play#44</t>
        </is>
      </c>
      <c r="H60" t="inlineStr">
        <is>
          <t>E at SS; C Rabon reaches on E; H Headley (CR for T Haggard) advances to 3rd on same E</t>
        </is>
      </c>
    </row>
    <row r="61">
      <c r="A61" t="inlineStr">
        <is>
          <t>2026-03-25_NRTH_at_CHPT</t>
        </is>
      </c>
      <c r="B61" t="inlineStr">
        <is>
          <t>2026-03-25</t>
        </is>
      </c>
      <c r="C61" t="inlineStr">
        <is>
          <t>NRTH</t>
        </is>
      </c>
      <c r="D61" t="inlineStr">
        <is>
          <t>CHPT</t>
        </is>
      </c>
      <c r="E61" t="inlineStr">
        <is>
          <t>C Rabon</t>
        </is>
      </c>
      <c r="F61" t="n">
        <v>1</v>
      </c>
      <c r="G61" t="inlineStr">
        <is>
          <t>play#3</t>
        </is>
      </c>
      <c r="H61" t="inlineStr">
        <is>
          <t>E at LF; A Harding singles, advances to 2nd on same E</t>
        </is>
      </c>
    </row>
    <row r="62">
      <c r="A62" t="inlineStr">
        <is>
          <t>2026-03-25_NRTH_at_CHPT</t>
        </is>
      </c>
      <c r="B62" t="inlineStr">
        <is>
          <t>2026-03-25</t>
        </is>
      </c>
      <c r="C62" t="inlineStr">
        <is>
          <t>NRTH</t>
        </is>
      </c>
      <c r="D62" t="inlineStr">
        <is>
          <t>CHPT</t>
        </is>
      </c>
      <c r="E62" t="inlineStr">
        <is>
          <t>E Reynolds</t>
        </is>
      </c>
      <c r="F62" t="n">
        <v>7</v>
      </c>
      <c r="G62" t="inlineStr">
        <is>
          <t>play#56</t>
        </is>
      </c>
      <c r="H62" t="inlineStr">
        <is>
          <t>E at SS; C Pettko reaches on E; S Dixon advances to 2nd</t>
        </is>
      </c>
    </row>
    <row r="63">
      <c r="A63" t="inlineStr">
        <is>
          <t>2026-03-26_THMS_at_NRTH</t>
        </is>
      </c>
      <c r="B63" t="inlineStr">
        <is>
          <t>2026-03-26</t>
        </is>
      </c>
      <c r="C63" t="inlineStr">
        <is>
          <t>THMS</t>
        </is>
      </c>
      <c r="D63" t="inlineStr">
        <is>
          <t>NRTH</t>
        </is>
      </c>
      <c r="E63" t="inlineStr">
        <is>
          <t>C Pettko</t>
        </is>
      </c>
      <c r="F63" t="n">
        <v>1</v>
      </c>
      <c r="G63" t="inlineStr">
        <is>
          <t>play#1</t>
        </is>
      </c>
      <c r="H63" t="inlineStr">
        <is>
          <t>E at 3B; #4 reaches on hard ground ball error</t>
        </is>
      </c>
    </row>
    <row r="64">
      <c r="A64" t="inlineStr">
        <is>
          <t>2026-03-26_THMS_at_NRTH</t>
        </is>
      </c>
      <c r="B64" t="inlineStr">
        <is>
          <t>2026-03-26</t>
        </is>
      </c>
      <c r="C64" t="inlineStr">
        <is>
          <t>THMS</t>
        </is>
      </c>
      <c r="D64" t="inlineStr">
        <is>
          <t>NRTH</t>
        </is>
      </c>
      <c r="E64" t="inlineStr">
        <is>
          <t>A Harding</t>
        </is>
      </c>
      <c r="F64" t="n">
        <v>1</v>
      </c>
      <c r="G64" t="inlineStr">
        <is>
          <t>play#5</t>
        </is>
      </c>
      <c r="H64" t="inlineStr">
        <is>
          <t>E at SS; #21 reaches; #2 scores on same error</t>
        </is>
      </c>
    </row>
    <row r="65">
      <c r="A65" t="inlineStr">
        <is>
          <t>2026-03-26_THMS_at_NRTH</t>
        </is>
      </c>
      <c r="B65" t="inlineStr">
        <is>
          <t>2026-03-26</t>
        </is>
      </c>
      <c r="C65" t="inlineStr">
        <is>
          <t>THMS</t>
        </is>
      </c>
      <c r="D65" t="inlineStr">
        <is>
          <t>NRTH</t>
        </is>
      </c>
      <c r="E65" t="inlineStr">
        <is>
          <t>E Zimmerman</t>
        </is>
      </c>
      <c r="F65" t="n">
        <v>2</v>
      </c>
      <c r="G65" t="inlineStr">
        <is>
          <t>play#33</t>
        </is>
      </c>
      <c r="H65" t="inlineStr">
        <is>
          <t>E at 1B; #21 reaches; #17 scores on same error; #21 advances to 2nd on same error</t>
        </is>
      </c>
    </row>
    <row r="66">
      <c r="A66" t="inlineStr">
        <is>
          <t>2026-03-07_DMSC_at_GLNL</t>
        </is>
      </c>
      <c r="B66" t="inlineStr">
        <is>
          <t>2026-03-07</t>
        </is>
      </c>
      <c r="C66" t="inlineStr">
        <is>
          <t>DMSC</t>
        </is>
      </c>
      <c r="D66" t="inlineStr">
        <is>
          <t>GLNL</t>
        </is>
      </c>
      <c r="E66" t="inlineStr">
        <is>
          <t>A Baker</t>
        </is>
      </c>
      <c r="F66" t="n">
        <v>2</v>
      </c>
      <c r="G66" t="inlineStr">
        <is>
          <t>play#10</t>
        </is>
      </c>
      <c r="H66" t="inlineStr">
        <is>
          <t>E at 3B (GLNL); L Curtin (DMSC) reaches; AB charged, no H</t>
        </is>
      </c>
    </row>
    <row r="67">
      <c r="A67" t="inlineStr">
        <is>
          <t>2026-03-07_DMSC_at_GLNL</t>
        </is>
      </c>
      <c r="B67" t="inlineStr">
        <is>
          <t>2026-03-07</t>
        </is>
      </c>
      <c r="C67" t="inlineStr">
        <is>
          <t>DMSC</t>
        </is>
      </c>
      <c r="D67" t="inlineStr">
        <is>
          <t>GLNL</t>
        </is>
      </c>
      <c r="E67" t="inlineStr">
        <is>
          <t>G Melhuish</t>
        </is>
      </c>
      <c r="F67" t="n">
        <v>3</v>
      </c>
      <c r="G67" t="inlineStr">
        <is>
          <t>play#22</t>
        </is>
      </c>
      <c r="H67" t="inlineStr">
        <is>
          <t>E by catcher (GLNL); embedded in A Iorio (DMSC) AB pitch seq; K Childers (DMSC) advances to 2B; Flag #6 (embedded event)</t>
        </is>
      </c>
    </row>
    <row r="68">
      <c r="A68" t="inlineStr">
        <is>
          <t>2026-03-07_DMSC_at_GLNL</t>
        </is>
      </c>
      <c r="B68" t="inlineStr">
        <is>
          <t>2026-03-07</t>
        </is>
      </c>
      <c r="C68" t="inlineStr">
        <is>
          <t>GLNL</t>
        </is>
      </c>
      <c r="D68" t="inlineStr">
        <is>
          <t>DMSC</t>
        </is>
      </c>
      <c r="E68" t="inlineStr">
        <is>
          <t>DMSC_SS_unknown</t>
        </is>
      </c>
      <c r="F68" t="n">
        <v>6</v>
      </c>
      <c r="G68" t="inlineStr">
        <is>
          <t>play#64</t>
        </is>
      </c>
      <c r="H68" t="inlineStr">
        <is>
          <t>E by DMSC shortstop (fielder unnamed in log); S Tong (GLNL) reaches; C Lease adv to 3B, A Baker adv to 2B; player key uses DMSC_SS_unknown — no name or jersey number in log</t>
        </is>
      </c>
    </row>
    <row r="69">
      <c r="A69" t="inlineStr">
        <is>
          <t>2026-03-14_GLNL_at_OKDL</t>
        </is>
      </c>
      <c r="B69" t="inlineStr">
        <is>
          <t>2026-03-14</t>
        </is>
      </c>
      <c r="C69" t="inlineStr">
        <is>
          <t>GLNL</t>
        </is>
      </c>
      <c r="D69" t="inlineStr">
        <is>
          <t>OKDL</t>
        </is>
      </c>
      <c r="E69" t="inlineStr">
        <is>
          <t>K Huynh</t>
        </is>
      </c>
      <c r="F69" t="n">
        <v>6</v>
      </c>
      <c r="G69" t="inlineStr">
        <is>
          <t>play#47</t>
        </is>
      </c>
      <c r="H69" t="inlineStr">
        <is>
          <t>E by catcher K Huynh (OKDL); embedded in S Tong (GLNL) AB, Top 6th; M Melhuish (GLNL) advances from 2B to 3B; OKDL E=1; occurs after P Moreau CS home on same play; Flags #5, #8</t>
        </is>
      </c>
    </row>
    <row r="70">
      <c r="A70" t="inlineStr">
        <is>
          <t>2026-03-14_LBRT_at_GLNL</t>
        </is>
      </c>
      <c r="B70" t="inlineStr">
        <is>
          <t>2026-03-14</t>
        </is>
      </c>
      <c r="C70" t="inlineStr">
        <is>
          <t>LBRT</t>
        </is>
      </c>
      <c r="D70" t="inlineStr">
        <is>
          <t>GLNL</t>
        </is>
      </c>
      <c r="E70" t="inlineStr">
        <is>
          <t>C Lease</t>
        </is>
      </c>
      <c r="F70" t="n">
        <v>3</v>
      </c>
      <c r="G70" t="inlineStr">
        <is>
          <t>play#24</t>
        </is>
      </c>
      <c r="H70" t="inlineStr">
        <is>
          <t>E by catcher C Lease (GLNL); embedded in C Hitzel (LBRT) AB, Top 3rd; C DiCerbo (LBRT) scores from 3B; GLNL E=1 of 2; Flags #7, #8</t>
        </is>
      </c>
    </row>
    <row r="71">
      <c r="A71" t="inlineStr">
        <is>
          <t>2026-03-14_LBRT_at_GLNL</t>
        </is>
      </c>
      <c r="B71" t="inlineStr">
        <is>
          <t>2026-03-14</t>
        </is>
      </c>
      <c r="C71" t="inlineStr">
        <is>
          <t>LBRT</t>
        </is>
      </c>
      <c r="D71" t="inlineStr">
        <is>
          <t>GLNL</t>
        </is>
      </c>
      <c r="E71" t="inlineStr">
        <is>
          <t>N Cohen</t>
        </is>
      </c>
      <c r="F71" t="n">
        <v>5</v>
      </c>
      <c r="G71" t="inlineStr">
        <is>
          <t>play#43</t>
        </is>
      </c>
      <c r="H71" t="inlineStr">
        <is>
          <t>E by pitcher N Cohen (GLNL); embedded in J Hebert (LBRT) AB, Top 5th; D McGarity (LBRT) advances from 1B to 2B; GLNL E=2 of 2; Flag#7</t>
        </is>
      </c>
    </row>
    <row r="72">
      <c r="A72" t="inlineStr">
        <is>
          <t>2026-03-14_LBRT_at_GLNL</t>
        </is>
      </c>
      <c r="B72" t="inlineStr">
        <is>
          <t>2026-03-14</t>
        </is>
      </c>
      <c r="C72" t="inlineStr">
        <is>
          <t>GLNL</t>
        </is>
      </c>
      <c r="D72" t="inlineStr">
        <is>
          <t>LBRT</t>
        </is>
      </c>
      <c r="E72" t="inlineStr">
        <is>
          <t>B Freiert</t>
        </is>
      </c>
      <c r="F72" t="n">
        <v>2</v>
      </c>
      <c r="G72" t="inlineStr">
        <is>
          <t>play#18</t>
        </is>
      </c>
      <c r="H72" t="inlineStr">
        <is>
          <t>E by SS B Freiert (LBRT); M Melhuish (GLNL) reaches on ground ball; G Knauss (GLNL) scores on the error; LBRT E=1 of 1</t>
        </is>
      </c>
    </row>
    <row r="73">
      <c r="A73" t="inlineStr">
        <is>
          <t>2026-03-21_GLNL_at_MRRT</t>
        </is>
      </c>
      <c r="B73" t="inlineStr">
        <is>
          <t>2026-03-21</t>
        </is>
      </c>
      <c r="C73" t="inlineStr">
        <is>
          <t>MRRT</t>
        </is>
      </c>
      <c r="D73" t="inlineStr">
        <is>
          <t>GLNL</t>
        </is>
      </c>
      <c r="E73" t="inlineStr">
        <is>
          <t>J Miles</t>
        </is>
      </c>
      <c r="F73" t="n">
        <v>3</v>
      </c>
      <c r="G73" t="inlineStr">
        <is>
          <t>play#23</t>
        </is>
      </c>
      <c r="H73" t="inlineStr">
        <is>
          <t>E by pitcher J Miles (GLNL); embedded in N Brown (MRRT) AB, Bottom 3rd; A Schwendeman adv 3B + M Parson adv 2B on same error; GLNL E=1 of 2; Flag#8</t>
        </is>
      </c>
    </row>
    <row r="74">
      <c r="A74" t="inlineStr">
        <is>
          <t>2026-03-21_GLNL_at_MRRT</t>
        </is>
      </c>
      <c r="B74" t="inlineStr">
        <is>
          <t>2026-03-21</t>
        </is>
      </c>
      <c r="C74" t="inlineStr">
        <is>
          <t>MRRT</t>
        </is>
      </c>
      <c r="D74" t="inlineStr">
        <is>
          <t>GLNL</t>
        </is>
      </c>
      <c r="E74" t="inlineStr">
        <is>
          <t>G Melhuish</t>
        </is>
      </c>
      <c r="F74" t="n">
        <v>4</v>
      </c>
      <c r="G74" t="inlineStr">
        <is>
          <t>play#33</t>
        </is>
      </c>
      <c r="H74" t="inlineStr">
        <is>
          <t>E by catcher G Melhuish (GLNL); embedded in O Snow (MRRT) AB, Bottom 4th; M Delmonte adv from 2B to 3B; GLNL E=2 of 2; Flags #5, #8</t>
        </is>
      </c>
    </row>
    <row r="75">
      <c r="A75" t="inlineStr">
        <is>
          <t>2026-03-21_GLNL_at_MRRT</t>
        </is>
      </c>
      <c r="B75" t="inlineStr">
        <is>
          <t>2026-03-21</t>
        </is>
      </c>
      <c r="C75" t="inlineStr">
        <is>
          <t>GLNL</t>
        </is>
      </c>
      <c r="D75" t="inlineStr">
        <is>
          <t>MRRT</t>
        </is>
      </c>
      <c r="E75" t="inlineStr">
        <is>
          <t>A Schwendeman</t>
        </is>
      </c>
      <c r="F75" t="n">
        <v>4</v>
      </c>
      <c r="G75" t="inlineStr">
        <is>
          <t>play#27</t>
        </is>
      </c>
      <c r="H75" t="inlineStr">
        <is>
          <t>E by SS A Schwendeman (MRRT); M Melhuish (GLNL) reaches on ground ball, Top 4th; MRRT E=1 of 1</t>
        </is>
      </c>
    </row>
    <row r="76">
      <c r="A76" t="inlineStr">
        <is>
          <t>2026-03-23_GLNL_at_HWRD</t>
        </is>
      </c>
      <c r="B76" t="inlineStr">
        <is>
          <t>2026-03-23</t>
        </is>
      </c>
      <c r="C76" t="inlineStr">
        <is>
          <t>HWRD</t>
        </is>
      </c>
      <c r="D76" t="inlineStr">
        <is>
          <t>GLNL</t>
        </is>
      </c>
      <c r="E76" t="inlineStr">
        <is>
          <t>C Gerber-Lombardi</t>
        </is>
      </c>
      <c r="F76" t="n">
        <v>1</v>
      </c>
      <c r="G76" t="inlineStr">
        <is>
          <t>play#2</t>
        </is>
      </c>
      <c r="H76" t="inlineStr">
        <is>
          <t>E by 2B C Gerber-Lombardi (HWRD); A Baker (GLNL) reaches on ground ball, Top 1st; HWRD E=1 of 3; Flag#5 (2 errors on 1 AB — this is the first)</t>
        </is>
      </c>
    </row>
    <row r="77">
      <c r="A77" t="inlineStr">
        <is>
          <t>2026-03-23_GLNL_at_HWRD</t>
        </is>
      </c>
      <c r="B77" t="inlineStr">
        <is>
          <t>2026-03-23</t>
        </is>
      </c>
      <c r="C77" t="inlineStr">
        <is>
          <t>HWRD</t>
        </is>
      </c>
      <c r="D77" t="inlineStr">
        <is>
          <t>GLNL</t>
        </is>
      </c>
      <c r="E77" t="inlineStr">
        <is>
          <t>D Heim</t>
        </is>
      </c>
      <c r="F77" t="n">
        <v>1</v>
      </c>
      <c r="G77" t="inlineStr">
        <is>
          <t>play#2</t>
        </is>
      </c>
      <c r="H77" t="inlineStr">
        <is>
          <t>E by pitcher D Heim (HWRD) on same AB; A Baker (GLNL) advances to 2B; M Melhuish scores on this advancement; HWRD E=2 of 3; Flags #5 and #7 (2 errors on 1 AB — this is the second)</t>
        </is>
      </c>
    </row>
    <row r="78">
      <c r="A78" t="inlineStr">
        <is>
          <t>2026-03-23_GLNL_at_HWRD</t>
        </is>
      </c>
      <c r="B78" t="inlineStr">
        <is>
          <t>2026-03-23</t>
        </is>
      </c>
      <c r="C78" t="inlineStr">
        <is>
          <t>HWRD</t>
        </is>
      </c>
      <c r="D78" t="inlineStr">
        <is>
          <t>GLNL</t>
        </is>
      </c>
      <c r="E78" t="inlineStr">
        <is>
          <t>C Gerber-Lombardi</t>
        </is>
      </c>
      <c r="F78" t="n">
        <v>3</v>
      </c>
      <c r="G78" t="inlineStr">
        <is>
          <t>play#20</t>
        </is>
      </c>
      <c r="H78" t="inlineStr">
        <is>
          <t>E by 2B C Gerber-Lombardi (HWRD); B Conlon (GLNL) reaches on ground ball, Top 3rd; HWRD E=3 of 3</t>
        </is>
      </c>
    </row>
    <row r="79">
      <c r="A79" t="inlineStr">
        <is>
          <t>2026-03-23_GLNL_at_HWRD</t>
        </is>
      </c>
      <c r="B79" t="inlineStr">
        <is>
          <t>2026-03-23</t>
        </is>
      </c>
      <c r="C79" t="inlineStr">
        <is>
          <t>GLNL</t>
        </is>
      </c>
      <c r="D79" t="inlineStr">
        <is>
          <t>HWRD</t>
        </is>
      </c>
      <c r="E79" t="inlineStr">
        <is>
          <t>B Burckhardt</t>
        </is>
      </c>
      <c r="F79" t="n">
        <v>5</v>
      </c>
      <c r="G79" t="inlineStr">
        <is>
          <t>play#52</t>
        </is>
      </c>
      <c r="H79" t="inlineStr">
        <is>
          <t>E by 1B B Burckhardt (GLNL); Z Blair (HWRD) reaches on ground ball, Bottom 5th (Z Blair entered mid-AB for A Proescher); GLNL E=1 of 1; Flags #14, #15</t>
        </is>
      </c>
    </row>
    <row r="80">
      <c r="A80" t="inlineStr">
        <is>
          <t>2026-03-30_SHRW_at_GLNL</t>
        </is>
      </c>
      <c r="B80" t="inlineStr">
        <is>
          <t>2026-03-30</t>
        </is>
      </c>
      <c r="C80" t="inlineStr">
        <is>
          <t>SHRW</t>
        </is>
      </c>
      <c r="D80" t="inlineStr">
        <is>
          <t>GLNL</t>
        </is>
      </c>
      <c r="E80" t="inlineStr">
        <is>
          <t>A Baker</t>
        </is>
      </c>
      <c r="F80" t="n">
        <v>1</v>
      </c>
      <c r="G80" t="inlineStr">
        <is>
          <t>play#3</t>
        </is>
      </c>
      <c r="H80" t="inlineStr">
        <is>
          <t>E by 3B A Baker (GLNL); J Sarita (SHRW) reaches on ground ball, Top 1st; GLNL E=1 of 1</t>
        </is>
      </c>
    </row>
    <row r="81">
      <c r="A81" t="inlineStr">
        <is>
          <t>2026-03-30_SHRW_at_GLNL</t>
        </is>
      </c>
      <c r="B81" t="inlineStr">
        <is>
          <t>2026-03-30</t>
        </is>
      </c>
      <c r="C81" t="inlineStr">
        <is>
          <t>GLNL</t>
        </is>
      </c>
      <c r="D81" t="inlineStr">
        <is>
          <t>SHRW</t>
        </is>
      </c>
      <c r="E81" t="inlineStr">
        <is>
          <t>J Bender</t>
        </is>
      </c>
      <c r="F81" t="n">
        <v>2</v>
      </c>
      <c r="G81" t="inlineStr">
        <is>
          <t>play#13</t>
        </is>
      </c>
      <c r="H81" t="inlineStr">
        <is>
          <t>E by SS J Bender (SHRW); S Tong (GLNL) reaches on ground ball, Bottom 2nd; SHRW E=1 of 2</t>
        </is>
      </c>
    </row>
    <row r="82">
      <c r="A82" t="inlineStr">
        <is>
          <t>2026-03-30_SHRW_at_GLNL</t>
        </is>
      </c>
      <c r="B82" t="inlineStr">
        <is>
          <t>2026-03-30</t>
        </is>
      </c>
      <c r="C82" t="inlineStr">
        <is>
          <t>GLNL</t>
        </is>
      </c>
      <c r="D82" t="inlineStr">
        <is>
          <t>SHRW</t>
        </is>
      </c>
      <c r="E82" t="inlineStr">
        <is>
          <t>J Berger</t>
        </is>
      </c>
      <c r="F82" t="n">
        <v>7</v>
      </c>
      <c r="G82" t="inlineStr">
        <is>
          <t>play#53</t>
        </is>
      </c>
      <c r="H82" t="inlineStr">
        <is>
          <t>E by 2B J Berger (SHRW); M Melhuish (GLNL) reaches on fly ball, Bottom 7th; SHRW E=2 of 2</t>
        </is>
      </c>
    </row>
    <row r="83">
      <c r="A83" t="inlineStr">
        <is>
          <t>2026-03-31_GLNL_at_ATHL</t>
        </is>
      </c>
      <c r="B83" t="inlineStr">
        <is>
          <t>2026-03-31</t>
        </is>
      </c>
      <c r="C83" t="inlineStr">
        <is>
          <t>GLNL</t>
        </is>
      </c>
      <c r="D83" t="inlineStr">
        <is>
          <t>ATHL</t>
        </is>
      </c>
      <c r="E83" t="inlineStr">
        <is>
          <t>W Martin</t>
        </is>
      </c>
      <c r="F83" t="n">
        <v>3</v>
      </c>
      <c r="G83" t="inlineStr">
        <is>
          <t>play#21</t>
        </is>
      </c>
      <c r="H83" t="inlineStr">
        <is>
          <t>E by 2B W Martin (ATHL); B Conlon (GLNL) reaches on ground ball, Top 3rd; ATHL E=1 of 3</t>
        </is>
      </c>
    </row>
    <row r="84">
      <c r="A84" t="inlineStr">
        <is>
          <t>2026-03-31_GLNL_at_ATHL</t>
        </is>
      </c>
      <c r="B84" t="inlineStr">
        <is>
          <t>2026-03-31</t>
        </is>
      </c>
      <c r="C84" t="inlineStr">
        <is>
          <t>GLNL</t>
        </is>
      </c>
      <c r="D84" t="inlineStr">
        <is>
          <t>ATHL</t>
        </is>
      </c>
      <c r="E84" t="inlineStr">
        <is>
          <t>J Martin</t>
        </is>
      </c>
      <c r="F84" t="n">
        <v>5</v>
      </c>
      <c r="G84" t="inlineStr">
        <is>
          <t>play#37</t>
        </is>
      </c>
      <c r="H84" t="inlineStr">
        <is>
          <t>E by 3B J Martin (ATHL); embedded in A Baker (GLNL) FC, Top 5th; B Conlon scores + A Baker advances to 2B on same error; S Tong also scores; ATHL E=2 of 3; Flag#11</t>
        </is>
      </c>
    </row>
    <row r="85">
      <c r="A85" t="inlineStr">
        <is>
          <t>2026-03-31_GLNL_at_ATHL</t>
        </is>
      </c>
      <c r="B85" t="inlineStr">
        <is>
          <t>2026-03-31</t>
        </is>
      </c>
      <c r="C85" t="inlineStr">
        <is>
          <t>GLNL</t>
        </is>
      </c>
      <c r="D85" t="inlineStr">
        <is>
          <t>ATHL</t>
        </is>
      </c>
      <c r="E85" t="inlineStr">
        <is>
          <t>J Whiting</t>
        </is>
      </c>
      <c r="F85" t="n">
        <v>5</v>
      </c>
      <c r="G85" t="inlineStr">
        <is>
          <t>play#38</t>
        </is>
      </c>
      <c r="H85" t="inlineStr">
        <is>
          <t>E by SS J Whiting (ATHL); A Nazelrod (GLNL) reaches on ground ball, Top 5th; A Baker scores on this error (mid-AB J Bott entry); ATHL E=3 of 3</t>
        </is>
      </c>
    </row>
    <row r="86">
      <c r="A86" t="inlineStr">
        <is>
          <t>2026-03-07_HNTN_at_LNGR</t>
        </is>
      </c>
      <c r="B86" s="17" t="n">
        <v>46088</v>
      </c>
      <c r="C86" t="inlineStr">
        <is>
          <t>Long Reach HS</t>
        </is>
      </c>
      <c r="D86" t="inlineStr">
        <is>
          <t>HNTN</t>
        </is>
      </c>
      <c r="E86" t="inlineStr">
        <is>
          <t>J Cadden</t>
        </is>
      </c>
      <c r="F86" t="n">
        <v>2</v>
      </c>
      <c r="G86" t="n">
        <v>23</v>
      </c>
      <c r="H86" t="inlineStr">
        <is>
          <t>Pickoff attempt at 2nd — #15 advances to 3rd on error by SS J Cadden, #23 advances to 2nd on same error (play #23, Bot 2nd). HNTN E running tally: 1.</t>
        </is>
      </c>
    </row>
    <row r="87">
      <c r="A87" t="inlineStr">
        <is>
          <t>2026-03-07_HNTN_at_LNGR</t>
        </is>
      </c>
      <c r="B87" s="17" t="n">
        <v>46088</v>
      </c>
      <c r="C87" t="inlineStr">
        <is>
          <t>Huntingtown Varsity Hurricanes</t>
        </is>
      </c>
      <c r="D87" t="inlineStr">
        <is>
          <t>LNGR</t>
        </is>
      </c>
      <c r="E87" t="inlineStr">
        <is>
          <t>LNGR_#23</t>
        </is>
      </c>
      <c r="F87" t="n">
        <v>4</v>
      </c>
      <c r="G87" t="n">
        <v>40</v>
      </c>
      <c r="H87" t="inlineStr">
        <is>
          <t>C Wargo hits a hard ground ball and reaches on an error by 1B LNGR_#23 (play #40, Top 4th). LNGR E=1.</t>
        </is>
      </c>
    </row>
    <row r="88">
      <c r="A88" t="inlineStr">
        <is>
          <t>2026-03-07_HNTN_at_LNGR</t>
        </is>
      </c>
      <c r="B88" s="17" t="n">
        <v>46088</v>
      </c>
      <c r="C88" t="inlineStr">
        <is>
          <t>Long Reach HS</t>
        </is>
      </c>
      <c r="D88" t="inlineStr">
        <is>
          <t>HNTN</t>
        </is>
      </c>
      <c r="E88" t="inlineStr">
        <is>
          <t>J Cadden</t>
        </is>
      </c>
      <c r="F88" t="n">
        <v>4</v>
      </c>
      <c r="G88" t="n">
        <v>48</v>
      </c>
      <c r="H88" t="inlineStr">
        <is>
          <t>#17 hits a ground ball and reaches on an error by SS J Cadden (play #48, Bot 4th). HNTN E running tally: 2.</t>
        </is>
      </c>
    </row>
    <row r="89">
      <c r="A89" t="inlineStr">
        <is>
          <t>2026-03-14_KNTS_at_HNTN</t>
        </is>
      </c>
      <c r="B89" s="17" t="n">
        <v>46095</v>
      </c>
      <c r="C89" t="inlineStr">
        <is>
          <t>Huntingtown Varsity Hurricanes</t>
        </is>
      </c>
      <c r="D89" t="inlineStr">
        <is>
          <t>KNTS</t>
        </is>
      </c>
      <c r="E89" t="inlineStr">
        <is>
          <t>KNTS_#9</t>
        </is>
      </c>
      <c r="F89" t="n">
        <v>1</v>
      </c>
      <c r="G89" t="n">
        <v>9</v>
      </c>
      <c r="H89" t="inlineStr">
        <is>
          <t>T Burghard singles to RF KNTS_#9; T Burghard advances to 2nd on error by RF KNTS_#9 (play #9, Bot 1st). KNTS E running tally: 1.</t>
        </is>
      </c>
    </row>
    <row r="90">
      <c r="A90" t="inlineStr">
        <is>
          <t>2026-03-14_KNTS_at_HNTN</t>
        </is>
      </c>
      <c r="B90" s="17" t="n">
        <v>46095</v>
      </c>
      <c r="C90" t="inlineStr">
        <is>
          <t>Huntingtown Varsity Hurricanes</t>
        </is>
      </c>
      <c r="D90" t="inlineStr">
        <is>
          <t>KNTS</t>
        </is>
      </c>
      <c r="E90" t="inlineStr">
        <is>
          <t>KNTS_#3</t>
        </is>
      </c>
      <c r="F90" t="n">
        <v>2</v>
      </c>
      <c r="G90" t="n">
        <v>18</v>
      </c>
      <c r="H90" t="inlineStr">
        <is>
          <t>J Hann singles on pop fly, LF #11 to 2B KNTS_#3; J Hann advances to 3rd and N McMurray scores on error by 2B KNTS_#3 (play #18, Bot 2nd, Flag #13). KNTS E running tally: 2.</t>
        </is>
      </c>
    </row>
    <row r="91">
      <c r="A91" t="inlineStr">
        <is>
          <t>2026-03-14_KNTS_at_HNTN</t>
        </is>
      </c>
      <c r="B91" s="17" t="n">
        <v>46095</v>
      </c>
      <c r="C91" t="inlineStr">
        <is>
          <t>Huntingtown Varsity Hurricanes</t>
        </is>
      </c>
      <c r="D91" t="inlineStr">
        <is>
          <t>KNTS</t>
        </is>
      </c>
      <c r="E91" t="inlineStr">
        <is>
          <t>KNTS_#7</t>
        </is>
      </c>
      <c r="F91" t="n">
        <v>3</v>
      </c>
      <c r="G91" t="n">
        <v>31</v>
      </c>
      <c r="H91" t="inlineStr">
        <is>
          <t>L Montgomery advances to 3rd on embedded error by SS KNTS_#7 during G Grimes strikeout pitch sequence (play #31, Bot 3rd, Flag #14). KNTS E running tally: 3.</t>
        </is>
      </c>
    </row>
    <row r="92">
      <c r="A92" t="inlineStr">
        <is>
          <t>2026-03-14_KNTS_at_HNTN</t>
        </is>
      </c>
      <c r="B92" s="17" t="n">
        <v>46095</v>
      </c>
      <c r="C92" t="inlineStr">
        <is>
          <t>Kent Island HS</t>
        </is>
      </c>
      <c r="D92" t="inlineStr">
        <is>
          <t>HNTN</t>
        </is>
      </c>
      <c r="E92" t="inlineStr">
        <is>
          <t>L Montgomery</t>
        </is>
      </c>
      <c r="F92" t="n">
        <v>4</v>
      </c>
      <c r="G92" t="n">
        <v>35</v>
      </c>
      <c r="H92" t="inlineStr">
        <is>
          <t>#9 hits a hard ground ball and reaches on error by 3B L Montgomery (play #35, Top 4th). HNTN E=1.</t>
        </is>
      </c>
    </row>
    <row r="93">
      <c r="A93" t="inlineStr">
        <is>
          <t>2026-03-14_HNTN_at_STHR</t>
        </is>
      </c>
      <c r="B93" s="17" t="n">
        <v>46095</v>
      </c>
      <c r="C93" t="inlineStr">
        <is>
          <t>South River Varsity Seahawks</t>
        </is>
      </c>
      <c r="D93" t="inlineStr">
        <is>
          <t>HNTN</t>
        </is>
      </c>
      <c r="E93" t="inlineStr">
        <is>
          <t>R Kessler</t>
        </is>
      </c>
      <c r="F93" t="n">
        <v>5</v>
      </c>
      <c r="G93" t="n">
        <v>46</v>
      </c>
      <c r="H93" t="inlineStr">
        <is>
          <t>#1 hits a ground ball and reaches on error by SS R Kessler (play #46, Bot 5th). HNTN E=1.</t>
        </is>
      </c>
    </row>
    <row r="94">
      <c r="A94" t="inlineStr">
        <is>
          <t>2026-03-14_HNTN_at_STHR</t>
        </is>
      </c>
      <c r="B94" s="17" t="n">
        <v>46095</v>
      </c>
      <c r="C94" t="inlineStr">
        <is>
          <t>Huntingtown Varsity Hurricanes</t>
        </is>
      </c>
      <c r="D94" t="inlineStr">
        <is>
          <t>STHR</t>
        </is>
      </c>
      <c r="E94" t="inlineStr">
        <is>
          <t>STHR_3B_Unknown</t>
        </is>
      </c>
      <c r="F94" t="n">
        <v>4</v>
      </c>
      <c r="G94" t="n">
        <v>30</v>
      </c>
      <c r="H94" t="inlineStr">
        <is>
          <t>C Wargo reaches on error by STHR 3B (jersey number not given — Flag #9) (play #30, Top 4th). STHR E running tally: 1.</t>
        </is>
      </c>
    </row>
    <row r="95">
      <c r="A95" t="inlineStr">
        <is>
          <t>2026-03-14_HNTN_at_STHR</t>
        </is>
      </c>
      <c r="B95" s="17" t="n">
        <v>46095</v>
      </c>
      <c r="C95" t="inlineStr">
        <is>
          <t>Huntingtown Varsity Hurricanes</t>
        </is>
      </c>
      <c r="D95" t="inlineStr">
        <is>
          <t>STHR</t>
        </is>
      </c>
      <c r="E95" t="inlineStr">
        <is>
          <t>STHR_SS_Unknown</t>
        </is>
      </c>
      <c r="F95" t="n">
        <v>4</v>
      </c>
      <c r="G95" t="n">
        <v>31</v>
      </c>
      <c r="H95" t="inlineStr">
        <is>
          <t>J Walter scores on STHR SS error, C Wargo advances to 3rd on same error — embedded in R Kessler walk (play #31, Top 4th, Flag #9). STHR E running tally: 2.</t>
        </is>
      </c>
    </row>
    <row r="96">
      <c r="A96" t="inlineStr">
        <is>
          <t>2026-03-14_HNTN_at_STHR</t>
        </is>
      </c>
      <c r="B96" s="17" t="n">
        <v>46095</v>
      </c>
      <c r="C96" t="inlineStr">
        <is>
          <t>Huntingtown Varsity Hurricanes</t>
        </is>
      </c>
      <c r="D96" t="inlineStr">
        <is>
          <t>STHR</t>
        </is>
      </c>
      <c r="E96" t="inlineStr">
        <is>
          <t>STHR_SS_Unknown</t>
        </is>
      </c>
      <c r="F96" t="n">
        <v>6</v>
      </c>
      <c r="G96" t="n">
        <v>51</v>
      </c>
      <c r="H96" t="inlineStr">
        <is>
          <t>R Bolger reaches on STHR SS error; J Laur scores (play #51, Top 6th, Flag #9). STHR E running tally: 3.</t>
        </is>
      </c>
    </row>
    <row r="97">
      <c r="A97" t="inlineStr">
        <is>
          <t>2026-03-14_HNTN_at_STHR</t>
        </is>
      </c>
      <c r="B97" s="17" t="n">
        <v>46095</v>
      </c>
      <c r="C97" t="inlineStr">
        <is>
          <t>Huntingtown Varsity Hurricanes</t>
        </is>
      </c>
      <c r="D97" t="inlineStr">
        <is>
          <t>STHR</t>
        </is>
      </c>
      <c r="E97" t="inlineStr">
        <is>
          <t>STHR_C_Unknown</t>
        </is>
      </c>
      <c r="F97" t="n">
        <v>6</v>
      </c>
      <c r="G97" t="n">
        <v>55</v>
      </c>
      <c r="H97" t="inlineStr">
        <is>
          <t>N McMurray advances to 2nd on STHR catcher error; J Hann's run ambiguous (single vs. error — Flag #13) (play #55, Top 6th, Flag #9). STHR E running tally: 4.</t>
        </is>
      </c>
    </row>
    <row r="98">
      <c r="A98" t="inlineStr">
        <is>
          <t>2026-03-14_HNTN_at_STHR</t>
        </is>
      </c>
      <c r="B98" s="17" t="n">
        <v>46095</v>
      </c>
      <c r="C98" t="inlineStr">
        <is>
          <t>Huntingtown Varsity Hurricanes</t>
        </is>
      </c>
      <c r="D98" t="inlineStr">
        <is>
          <t>STHR</t>
        </is>
      </c>
      <c r="E98" t="inlineStr">
        <is>
          <t>STHR_SS_Unknown</t>
        </is>
      </c>
      <c r="F98" t="n">
        <v>7</v>
      </c>
      <c r="G98" t="n">
        <v>65</v>
      </c>
      <c r="H98" t="inlineStr">
        <is>
          <t>R Bolger reaches on STHR SS error; J Laur scores (play #65, Top 7th, Flag #9). STHR E running tally: 5.</t>
        </is>
      </c>
    </row>
    <row r="99">
      <c r="A99" t="inlineStr">
        <is>
          <t>2026-03-18_NRTH_at_HNTN</t>
        </is>
      </c>
      <c r="B99" s="17" t="n">
        <v>46099</v>
      </c>
      <c r="C99" t="inlineStr">
        <is>
          <t>Huntingtown Varsity Hurricanes</t>
        </is>
      </c>
      <c r="D99" t="inlineStr">
        <is>
          <t>NRTH</t>
        </is>
      </c>
      <c r="E99" t="inlineStr">
        <is>
          <t>NRTH_3B_Unknown</t>
        </is>
      </c>
      <c r="F99" t="n">
        <v>1</v>
      </c>
      <c r="G99" t="n">
        <v>5</v>
      </c>
      <c r="H99" t="inlineStr">
        <is>
          <t>J Hann reaches on error by NRTH 3B (jersey number not given — Flag #9) (play #5, Bot 1st). NRTH E running tally: 1.</t>
        </is>
      </c>
    </row>
    <row r="100">
      <c r="A100" t="inlineStr">
        <is>
          <t>2026-03-18_NRTH_at_HNTN</t>
        </is>
      </c>
      <c r="B100" s="17" t="n">
        <v>46099</v>
      </c>
      <c r="C100" t="inlineStr">
        <is>
          <t>Huntingtown Varsity Hurricanes</t>
        </is>
      </c>
      <c r="D100" t="inlineStr">
        <is>
          <t>NRTH</t>
        </is>
      </c>
      <c r="E100" t="inlineStr">
        <is>
          <t>NRTH_#10</t>
        </is>
      </c>
      <c r="F100" t="n">
        <v>6</v>
      </c>
      <c r="G100" t="n">
        <v>57</v>
      </c>
      <c r="H100" t="inlineStr">
        <is>
          <t>C Wargo (CR for J Cadden) scores on error by catcher NRTH_#10 on SAC fly relay throw (play #57, Bot 6th, Flag #15). NRTH E running tally: 2.</t>
        </is>
      </c>
    </row>
    <row r="101">
      <c r="A101" t="inlineStr">
        <is>
          <t>2026-03-18_NRTH_at_HNTN</t>
        </is>
      </c>
      <c r="B101" s="17" t="n">
        <v>46099</v>
      </c>
      <c r="C101" t="inlineStr">
        <is>
          <t>North County</t>
        </is>
      </c>
      <c r="D101" t="inlineStr">
        <is>
          <t>HNTN</t>
        </is>
      </c>
      <c r="E101" t="inlineStr">
        <is>
          <t>R Kessler</t>
        </is>
      </c>
      <c r="F101" t="n">
        <v>3</v>
      </c>
      <c r="G101" t="n">
        <v>23</v>
      </c>
      <c r="H101" t="inlineStr">
        <is>
          <t>#20 reaches on error by 3B R Kessler; #20 advances to 2nd on same error (play #23, Top 3rd). HNTN E running tally: 1.</t>
        </is>
      </c>
    </row>
    <row r="102">
      <c r="A102" t="inlineStr">
        <is>
          <t>2026-03-18_NRTH_at_HNTN</t>
        </is>
      </c>
      <c r="B102" s="17" t="n">
        <v>46099</v>
      </c>
      <c r="C102" t="inlineStr">
        <is>
          <t>North County</t>
        </is>
      </c>
      <c r="D102" t="inlineStr">
        <is>
          <t>HNTN</t>
        </is>
      </c>
      <c r="E102" t="inlineStr">
        <is>
          <t>J Cadden</t>
        </is>
      </c>
      <c r="F102" t="n">
        <v>6</v>
      </c>
      <c r="G102" t="n">
        <v>51</v>
      </c>
      <c r="H102" t="inlineStr">
        <is>
          <t>#9 reaches on error by SS J Cadden; #13 scores (play #51, Top 6th). HNTN E running tally: 2.</t>
        </is>
      </c>
    </row>
    <row r="103">
      <c r="A103" t="inlineStr">
        <is>
          <t>2026-03-18_NRTH_at_HNTN</t>
        </is>
      </c>
      <c r="B103" s="17" t="n">
        <v>46099</v>
      </c>
      <c r="C103" t="inlineStr">
        <is>
          <t>North County</t>
        </is>
      </c>
      <c r="D103" t="inlineStr">
        <is>
          <t>HNTN</t>
        </is>
      </c>
      <c r="E103" t="inlineStr">
        <is>
          <t>L Montgomery</t>
        </is>
      </c>
      <c r="F103" t="n">
        <v>7</v>
      </c>
      <c r="G103" t="n">
        <v>63</v>
      </c>
      <c r="H103" t="inlineStr">
        <is>
          <t>#1 reaches on error by 3B L Montgomery; #11 advances to 2nd (play #63, Top 7th). HNTN E running tally: 3.</t>
        </is>
      </c>
    </row>
    <row r="104">
      <c r="A104" t="inlineStr">
        <is>
          <t>2026-03-18_NRTH_at_HNTN</t>
        </is>
      </c>
      <c r="B104" s="17" t="n">
        <v>46099</v>
      </c>
      <c r="C104" t="inlineStr">
        <is>
          <t>North County</t>
        </is>
      </c>
      <c r="D104" t="inlineStr">
        <is>
          <t>HNTN</t>
        </is>
      </c>
      <c r="E104" t="inlineStr">
        <is>
          <t>R Kessler</t>
        </is>
      </c>
      <c r="F104" t="n">
        <v>7</v>
      </c>
      <c r="G104" t="n">
        <v>66</v>
      </c>
      <c r="H104" t="inlineStr">
        <is>
          <t>#5 reaches on error by SS R Kessler; #1 advances to 3rd, #6 advances to 2nd (play #66, Top 7th). HNTN E running tally: 4.</t>
        </is>
      </c>
    </row>
    <row r="105">
      <c r="A105" t="inlineStr">
        <is>
          <t>2026-03-20_CLVR_at_HNTN</t>
        </is>
      </c>
      <c r="B105" s="17" t="n">
        <v>46101</v>
      </c>
      <c r="C105" t="inlineStr">
        <is>
          <t>Calvert HS</t>
        </is>
      </c>
      <c r="D105" t="inlineStr">
        <is>
          <t>HNTN</t>
        </is>
      </c>
      <c r="E105" t="inlineStr">
        <is>
          <t>J Laur</t>
        </is>
      </c>
      <c r="F105" t="n">
        <v>1</v>
      </c>
      <c r="G105" t="n">
        <v>2</v>
      </c>
      <c r="H105" t="inlineStr">
        <is>
          <t>J Rodenhaver reaches on error by 3B J Laur (play #2, Top 1st). HNTN E=1.</t>
        </is>
      </c>
    </row>
    <row r="106">
      <c r="A106" t="inlineStr">
        <is>
          <t>2026-03-20_CLVR_at_HNTN</t>
        </is>
      </c>
      <c r="B106" s="17" t="n">
        <v>46101</v>
      </c>
      <c r="C106" t="inlineStr">
        <is>
          <t>Huntingtown Varsity Hurricanes</t>
        </is>
      </c>
      <c r="D106" t="inlineStr">
        <is>
          <t>CLVR</t>
        </is>
      </c>
      <c r="E106" t="inlineStr">
        <is>
          <t>C Sacker</t>
        </is>
      </c>
      <c r="F106" t="n">
        <v>6</v>
      </c>
      <c r="G106" t="n">
        <v>46</v>
      </c>
      <c r="H106" t="inlineStr">
        <is>
          <t>R Gaetano scores on error by catcher C Sacker embedded in B Marlowe walk (play #46, Bot 6th, Flag #14). CLVR E running tally: 1.</t>
        </is>
      </c>
    </row>
    <row r="107">
      <c r="A107" t="inlineStr">
        <is>
          <t>2026-03-20_CLVR_at_HNTN</t>
        </is>
      </c>
      <c r="B107" s="17" t="n">
        <v>46101</v>
      </c>
      <c r="C107" t="inlineStr">
        <is>
          <t>Huntingtown Varsity Hurricanes</t>
        </is>
      </c>
      <c r="D107" t="inlineStr">
        <is>
          <t>CLVR</t>
        </is>
      </c>
      <c r="E107" t="inlineStr">
        <is>
          <t>C Sacker</t>
        </is>
      </c>
      <c r="F107" t="n">
        <v>6</v>
      </c>
      <c r="G107" t="n">
        <v>47</v>
      </c>
      <c r="H107" t="inlineStr">
        <is>
          <t>B Marlowe advances to 2nd on error by catcher C Sacker embedded in J Laur pop out (play #47, Bot 6th, Flag #15). CLVR E running tally: 2.</t>
        </is>
      </c>
    </row>
    <row r="108">
      <c r="A108" t="inlineStr">
        <is>
          <t>2026-03-23_PTXN_at_HNTN</t>
        </is>
      </c>
      <c r="B108" s="17" t="n">
        <v>46104</v>
      </c>
      <c r="C108" t="inlineStr">
        <is>
          <t>Patuxent</t>
        </is>
      </c>
      <c r="D108" t="inlineStr">
        <is>
          <t>HNTN</t>
        </is>
      </c>
      <c r="E108" t="inlineStr">
        <is>
          <t>C Wargo</t>
        </is>
      </c>
      <c r="F108" t="n">
        <v>1</v>
      </c>
      <c r="G108" t="n">
        <v>1</v>
      </c>
      <c r="H108" t="inlineStr">
        <is>
          <t>B Cowan reaches on error by LF C Wargo; B Cowan advances to 2nd on same error (play #1, Top 1st). HNTN E=1.</t>
        </is>
      </c>
    </row>
    <row r="109">
      <c r="A109" t="inlineStr">
        <is>
          <t>2026-03-23_PTXN_at_HNTN</t>
        </is>
      </c>
      <c r="B109" s="17" t="n">
        <v>46104</v>
      </c>
      <c r="C109" t="inlineStr">
        <is>
          <t>Huntingtown Varsity Hurricanes</t>
        </is>
      </c>
      <c r="D109" t="inlineStr">
        <is>
          <t>PTXN</t>
        </is>
      </c>
      <c r="E109" t="inlineStr">
        <is>
          <t>PTXN_3B_Unknown</t>
        </is>
      </c>
      <c r="F109" t="n">
        <v>1</v>
      </c>
      <c r="G109" t="n">
        <v>5</v>
      </c>
      <c r="H109" t="inlineStr">
        <is>
          <t>N McMurray reaches on error by PTXN 3B (name not given — Flag #9); N McMurray advances to 2nd on same error (play #5, Bot 1st). PTXN E running tally: 1.</t>
        </is>
      </c>
    </row>
    <row r="110">
      <c r="A110" t="inlineStr">
        <is>
          <t>2026-03-23_PTXN_at_HNTN</t>
        </is>
      </c>
      <c r="B110" s="17" t="n">
        <v>46104</v>
      </c>
      <c r="C110" t="inlineStr">
        <is>
          <t>Huntingtown Varsity Hurricanes</t>
        </is>
      </c>
      <c r="D110" t="inlineStr">
        <is>
          <t>PTXN</t>
        </is>
      </c>
      <c r="E110" t="inlineStr">
        <is>
          <t>T Lakey</t>
        </is>
      </c>
      <c r="F110" t="n">
        <v>2</v>
      </c>
      <c r="G110" t="n">
        <v>18</v>
      </c>
      <c r="H110" t="inlineStr">
        <is>
          <t>N McMurray advances to 3rd on error by CF T Lakey during N McMurray 1B (play #18, Bot 2nd). PTXN E running tally: 2.</t>
        </is>
      </c>
    </row>
    <row r="111">
      <c r="A111" t="inlineStr">
        <is>
          <t>2026-03-25_MCDN_at_HNTN</t>
        </is>
      </c>
      <c r="B111" s="17" t="n">
        <v>46106</v>
      </c>
      <c r="C111" t="inlineStr">
        <is>
          <t>Huntingtown Varsity Hurricanes</t>
        </is>
      </c>
      <c r="D111" t="inlineStr">
        <is>
          <t>MCDN</t>
        </is>
      </c>
      <c r="E111" t="inlineStr">
        <is>
          <t>MCDN_#3</t>
        </is>
      </c>
      <c r="F111" t="n">
        <v>3</v>
      </c>
      <c r="G111" t="n">
        <v>38</v>
      </c>
      <c r="H111" t="inlineStr">
        <is>
          <t>J Cadden reaches on error by SS MCDN_#3; N McMurray advances to 3rd, R Bolger advances to 2nd (play #38, Bot 3rd). MCDN E running tally: 1.</t>
        </is>
      </c>
    </row>
    <row r="112">
      <c r="A112" t="inlineStr">
        <is>
          <t>2026-03-25_MCDN_at_HNTN</t>
        </is>
      </c>
      <c r="B112" s="17" t="n">
        <v>46106</v>
      </c>
      <c r="C112" t="inlineStr">
        <is>
          <t>Huntingtown Varsity Hurricanes</t>
        </is>
      </c>
      <c r="D112" t="inlineStr">
        <is>
          <t>MCDN</t>
        </is>
      </c>
      <c r="E112" t="inlineStr">
        <is>
          <t>MCDN_#5</t>
        </is>
      </c>
      <c r="F112" t="n">
        <v>4</v>
      </c>
      <c r="G112" t="n">
        <v>49</v>
      </c>
      <c r="H112" t="inlineStr">
        <is>
          <t>N McMurray reaches on error by 3B MCDN_#5; C Wargo scores (play #49, Bot 4th, Flag #13). MCDN E running tally: 2.</t>
        </is>
      </c>
    </row>
    <row r="113">
      <c r="A113" t="inlineStr">
        <is>
          <t>2026-03-25_MCDN_at_HNTN</t>
        </is>
      </c>
      <c r="B113" s="17" t="n">
        <v>46106</v>
      </c>
      <c r="C113" t="inlineStr">
        <is>
          <t>Huntingtown Varsity Hurricanes</t>
        </is>
      </c>
      <c r="D113" t="inlineStr">
        <is>
          <t>MCDN</t>
        </is>
      </c>
      <c r="E113" t="inlineStr">
        <is>
          <t>MCDN_#5</t>
        </is>
      </c>
      <c r="F113" t="n">
        <v>5</v>
      </c>
      <c r="G113" t="n">
        <v>56</v>
      </c>
      <c r="H113" t="inlineStr">
        <is>
          <t>R Gaetano reaches on error by 3B MCDN_#5 (second error for #5 — Flag #13) (play #56, Bot 5th). MCDN E running tally: 3.</t>
        </is>
      </c>
    </row>
    <row r="114">
      <c r="A114" t="inlineStr">
        <is>
          <t>2026-03-30_CHPT_at_HNTN</t>
        </is>
      </c>
      <c r="B114" s="17" t="n">
        <v>46111</v>
      </c>
      <c r="C114" t="inlineStr">
        <is>
          <t>Huntingtown Varsity Hurricanes</t>
        </is>
      </c>
      <c r="D114" t="inlineStr">
        <is>
          <t>CHPT</t>
        </is>
      </c>
      <c r="E114" t="inlineStr">
        <is>
          <t>CHPT_RF_Unknown</t>
        </is>
      </c>
      <c r="F114" t="n">
        <v>1</v>
      </c>
      <c r="G114" t="n">
        <v>6</v>
      </c>
      <c r="H114" t="inlineStr">
        <is>
          <t>J Hann advances to 2nd on error by CHPT RF (jersey number not given — Flag #9); play #6, Bot 1st. CHPT E running tally: 1.</t>
        </is>
      </c>
    </row>
    <row r="115">
      <c r="A115" t="inlineStr">
        <is>
          <t>2026-03-30_CHPT_at_HNTN</t>
        </is>
      </c>
      <c r="B115" s="17" t="n">
        <v>46111</v>
      </c>
      <c r="C115" t="inlineStr">
        <is>
          <t>Huntingtown Varsity Hurricanes</t>
        </is>
      </c>
      <c r="D115" t="inlineStr">
        <is>
          <t>CHPT</t>
        </is>
      </c>
      <c r="E115" t="inlineStr">
        <is>
          <t>CHPT_CF_Unknown</t>
        </is>
      </c>
      <c r="F115" t="n">
        <v>1</v>
      </c>
      <c r="G115" t="n">
        <v>8</v>
      </c>
      <c r="H115" t="inlineStr">
        <is>
          <t>N McMurray reaches on error by CHPT CF and advances to 2nd on same error (jersey number not given — Flag #9); play #8, Bot 1st. CHPT E running tally: 2.</t>
        </is>
      </c>
    </row>
    <row r="116">
      <c r="A116" t="inlineStr">
        <is>
          <t>2026-03-30_CHPT_at_HNTN</t>
        </is>
      </c>
      <c r="B116" s="17" t="n">
        <v>46111</v>
      </c>
      <c r="C116" t="inlineStr">
        <is>
          <t>Huntingtown Varsity Hurricanes</t>
        </is>
      </c>
      <c r="D116" t="inlineStr">
        <is>
          <t>CHPT</t>
        </is>
      </c>
      <c r="E116" t="inlineStr">
        <is>
          <t>CHPT_#6</t>
        </is>
      </c>
      <c r="F116" t="n">
        <v>6</v>
      </c>
      <c r="G116" t="n">
        <v>63</v>
      </c>
      <c r="H116" t="inlineStr">
        <is>
          <t>J Laur scores on error by SS CHPT_#6 (embedded in T Burghard HBP pitch sequence, play #63, Bot 6th). CHPT E running tally: 3.</t>
        </is>
      </c>
    </row>
    <row r="117">
      <c r="A117" t="inlineStr">
        <is>
          <t>2026-04-01_RVRH_at_NRTH</t>
        </is>
      </c>
      <c r="B117" s="17" t="n">
        <v>46113</v>
      </c>
      <c r="C117" t="inlineStr">
        <is>
          <t>North Point Varsity Eagles</t>
        </is>
      </c>
      <c r="D117" t="inlineStr">
        <is>
          <t>NRTH</t>
        </is>
      </c>
      <c r="E117" t="inlineStr">
        <is>
          <t>Z Bowman</t>
        </is>
      </c>
      <c r="F117" t="n">
        <v>2</v>
      </c>
      <c r="G117" t="n">
        <v>15</v>
      </c>
      <c r="H117" t="inlineStr">
        <is>
          <t>A Contreras advances to 2nd on error by 1B Z Bowman during pickoff attempt at 1st (play #15, T2; embedded in pitch sequence). NRTH E=1 running tally.</t>
        </is>
      </c>
    </row>
    <row r="118">
      <c r="A118" t="inlineStr">
        <is>
          <t>2026-04-01_RVRH_at_NRTH</t>
        </is>
      </c>
      <c r="B118" s="17" t="n">
        <v>46113</v>
      </c>
      <c r="C118" t="inlineStr">
        <is>
          <t>North Point Varsity Eagles</t>
        </is>
      </c>
      <c r="D118" t="inlineStr">
        <is>
          <t>RVRH</t>
        </is>
      </c>
      <c r="E118" t="inlineStr">
        <is>
          <t>C Nichols</t>
        </is>
      </c>
      <c r="F118" t="n">
        <v>4</v>
      </c>
      <c r="G118" t="n">
        <v>38</v>
      </c>
      <c r="H118" t="inlineStr">
        <is>
          <t>S Dixon hits hard ground ball and reaches on error by SS C Nichols (play #38, B4). RVRH E=1 per Section 2 totals.</t>
        </is>
      </c>
    </row>
    <row r="119">
      <c r="A119" t="inlineStr">
        <is>
          <t>2026-04-01_RVRH_at_NRTH</t>
        </is>
      </c>
      <c r="B119" s="17" t="n">
        <v>46113</v>
      </c>
      <c r="C119" t="inlineStr">
        <is>
          <t>North Point Varsity Eagles</t>
        </is>
      </c>
      <c r="D119" t="inlineStr">
        <is>
          <t>NRTH</t>
        </is>
      </c>
      <c r="E119" t="inlineStr">
        <is>
          <t>A Harding</t>
        </is>
      </c>
      <c r="F119" t="n">
        <v>5</v>
      </c>
      <c r="G119" t="n">
        <v>41</v>
      </c>
      <c r="H119" t="inlineStr">
        <is>
          <t>J Norwood hits ground ball and reaches on error by SS A Harding (play #41, T5). NRTH E=2 running tally.</t>
        </is>
      </c>
    </row>
    <row r="120">
      <c r="A120" t="inlineStr">
        <is>
          <t>2026-04-01_OLDM_at_RVRH</t>
        </is>
      </c>
      <c r="B120" s="17" t="n">
        <v>46113</v>
      </c>
      <c r="C120" t="inlineStr">
        <is>
          <t>Old Mill Varsity Patriots</t>
        </is>
      </c>
      <c r="D120" t="inlineStr">
        <is>
          <t>RVRH</t>
        </is>
      </c>
      <c r="E120" t="inlineStr">
        <is>
          <t>C Nichols</t>
        </is>
      </c>
      <c r="F120" t="n">
        <v>1</v>
      </c>
      <c r="G120" t="n">
        <v>3</v>
      </c>
      <c r="H120" t="inlineStr">
        <is>
          <t>B Rzepkoski hits ground ball and reaches on error by SS C Nichols (play #3, T1). RVRH E=1 running tally.</t>
        </is>
      </c>
    </row>
    <row r="121">
      <c r="A121" t="inlineStr">
        <is>
          <t>2026-04-01_OLDM_at_RVRH</t>
        </is>
      </c>
      <c r="B121" s="17" t="n">
        <v>46113</v>
      </c>
      <c r="C121" t="inlineStr">
        <is>
          <t>Old Mill Varsity Patriots</t>
        </is>
      </c>
      <c r="D121" t="inlineStr">
        <is>
          <t>OLDM</t>
        </is>
      </c>
      <c r="E121" t="inlineStr">
        <is>
          <t>C Koreck</t>
        </is>
      </c>
      <c r="F121" t="n">
        <v>3</v>
      </c>
      <c r="G121" t="n">
        <v>22</v>
      </c>
      <c r="H121" t="inlineStr">
        <is>
          <t>C McClellan hits hard ground ball and reaches on error by 2B C Koreck (play #22, B3). OLDM E=1 per Section 2 totals.</t>
        </is>
      </c>
    </row>
    <row r="122">
      <c r="A122" t="inlineStr">
        <is>
          <t>2026-04-01_OLDM_at_RVRH</t>
        </is>
      </c>
      <c r="B122" s="17" t="n">
        <v>46113</v>
      </c>
      <c r="C122" t="inlineStr">
        <is>
          <t>Old Mill Varsity Patriots</t>
        </is>
      </c>
      <c r="D122" t="inlineStr">
        <is>
          <t>RVRH</t>
        </is>
      </c>
      <c r="E122" t="inlineStr">
        <is>
          <t>A Contreras</t>
        </is>
      </c>
      <c r="F122" t="n">
        <v>6</v>
      </c>
      <c r="G122" t="n">
        <v>51</v>
      </c>
      <c r="H122" t="inlineStr">
        <is>
          <t>C Hairston hits fly ball and reaches on error by LF A Contreras (play #51, T6). RVRH E=2 running tally.</t>
        </is>
      </c>
    </row>
    <row r="123">
      <c r="A123" t="inlineStr">
        <is>
          <t>2026-03-31_DMSC_at_HWRD</t>
        </is>
      </c>
      <c r="B123" t="inlineStr">
        <is>
          <t>2026-03-31</t>
        </is>
      </c>
      <c r="C123" t="inlineStr">
        <is>
          <t>Howard Varsity Lions</t>
        </is>
      </c>
      <c r="D123" t="inlineStr">
        <is>
          <t>DMSC</t>
        </is>
      </c>
      <c r="E123" t="inlineStr">
        <is>
          <t>G Iorio</t>
        </is>
      </c>
      <c r="H123" t="inlineStr">
        <is>
          <t>DMSC error — source: box score E line; inning and play reference not available in Tier 2 source.</t>
        </is>
      </c>
    </row>
    <row r="124">
      <c r="A124" t="inlineStr">
        <is>
          <t>2026-03-31_DMSC_at_HWRD</t>
        </is>
      </c>
      <c r="B124" t="inlineStr">
        <is>
          <t>2026-03-31</t>
        </is>
      </c>
      <c r="C124" t="inlineStr">
        <is>
          <t>Damascus Varsity Hornets</t>
        </is>
      </c>
      <c r="D124" t="inlineStr">
        <is>
          <t>HWRD</t>
        </is>
      </c>
      <c r="E124" t="inlineStr">
        <is>
          <t>D Alves</t>
        </is>
      </c>
      <c r="H124" t="inlineStr">
        <is>
          <t>HWRD error (1 of 2 attributed to this player) — source: box score E line; inning and play reference not available in Tier 2 source.</t>
        </is>
      </c>
    </row>
    <row r="125">
      <c r="A125" t="inlineStr">
        <is>
          <t>2026-03-31_DMSC_at_HWRD</t>
        </is>
      </c>
      <c r="B125" t="inlineStr">
        <is>
          <t>2026-03-31</t>
        </is>
      </c>
      <c r="C125" t="inlineStr">
        <is>
          <t>Damascus Varsity Hornets</t>
        </is>
      </c>
      <c r="D125" t="inlineStr">
        <is>
          <t>HWRD</t>
        </is>
      </c>
      <c r="E125" t="inlineStr">
        <is>
          <t>D Alves</t>
        </is>
      </c>
      <c r="H125" t="inlineStr">
        <is>
          <t>HWRD error (2 of 2 attributed to this player) — source: box score E line; inning and play reference not available in Tier 2 source.</t>
        </is>
      </c>
    </row>
    <row r="126">
      <c r="A126" t="inlineStr">
        <is>
          <t>2026-03-31_DMSC_at_HWRD</t>
        </is>
      </c>
      <c r="B126" t="inlineStr">
        <is>
          <t>2026-03-31</t>
        </is>
      </c>
      <c r="C126" t="inlineStr">
        <is>
          <t>Damascus Varsity Hornets</t>
        </is>
      </c>
      <c r="D126" t="inlineStr">
        <is>
          <t>HWRD</t>
        </is>
      </c>
      <c r="E126" t="inlineStr">
        <is>
          <t>C Hudson</t>
        </is>
      </c>
      <c r="H126" t="inlineStr">
        <is>
          <t>HWRD error — source: box score E line; inning and play reference not available in Tier 2 source.</t>
        </is>
      </c>
    </row>
    <row r="127">
      <c r="A127" t="inlineStr">
        <is>
          <t>2026-03-31_DMSC_at_HWRD</t>
        </is>
      </c>
      <c r="B127" t="inlineStr">
        <is>
          <t>2026-03-31</t>
        </is>
      </c>
      <c r="C127" t="inlineStr">
        <is>
          <t>Damascus Varsity Hornets</t>
        </is>
      </c>
      <c r="D127" t="inlineStr">
        <is>
          <t>HWRD</t>
        </is>
      </c>
      <c r="E127" t="inlineStr">
        <is>
          <t>Max Parise</t>
        </is>
      </c>
      <c r="H127" t="inlineStr">
        <is>
          <t>HWRD error — source: box score E line; inning and play reference not available in Tier 2 source.</t>
        </is>
      </c>
    </row>
    <row r="128">
      <c r="A128" t="inlineStr">
        <is>
          <t>2026-03-31_DMSC_at_HWRD</t>
        </is>
      </c>
      <c r="B128" t="inlineStr">
        <is>
          <t>2026-03-31</t>
        </is>
      </c>
      <c r="C128" t="inlineStr">
        <is>
          <t>Damascus Varsity Hornets</t>
        </is>
      </c>
      <c r="D128" t="inlineStr">
        <is>
          <t>HWRD</t>
        </is>
      </c>
      <c r="E128" t="inlineStr">
        <is>
          <t>Thomas Estrada</t>
        </is>
      </c>
      <c r="H128" t="inlineStr">
        <is>
          <t>HWRD error — source: box score E line; inning and play reference not available in Tier 2 source.</t>
        </is>
      </c>
    </row>
    <row r="129">
      <c r="A129" t="inlineStr">
        <is>
          <t>2026-03-21_HWRD_at_HMMN</t>
        </is>
      </c>
      <c r="B129" t="inlineStr">
        <is>
          <t>2026-03-21</t>
        </is>
      </c>
      <c r="C129" t="inlineStr">
        <is>
          <t>Hammond Varsity Bears</t>
        </is>
      </c>
      <c r="D129" t="inlineStr">
        <is>
          <t>HWRD</t>
        </is>
      </c>
      <c r="E129" t="inlineStr">
        <is>
          <t>Creighton Lombardi-Gerber</t>
        </is>
      </c>
      <c r="H129" t="inlineStr">
        <is>
          <t>HWRD error (1 of 3 attributed to this player) — source: box score E line; inning and play reference not available in Tier 2 source.</t>
        </is>
      </c>
    </row>
    <row r="130">
      <c r="A130" t="inlineStr">
        <is>
          <t>2026-03-21_HWRD_at_HMMN</t>
        </is>
      </c>
      <c r="B130" t="inlineStr">
        <is>
          <t>2026-03-21</t>
        </is>
      </c>
      <c r="C130" t="inlineStr">
        <is>
          <t>Hammond Varsity Bears</t>
        </is>
      </c>
      <c r="D130" t="inlineStr">
        <is>
          <t>HWRD</t>
        </is>
      </c>
      <c r="E130" t="inlineStr">
        <is>
          <t>Creighton Lombardi-Gerber</t>
        </is>
      </c>
      <c r="H130" t="inlineStr">
        <is>
          <t>HWRD error (2 of 3 attributed to this player) — source: box score E line; inning and play reference not available in Tier 2 source.</t>
        </is>
      </c>
    </row>
    <row r="131">
      <c r="A131" t="inlineStr">
        <is>
          <t>2026-03-21_HWRD_at_HMMN</t>
        </is>
      </c>
      <c r="B131" t="inlineStr">
        <is>
          <t>2026-03-21</t>
        </is>
      </c>
      <c r="C131" t="inlineStr">
        <is>
          <t>Hammond Varsity Bears</t>
        </is>
      </c>
      <c r="D131" t="inlineStr">
        <is>
          <t>HWRD</t>
        </is>
      </c>
      <c r="E131" t="inlineStr">
        <is>
          <t>Creighton Lombardi-Gerber</t>
        </is>
      </c>
      <c r="H131" t="inlineStr">
        <is>
          <t>HWRD error (3 of 3 attributed to this player) — source: box score E line; inning and play reference not available in Tier 2 source.</t>
        </is>
      </c>
    </row>
    <row r="132">
      <c r="A132" t="inlineStr">
        <is>
          <t>2026-03-21_HWRD_at_HMMN</t>
        </is>
      </c>
      <c r="B132" t="inlineStr">
        <is>
          <t>2026-03-21</t>
        </is>
      </c>
      <c r="C132" t="inlineStr">
        <is>
          <t>Hammond Varsity Bears</t>
        </is>
      </c>
      <c r="D132" t="inlineStr">
        <is>
          <t>HWRD</t>
        </is>
      </c>
      <c r="E132" t="inlineStr">
        <is>
          <t>D Alves</t>
        </is>
      </c>
      <c r="H132" t="inlineStr">
        <is>
          <t>HWRD error — source: box score E line; inning and play reference not available in Tier 2 source.</t>
        </is>
      </c>
    </row>
    <row r="133">
      <c r="A133" t="inlineStr">
        <is>
          <t>2026-03-21_HWRD_at_HMMN</t>
        </is>
      </c>
      <c r="B133" t="inlineStr">
        <is>
          <t>2026-03-21</t>
        </is>
      </c>
      <c r="C133" t="inlineStr">
        <is>
          <t>Howard Varsity Lions</t>
        </is>
      </c>
      <c r="D133" t="inlineStr">
        <is>
          <t>HMMN</t>
        </is>
      </c>
      <c r="E133" t="inlineStr">
        <is>
          <t>Y Rivera</t>
        </is>
      </c>
      <c r="H133" t="inlineStr">
        <is>
          <t>HMMN error (1 of 3 attributed to this player) — source: box score E line; inning and play reference not available in Tier 2 source.</t>
        </is>
      </c>
    </row>
    <row r="134">
      <c r="A134" t="inlineStr">
        <is>
          <t>2026-03-21_HWRD_at_HMMN</t>
        </is>
      </c>
      <c r="B134" t="inlineStr">
        <is>
          <t>2026-03-21</t>
        </is>
      </c>
      <c r="C134" t="inlineStr">
        <is>
          <t>Howard Varsity Lions</t>
        </is>
      </c>
      <c r="D134" t="inlineStr">
        <is>
          <t>HMMN</t>
        </is>
      </c>
      <c r="E134" t="inlineStr">
        <is>
          <t>Y Rivera</t>
        </is>
      </c>
      <c r="H134" t="inlineStr">
        <is>
          <t>HMMN error (2 of 3 attributed to this player) — source: box score E line; inning and play reference not available in Tier 2 source.</t>
        </is>
      </c>
    </row>
    <row r="135">
      <c r="A135" t="inlineStr">
        <is>
          <t>2026-03-21_HWRD_at_HMMN</t>
        </is>
      </c>
      <c r="B135" t="inlineStr">
        <is>
          <t>2026-03-21</t>
        </is>
      </c>
      <c r="C135" t="inlineStr">
        <is>
          <t>Howard Varsity Lions</t>
        </is>
      </c>
      <c r="D135" t="inlineStr">
        <is>
          <t>HMMN</t>
        </is>
      </c>
      <c r="E135" t="inlineStr">
        <is>
          <t>Y Rivera</t>
        </is>
      </c>
      <c r="H135" t="inlineStr">
        <is>
          <t>HMMN error (3 of 3 attributed to this player) — source: box score E line; inning and play reference not available in Tier 2 source.</t>
        </is>
      </c>
    </row>
    <row r="136">
      <c r="A136" t="inlineStr">
        <is>
          <t>2026-03-21_HWRD_at_HMMN</t>
        </is>
      </c>
      <c r="B136" t="inlineStr">
        <is>
          <t>2026-03-21</t>
        </is>
      </c>
      <c r="C136" t="inlineStr">
        <is>
          <t>Howard Varsity Lions</t>
        </is>
      </c>
      <c r="D136" t="inlineStr">
        <is>
          <t>HMMN</t>
        </is>
      </c>
      <c r="E136" t="inlineStr">
        <is>
          <t>G Draminski</t>
        </is>
      </c>
      <c r="H136" t="inlineStr">
        <is>
          <t>HMMN error — source: box score E line; inning and play reference not available in Tier 2 source.</t>
        </is>
      </c>
    </row>
    <row r="137">
      <c r="A137" t="inlineStr">
        <is>
          <t>2026-03-21_HWRD_at_HMMN</t>
        </is>
      </c>
      <c r="B137" t="inlineStr">
        <is>
          <t>2026-03-21</t>
        </is>
      </c>
      <c r="C137" t="inlineStr">
        <is>
          <t>Howard Varsity Lions</t>
        </is>
      </c>
      <c r="D137" t="inlineStr">
        <is>
          <t>HMMN</t>
        </is>
      </c>
      <c r="E137" t="inlineStr">
        <is>
          <t>L Tordella</t>
        </is>
      </c>
      <c r="H137" t="inlineStr">
        <is>
          <t>HMMN error — source: box score E line; inning and play reference not available in Tier 2 source.</t>
        </is>
      </c>
    </row>
    <row r="138">
      <c r="A138" t="inlineStr">
        <is>
          <t>2026-03-31_HWRD_at_CRFT</t>
        </is>
      </c>
      <c r="B138" t="inlineStr">
        <is>
          <t>2026-03-31</t>
        </is>
      </c>
      <c r="C138" t="inlineStr">
        <is>
          <t>Crofton Varsity Cardinals</t>
        </is>
      </c>
      <c r="D138" t="inlineStr">
        <is>
          <t>HWRD</t>
        </is>
      </c>
      <c r="E138" t="inlineStr">
        <is>
          <t>A Proescher</t>
        </is>
      </c>
      <c r="H138" t="inlineStr">
        <is>
          <t>HWRD error — source: box score E line; inning and play reference not available in Tier 2 source.</t>
        </is>
      </c>
    </row>
    <row r="139">
      <c r="A139" t="inlineStr">
        <is>
          <t>2026-03-31_HWRD_at_CRFT</t>
        </is>
      </c>
      <c r="B139" t="inlineStr">
        <is>
          <t>2026-03-31</t>
        </is>
      </c>
      <c r="C139" t="inlineStr">
        <is>
          <t>Crofton Varsity Cardinals</t>
        </is>
      </c>
      <c r="D139" t="inlineStr">
        <is>
          <t>HWRD</t>
        </is>
      </c>
      <c r="E139" t="inlineStr">
        <is>
          <t>B Giangrasso</t>
        </is>
      </c>
      <c r="H139" t="inlineStr">
        <is>
          <t>HWRD error — source: box score E line; inning and play reference not available in Tier 2 source.</t>
        </is>
      </c>
    </row>
    <row r="140">
      <c r="A140" t="inlineStr">
        <is>
          <t>2026-03-31_HWRD_at_CRFT</t>
        </is>
      </c>
      <c r="B140" t="inlineStr">
        <is>
          <t>2026-03-31</t>
        </is>
      </c>
      <c r="C140" t="inlineStr">
        <is>
          <t>Crofton Varsity Cardinals</t>
        </is>
      </c>
      <c r="D140" t="inlineStr">
        <is>
          <t>HWRD</t>
        </is>
      </c>
      <c r="E140" t="inlineStr">
        <is>
          <t>Thomas Estrada</t>
        </is>
      </c>
      <c r="H140" t="inlineStr">
        <is>
          <t>HWRD error — source: box score E line; inning and play reference not available in Tier 2 source.</t>
        </is>
      </c>
    </row>
    <row r="141">
      <c r="A141" t="inlineStr">
        <is>
          <t>2026-03-31_HWRD_at_CRFT</t>
        </is>
      </c>
      <c r="B141" t="inlineStr">
        <is>
          <t>2026-03-31</t>
        </is>
      </c>
      <c r="C141" t="inlineStr">
        <is>
          <t>Howard Varsity Lions</t>
        </is>
      </c>
      <c r="D141" t="inlineStr">
        <is>
          <t>CRFT</t>
        </is>
      </c>
      <c r="E141" t="inlineStr">
        <is>
          <t>CRFT_E_unattributed</t>
        </is>
      </c>
      <c r="H141" t="inlineStr">
        <is>
          <t>CRFT 1 error not attributed to individual player(s) in box score. No E line present in CRFT batting notes; CRFT E=1 from Team Totals.</t>
        </is>
      </c>
    </row>
    <row r="142">
      <c r="A142" t="inlineStr">
        <is>
          <t>2026-03-30_HWRD_at_MRRT</t>
        </is>
      </c>
      <c r="B142" t="inlineStr">
        <is>
          <t>2026-03-30</t>
        </is>
      </c>
      <c r="C142" t="inlineStr">
        <is>
          <t>Marriotts Ridge Varsity Mustangs</t>
        </is>
      </c>
      <c r="D142" t="inlineStr">
        <is>
          <t>HWRD</t>
        </is>
      </c>
      <c r="E142" t="inlineStr">
        <is>
          <t>D Heim</t>
        </is>
      </c>
      <c r="H142" t="inlineStr">
        <is>
          <t>HWRD error (1 of 2 attributed to this player) — source: box score E line; inning and play reference not available in Tier 2 source.</t>
        </is>
      </c>
    </row>
    <row r="143">
      <c r="A143" t="inlineStr">
        <is>
          <t>2026-03-30_HWRD_at_MRRT</t>
        </is>
      </c>
      <c r="B143" t="inlineStr">
        <is>
          <t>2026-03-30</t>
        </is>
      </c>
      <c r="C143" t="inlineStr">
        <is>
          <t>Marriotts Ridge Varsity Mustangs</t>
        </is>
      </c>
      <c r="D143" t="inlineStr">
        <is>
          <t>HWRD</t>
        </is>
      </c>
      <c r="E143" t="inlineStr">
        <is>
          <t>D Heim</t>
        </is>
      </c>
      <c r="H143" t="inlineStr">
        <is>
          <t>HWRD error (2 of 2 attributed to this player) — source: box score E line; inning and play reference not available in Tier 2 source.</t>
        </is>
      </c>
    </row>
    <row r="144">
      <c r="A144" t="inlineStr">
        <is>
          <t>2026-03-30_HWRD_at_MRRT</t>
        </is>
      </c>
      <c r="B144" t="inlineStr">
        <is>
          <t>2026-03-30</t>
        </is>
      </c>
      <c r="C144" t="inlineStr">
        <is>
          <t>Marriotts Ridge Varsity Mustangs</t>
        </is>
      </c>
      <c r="D144" t="inlineStr">
        <is>
          <t>HWRD</t>
        </is>
      </c>
      <c r="E144" t="inlineStr">
        <is>
          <t>D Alves</t>
        </is>
      </c>
      <c r="H144" t="inlineStr">
        <is>
          <t>HWRD error (1 of 2 attributed to this player) — source: box score E line; inning and play reference not available in Tier 2 source.</t>
        </is>
      </c>
    </row>
    <row r="145">
      <c r="A145" t="inlineStr">
        <is>
          <t>2026-03-30_HWRD_at_MRRT</t>
        </is>
      </c>
      <c r="B145" t="inlineStr">
        <is>
          <t>2026-03-30</t>
        </is>
      </c>
      <c r="C145" t="inlineStr">
        <is>
          <t>Marriotts Ridge Varsity Mustangs</t>
        </is>
      </c>
      <c r="D145" t="inlineStr">
        <is>
          <t>HWRD</t>
        </is>
      </c>
      <c r="E145" t="inlineStr">
        <is>
          <t>D Alves</t>
        </is>
      </c>
      <c r="H145" t="inlineStr">
        <is>
          <t>HWRD error (2 of 2 attributed to this player) — source: box score E line; inning and play reference not available in Tier 2 source.</t>
        </is>
      </c>
    </row>
    <row r="146">
      <c r="A146" t="inlineStr">
        <is>
          <t>2026-03-30_HWRD_at_MRRT</t>
        </is>
      </c>
      <c r="B146" t="inlineStr">
        <is>
          <t>2026-03-30</t>
        </is>
      </c>
      <c r="C146" t="inlineStr">
        <is>
          <t>Marriotts Ridge Varsity Mustangs</t>
        </is>
      </c>
      <c r="D146" t="inlineStr">
        <is>
          <t>HWRD</t>
        </is>
      </c>
      <c r="E146" t="inlineStr">
        <is>
          <t>C Hudson</t>
        </is>
      </c>
      <c r="H146" t="inlineStr">
        <is>
          <t>HWRD error — source: box score E line; inning and play reference not available in Tier 2 source.</t>
        </is>
      </c>
    </row>
    <row r="147">
      <c r="A147" t="inlineStr">
        <is>
          <t>2026-03-30_HWRD_at_MRRT</t>
        </is>
      </c>
      <c r="B147" t="inlineStr">
        <is>
          <t>2026-03-30</t>
        </is>
      </c>
      <c r="C147" t="inlineStr">
        <is>
          <t>Howard Varsity Lions</t>
        </is>
      </c>
      <c r="D147" t="inlineStr">
        <is>
          <t>MRRT</t>
        </is>
      </c>
      <c r="E147" t="inlineStr">
        <is>
          <t>J Yeich</t>
        </is>
      </c>
      <c r="H147" t="inlineStr">
        <is>
          <t>MRRT error — source: box score E line; inning and play reference not available in Tier 2 source.</t>
        </is>
      </c>
    </row>
    <row r="148">
      <c r="A148" t="inlineStr">
        <is>
          <t>2026-03-30_HWRD_at_MRRT</t>
        </is>
      </c>
      <c r="B148" t="inlineStr">
        <is>
          <t>2026-03-30</t>
        </is>
      </c>
      <c r="C148" t="inlineStr">
        <is>
          <t>Howard Varsity Lions</t>
        </is>
      </c>
      <c r="D148" t="inlineStr">
        <is>
          <t>MRRT</t>
        </is>
      </c>
      <c r="E148" t="inlineStr">
        <is>
          <t>O Snow</t>
        </is>
      </c>
      <c r="H148" t="inlineStr">
        <is>
          <t>MRRT error — source: box score E line; inning and play reference not available in Tier 2 source.</t>
        </is>
      </c>
    </row>
    <row r="149">
      <c r="A149" t="inlineStr">
        <is>
          <t>2026-03-23_CPPN_at_PLYV</t>
        </is>
      </c>
      <c r="B149" t="inlineStr">
        <is>
          <t>2026-03-23</t>
        </is>
      </c>
      <c r="C149" t="inlineStr">
        <is>
          <t>Poly Varsity Engineers 2026</t>
        </is>
      </c>
      <c r="D149" t="inlineStr">
        <is>
          <t>CPPN</t>
        </is>
      </c>
      <c r="E149" t="inlineStr">
        <is>
          <t>A Sterrette</t>
        </is>
      </c>
      <c r="H149" t="inlineStr">
        <is>
          <t>CPPN error — source: box score E line; inning and play reference not available in Tier 2 source.</t>
        </is>
      </c>
    </row>
    <row r="150">
      <c r="A150" t="inlineStr">
        <is>
          <t>2026-03-23_CPPN_at_PLYV</t>
        </is>
      </c>
      <c r="B150" t="inlineStr">
        <is>
          <t>2026-03-23</t>
        </is>
      </c>
      <c r="C150" t="inlineStr">
        <is>
          <t>Poly Varsity Engineers 2026</t>
        </is>
      </c>
      <c r="D150" t="inlineStr">
        <is>
          <t>CPPN</t>
        </is>
      </c>
      <c r="E150" t="inlineStr">
        <is>
          <t>J Hardy</t>
        </is>
      </c>
      <c r="H150" t="inlineStr">
        <is>
          <t>CPPN error — source: box score E line; inning and play reference not available in Tier 2 source.</t>
        </is>
      </c>
    </row>
    <row r="151">
      <c r="A151" t="inlineStr">
        <is>
          <t>2026-03-23_CPPN_at_PLYV</t>
        </is>
      </c>
      <c r="B151" t="inlineStr">
        <is>
          <t>2026-03-23</t>
        </is>
      </c>
      <c r="C151" t="inlineStr">
        <is>
          <t>Poly Varsity Engineers 2026</t>
        </is>
      </c>
      <c r="D151" t="inlineStr">
        <is>
          <t>CPPN</t>
        </is>
      </c>
      <c r="E151" t="inlineStr">
        <is>
          <t>K Diggs</t>
        </is>
      </c>
      <c r="H151" t="inlineStr">
        <is>
          <t>CPPN error — source: box score E line; inning and play reference not available in Tier 2 source.</t>
        </is>
      </c>
    </row>
    <row r="152">
      <c r="A152" t="inlineStr">
        <is>
          <t>2026-03-23_CPPN_at_PLYV</t>
        </is>
      </c>
      <c r="B152" t="inlineStr">
        <is>
          <t>2026-03-23</t>
        </is>
      </c>
      <c r="C152" t="inlineStr">
        <is>
          <t>Coppin Academy</t>
        </is>
      </c>
      <c r="D152" t="inlineStr">
        <is>
          <t>PLYV</t>
        </is>
      </c>
      <c r="E152" t="inlineStr">
        <is>
          <t>Ikram Khan</t>
        </is>
      </c>
      <c r="H152" t="inlineStr">
        <is>
          <t>PLYV error — source: box score E line; inning and play reference not available in Tier 2 source.</t>
        </is>
      </c>
    </row>
    <row r="153">
      <c r="A153" t="inlineStr">
        <is>
          <t>2026-03-25_DGLS_at_PLYV</t>
        </is>
      </c>
      <c r="B153" t="inlineStr">
        <is>
          <t>2026-03-25</t>
        </is>
      </c>
      <c r="C153" t="inlineStr">
        <is>
          <t>Poly Varsity Engineers 2026</t>
        </is>
      </c>
      <c r="D153" t="inlineStr">
        <is>
          <t>DGLS</t>
        </is>
      </c>
      <c r="E153" t="inlineStr">
        <is>
          <t>Isaac Montufar Reyes</t>
        </is>
      </c>
      <c r="H153" t="inlineStr">
        <is>
          <t>DGLS error — source: box score E line; inning and play reference not available in Tier 2 source.</t>
        </is>
      </c>
    </row>
    <row r="154">
      <c r="A154" t="inlineStr">
        <is>
          <t>2026-03-25_DGLS_at_PLYV</t>
        </is>
      </c>
      <c r="B154" t="inlineStr">
        <is>
          <t>2026-03-25</t>
        </is>
      </c>
      <c r="C154" t="inlineStr">
        <is>
          <t>Poly Varsity Engineers 2026</t>
        </is>
      </c>
      <c r="D154" t="inlineStr">
        <is>
          <t>DGLS</t>
        </is>
      </c>
      <c r="E154" t="inlineStr">
        <is>
          <t>leonard jones</t>
        </is>
      </c>
      <c r="H154" t="inlineStr">
        <is>
          <t>DGLS error — source: box score E line; inning and play reference not available in Tier 2 source.</t>
        </is>
      </c>
    </row>
    <row r="155">
      <c r="A155" t="inlineStr">
        <is>
          <t>2026-03-25_DGLS_at_PLYV</t>
        </is>
      </c>
      <c r="B155" t="inlineStr">
        <is>
          <t>2026-03-25</t>
        </is>
      </c>
      <c r="C155" t="inlineStr">
        <is>
          <t>Poly Varsity Engineers 2026</t>
        </is>
      </c>
      <c r="D155" t="inlineStr">
        <is>
          <t>DGLS</t>
        </is>
      </c>
      <c r="E155" t="inlineStr">
        <is>
          <t>DGLS_E_unattributed</t>
        </is>
      </c>
      <c r="H155" t="inlineStr">
        <is>
          <t>DGLS 1 error not attributed to individual player(s) in box score. E line names 2 players (Isaac Montufar Reyes, leonard jones) vs. TEAM E=3.</t>
        </is>
      </c>
    </row>
    <row r="156">
      <c r="A156" t="inlineStr">
        <is>
          <t>2026-03-27_FRST_at_PLYV</t>
        </is>
      </c>
      <c r="B156" t="inlineStr">
        <is>
          <t>2026-03-27</t>
        </is>
      </c>
      <c r="C156" t="inlineStr">
        <is>
          <t>Poly Varsity Engineers 2026</t>
        </is>
      </c>
      <c r="D156" t="inlineStr">
        <is>
          <t>FRST</t>
        </is>
      </c>
      <c r="E156" t="inlineStr">
        <is>
          <t>Riddick</t>
        </is>
      </c>
      <c r="H156" t="inlineStr">
        <is>
          <t>FRST error (1 of 3 attributed to this player) — source: box score E line; inning and play reference not available in Tier 2 source.</t>
        </is>
      </c>
    </row>
    <row r="157">
      <c r="A157" t="inlineStr">
        <is>
          <t>2026-03-27_FRST_at_PLYV</t>
        </is>
      </c>
      <c r="B157" t="inlineStr">
        <is>
          <t>2026-03-27</t>
        </is>
      </c>
      <c r="C157" t="inlineStr">
        <is>
          <t>Poly Varsity Engineers 2026</t>
        </is>
      </c>
      <c r="D157" t="inlineStr">
        <is>
          <t>FRST</t>
        </is>
      </c>
      <c r="E157" t="inlineStr">
        <is>
          <t>Riddick</t>
        </is>
      </c>
      <c r="H157" t="inlineStr">
        <is>
          <t>FRST error (2 of 3 attributed to this player) — source: box score E line; inning and play reference not available in Tier 2 source.</t>
        </is>
      </c>
    </row>
    <row r="158">
      <c r="A158" t="inlineStr">
        <is>
          <t>2026-03-27_FRST_at_PLYV</t>
        </is>
      </c>
      <c r="B158" t="inlineStr">
        <is>
          <t>2026-03-27</t>
        </is>
      </c>
      <c r="C158" t="inlineStr">
        <is>
          <t>Poly Varsity Engineers 2026</t>
        </is>
      </c>
      <c r="D158" t="inlineStr">
        <is>
          <t>FRST</t>
        </is>
      </c>
      <c r="E158" t="inlineStr">
        <is>
          <t>Riddick</t>
        </is>
      </c>
      <c r="H158" t="inlineStr">
        <is>
          <t>FRST error (3 of 3 attributed to this player) — source: box score E line; inning and play reference not available in Tier 2 source.</t>
        </is>
      </c>
    </row>
    <row r="159">
      <c r="A159" t="inlineStr">
        <is>
          <t>2026-03-27_FRST_at_PLYV</t>
        </is>
      </c>
      <c r="B159" t="inlineStr">
        <is>
          <t>2026-03-27</t>
        </is>
      </c>
      <c r="C159" t="inlineStr">
        <is>
          <t>Poly Varsity Engineers 2026</t>
        </is>
      </c>
      <c r="D159" t="inlineStr">
        <is>
          <t>FRST</t>
        </is>
      </c>
      <c r="E159" t="inlineStr">
        <is>
          <t>Bostic</t>
        </is>
      </c>
      <c r="H159" t="inlineStr">
        <is>
          <t>FRST error (1 of 2 attributed to this player) — source: box score E line; inning and play reference not available in Tier 2 source.</t>
        </is>
      </c>
    </row>
    <row r="160">
      <c r="A160" t="inlineStr">
        <is>
          <t>2026-03-27_FRST_at_PLYV</t>
        </is>
      </c>
      <c r="B160" t="inlineStr">
        <is>
          <t>2026-03-27</t>
        </is>
      </c>
      <c r="C160" t="inlineStr">
        <is>
          <t>Poly Varsity Engineers 2026</t>
        </is>
      </c>
      <c r="D160" t="inlineStr">
        <is>
          <t>FRST</t>
        </is>
      </c>
      <c r="E160" t="inlineStr">
        <is>
          <t>Bostic</t>
        </is>
      </c>
      <c r="H160" t="inlineStr">
        <is>
          <t>FRST error (2 of 2 attributed to this player) — source: box score E line; inning and play reference not available in Tier 2 source.</t>
        </is>
      </c>
    </row>
    <row r="161">
      <c r="A161" t="inlineStr">
        <is>
          <t>2026-03-27_FRST_at_PLYV</t>
        </is>
      </c>
      <c r="B161" t="inlineStr">
        <is>
          <t>2026-03-27</t>
        </is>
      </c>
      <c r="C161" t="inlineStr">
        <is>
          <t>Poly Varsity Engineers 2026</t>
        </is>
      </c>
      <c r="D161" t="inlineStr">
        <is>
          <t>FRST</t>
        </is>
      </c>
      <c r="E161" t="inlineStr">
        <is>
          <t>Laboo</t>
        </is>
      </c>
      <c r="H161" t="inlineStr">
        <is>
          <t>FRST error (1 of 2 attributed to this player) — source: box score E line; inning and play reference not available in Tier 2 source.</t>
        </is>
      </c>
    </row>
    <row r="162">
      <c r="A162" t="inlineStr">
        <is>
          <t>2026-03-27_FRST_at_PLYV</t>
        </is>
      </c>
      <c r="B162" t="inlineStr">
        <is>
          <t>2026-03-27</t>
        </is>
      </c>
      <c r="C162" t="inlineStr">
        <is>
          <t>Poly Varsity Engineers 2026</t>
        </is>
      </c>
      <c r="D162" t="inlineStr">
        <is>
          <t>FRST</t>
        </is>
      </c>
      <c r="E162" t="inlineStr">
        <is>
          <t>Laboo</t>
        </is>
      </c>
      <c r="H162" t="inlineStr">
        <is>
          <t>FRST error (2 of 2 attributed to this player) — source: box score E line; inning and play reference not available in Tier 2 source.</t>
        </is>
      </c>
    </row>
    <row r="163">
      <c r="A163" t="inlineStr">
        <is>
          <t>2026-03-27_FRST_at_PLYV</t>
        </is>
      </c>
      <c r="B163" t="inlineStr">
        <is>
          <t>2026-03-27</t>
        </is>
      </c>
      <c r="C163" t="inlineStr">
        <is>
          <t>Poly Varsity Engineers 2026</t>
        </is>
      </c>
      <c r="D163" t="inlineStr">
        <is>
          <t>FRST</t>
        </is>
      </c>
      <c r="E163" t="inlineStr">
        <is>
          <t>Jones</t>
        </is>
      </c>
      <c r="H163" t="inlineStr">
        <is>
          <t>FRST error — source: box score E line; inning and play reference not available in Tier 2 source.</t>
        </is>
      </c>
    </row>
    <row r="164">
      <c r="A164" t="inlineStr">
        <is>
          <t>2026-03-27_FRST_at_PLYV</t>
        </is>
      </c>
      <c r="B164" t="inlineStr">
        <is>
          <t>2026-03-27</t>
        </is>
      </c>
      <c r="C164" t="inlineStr">
        <is>
          <t>Poly Varsity Engineers 2026</t>
        </is>
      </c>
      <c r="D164" t="inlineStr">
        <is>
          <t>FRST</t>
        </is>
      </c>
      <c r="E164" t="inlineStr">
        <is>
          <t>Moore</t>
        </is>
      </c>
      <c r="H164" t="inlineStr">
        <is>
          <t>FRST error — source: box score E line; inning and play reference not available in Tier 2 source.</t>
        </is>
      </c>
    </row>
    <row r="165">
      <c r="A165" t="inlineStr">
        <is>
          <t>2026-03-27_FRST_at_PLYV</t>
        </is>
      </c>
      <c r="B165" t="inlineStr">
        <is>
          <t>2026-03-27</t>
        </is>
      </c>
      <c r="C165" t="inlineStr">
        <is>
          <t>Poly Varsity Engineers 2026</t>
        </is>
      </c>
      <c r="D165" t="inlineStr">
        <is>
          <t>FRST</t>
        </is>
      </c>
      <c r="E165" t="inlineStr">
        <is>
          <t>FRST_E_unattributed</t>
        </is>
      </c>
      <c r="H165" t="inlineStr">
        <is>
          <t>FRST 1 error not attributed to individual player(s) in box score. E line names 5 players totaling 9 errors vs. TEAM E=10.</t>
        </is>
      </c>
    </row>
    <row r="166">
      <c r="A166" t="inlineStr">
        <is>
          <t>2026-04-04_PLYV_at_ESTR</t>
        </is>
      </c>
      <c r="B166" t="inlineStr">
        <is>
          <t>2026-04-04</t>
        </is>
      </c>
      <c r="C166" t="inlineStr">
        <is>
          <t>Poly Varsity Engineers 2026</t>
        </is>
      </c>
      <c r="D166" t="inlineStr">
        <is>
          <t>ESTR</t>
        </is>
      </c>
      <c r="E166" t="inlineStr">
        <is>
          <t>Landry Evans</t>
        </is>
      </c>
      <c r="H166" t="inlineStr">
        <is>
          <t>ESTR error (1 of 2 attributed to this player) — source: box score E line; inning and play reference not available in Tier 2 source.</t>
        </is>
      </c>
    </row>
    <row r="167">
      <c r="A167" t="inlineStr">
        <is>
          <t>2026-04-04_PLYV_at_ESTR</t>
        </is>
      </c>
      <c r="B167" t="inlineStr">
        <is>
          <t>2026-04-04</t>
        </is>
      </c>
      <c r="C167" t="inlineStr">
        <is>
          <t>Poly Varsity Engineers 2026</t>
        </is>
      </c>
      <c r="D167" t="inlineStr">
        <is>
          <t>ESTR</t>
        </is>
      </c>
      <c r="E167" t="inlineStr">
        <is>
          <t>Landry Evans</t>
        </is>
      </c>
      <c r="H167" t="inlineStr">
        <is>
          <t>ESTR error (2 of 2 attributed to this player) — source: box score E line; inning and play reference not available in Tier 2 source.</t>
        </is>
      </c>
    </row>
    <row r="168">
      <c r="A168" t="inlineStr">
        <is>
          <t>2026-04-04_PLYV_at_ESTR</t>
        </is>
      </c>
      <c r="B168" t="inlineStr">
        <is>
          <t>2026-04-04</t>
        </is>
      </c>
      <c r="C168" t="inlineStr">
        <is>
          <t>Poly Varsity Engineers 2026</t>
        </is>
      </c>
      <c r="D168" t="inlineStr">
        <is>
          <t>ESTR</t>
        </is>
      </c>
      <c r="E168" t="inlineStr">
        <is>
          <t>Nate Noyes</t>
        </is>
      </c>
      <c r="H168" t="inlineStr">
        <is>
          <t>ESTR error — source: box score E line; inning and play reference not available in Tier 2 source.</t>
        </is>
      </c>
    </row>
    <row r="169">
      <c r="A169" t="inlineStr">
        <is>
          <t>2026-04-04_PLYV_at_ESTR</t>
        </is>
      </c>
      <c r="B169" t="inlineStr">
        <is>
          <t>2026-04-04</t>
        </is>
      </c>
      <c r="C169" t="inlineStr">
        <is>
          <t>Eastern Tech Varsity Mavericks</t>
        </is>
      </c>
      <c r="D169" t="inlineStr">
        <is>
          <t>PLYV</t>
        </is>
      </c>
      <c r="E169" t="inlineStr">
        <is>
          <t>Ikram Khan</t>
        </is>
      </c>
      <c r="H169" t="inlineStr">
        <is>
          <t>PLYV error — source: box score E line; inning and play reference not available in Tier 2 source.</t>
        </is>
      </c>
    </row>
    <row r="170">
      <c r="A170" t="inlineStr">
        <is>
          <t>2026-04-04_PLYV_at_ESTR</t>
        </is>
      </c>
      <c r="B170" t="inlineStr">
        <is>
          <t>2026-04-04</t>
        </is>
      </c>
      <c r="C170" t="inlineStr">
        <is>
          <t>Eastern Tech Varsity Mavericks</t>
        </is>
      </c>
      <c r="D170" t="inlineStr">
        <is>
          <t>PLYV</t>
        </is>
      </c>
      <c r="E170" t="inlineStr">
        <is>
          <t>Jakeem Mcbride</t>
        </is>
      </c>
      <c r="H170" t="inlineStr">
        <is>
          <t>PLYV error — source: box score E line; inning and play reference not available in Tier 2 source.</t>
        </is>
      </c>
    </row>
    <row r="171">
      <c r="A171" t="inlineStr">
        <is>
          <t>2026-04-04_PLYV_at_ESTR</t>
        </is>
      </c>
      <c r="B171" t="inlineStr">
        <is>
          <t>2026-04-04</t>
        </is>
      </c>
      <c r="C171" t="inlineStr">
        <is>
          <t>Eastern Tech Varsity Mavericks</t>
        </is>
      </c>
      <c r="D171" t="inlineStr">
        <is>
          <t>PLYV</t>
        </is>
      </c>
      <c r="E171" t="inlineStr">
        <is>
          <t>Kingston Antonio</t>
        </is>
      </c>
      <c r="H171" t="inlineStr">
        <is>
          <t>PLYV error — source: box score E line; inning and play reference not available in Tier 2 source.</t>
        </is>
      </c>
    </row>
    <row r="172">
      <c r="A172" t="inlineStr">
        <is>
          <t>2026-04-04_PRKS_at_PLYV</t>
        </is>
      </c>
      <c r="B172" t="inlineStr">
        <is>
          <t>2026-04-04</t>
        </is>
      </c>
      <c r="C172" t="inlineStr">
        <is>
          <t>Park School Varsity Bruins</t>
        </is>
      </c>
      <c r="D172" t="inlineStr">
        <is>
          <t>PLYV</t>
        </is>
      </c>
      <c r="E172" t="inlineStr">
        <is>
          <t>Ashton Hill</t>
        </is>
      </c>
      <c r="H172" t="inlineStr">
        <is>
          <t>PLYV error — source: box score E line; inning and play reference not available in Tier 2 source.</t>
        </is>
      </c>
    </row>
    <row r="173">
      <c r="A173" t="inlineStr">
        <is>
          <t>2026-04-04_PRKS_at_PLYV</t>
        </is>
      </c>
      <c r="B173" t="inlineStr">
        <is>
          <t>2026-04-04</t>
        </is>
      </c>
      <c r="C173" t="inlineStr">
        <is>
          <t>Park School Varsity Bruins</t>
        </is>
      </c>
      <c r="D173" t="inlineStr">
        <is>
          <t>PLYV</t>
        </is>
      </c>
      <c r="E173" t="inlineStr">
        <is>
          <t>Ikram Khan</t>
        </is>
      </c>
      <c r="H173" t="inlineStr">
        <is>
          <t>PLYV error — source: box score E line; inning and play reference not available in Tier 2 source.</t>
        </is>
      </c>
    </row>
    <row r="174">
      <c r="A174" t="inlineStr">
        <is>
          <t>2026-04-04_PRKS_at_PLYV</t>
        </is>
      </c>
      <c r="B174" t="inlineStr">
        <is>
          <t>2026-04-04</t>
        </is>
      </c>
      <c r="C174" t="inlineStr">
        <is>
          <t>Park School Varsity Bruins</t>
        </is>
      </c>
      <c r="D174" t="inlineStr">
        <is>
          <t>PLYV</t>
        </is>
      </c>
      <c r="E174" t="inlineStr">
        <is>
          <t>Kaden Wooden</t>
        </is>
      </c>
      <c r="H174" t="inlineStr">
        <is>
          <t>PLYV error — source: box score E line; inning and play reference not available in Tier 2 source.</t>
        </is>
      </c>
    </row>
    <row r="175">
      <c r="A175" t="inlineStr">
        <is>
          <t>2026-04-04_PRKS_at_PLYV</t>
        </is>
      </c>
      <c r="B175" t="inlineStr">
        <is>
          <t>2026-04-04</t>
        </is>
      </c>
      <c r="C175" t="inlineStr">
        <is>
          <t>Poly Varsity Engineers 2026</t>
        </is>
      </c>
      <c r="D175" t="inlineStr">
        <is>
          <t>PRKS</t>
        </is>
      </c>
      <c r="E175" t="inlineStr">
        <is>
          <t>Luca Jordan</t>
        </is>
      </c>
      <c r="H175" t="inlineStr">
        <is>
          <t>PRKS error (1 of 3 attributed to this player) — source: box score E line; inning and play reference not available in Tier 2 source.</t>
        </is>
      </c>
    </row>
    <row r="176">
      <c r="A176" t="inlineStr">
        <is>
          <t>2026-04-04_PRKS_at_PLYV</t>
        </is>
      </c>
      <c r="B176" t="inlineStr">
        <is>
          <t>2026-04-04</t>
        </is>
      </c>
      <c r="C176" t="inlineStr">
        <is>
          <t>Poly Varsity Engineers 2026</t>
        </is>
      </c>
      <c r="D176" t="inlineStr">
        <is>
          <t>PRKS</t>
        </is>
      </c>
      <c r="E176" t="inlineStr">
        <is>
          <t>Luca Jordan</t>
        </is>
      </c>
      <c r="H176" t="inlineStr">
        <is>
          <t>PRKS error (2 of 3 attributed to this player) — source: box score E line; inning and play reference not available in Tier 2 source.</t>
        </is>
      </c>
    </row>
    <row r="177">
      <c r="A177" t="inlineStr">
        <is>
          <t>2026-04-04_PRKS_at_PLYV</t>
        </is>
      </c>
      <c r="B177" t="inlineStr">
        <is>
          <t>2026-04-04</t>
        </is>
      </c>
      <c r="C177" t="inlineStr">
        <is>
          <t>Poly Varsity Engineers 2026</t>
        </is>
      </c>
      <c r="D177" t="inlineStr">
        <is>
          <t>PRKS</t>
        </is>
      </c>
      <c r="E177" t="inlineStr">
        <is>
          <t>Luca Jordan</t>
        </is>
      </c>
      <c r="H177" t="inlineStr">
        <is>
          <t>PRKS error (3 of 3 attributed to this player) — source: box score E line; inning and play reference not available in Tier 2 source.</t>
        </is>
      </c>
    </row>
    <row r="178">
      <c r="A178" t="inlineStr">
        <is>
          <t>2026-04-04_PRKS_at_PLYV</t>
        </is>
      </c>
      <c r="B178" t="inlineStr">
        <is>
          <t>2026-04-04</t>
        </is>
      </c>
      <c r="C178" t="inlineStr">
        <is>
          <t>Poly Varsity Engineers 2026</t>
        </is>
      </c>
      <c r="D178" t="inlineStr">
        <is>
          <t>PRKS</t>
        </is>
      </c>
      <c r="E178" t="inlineStr">
        <is>
          <t>Dylan Katz</t>
        </is>
      </c>
      <c r="H178" t="inlineStr">
        <is>
          <t>PRKS error — source: box score E line; inning and play reference not available in Tier 2 source.</t>
        </is>
      </c>
    </row>
    <row r="179">
      <c r="A179" t="inlineStr">
        <is>
          <t>2026-03-14_CNTN_at_WSTM</t>
        </is>
      </c>
      <c r="B179" t="inlineStr">
        <is>
          <t>2026-03-14</t>
        </is>
      </c>
      <c r="C179" t="inlineStr">
        <is>
          <t>Westminster Varsity Owls</t>
        </is>
      </c>
      <c r="D179" t="inlineStr">
        <is>
          <t>CNTN</t>
        </is>
      </c>
      <c r="E179" t="inlineStr">
        <is>
          <t>B Harris</t>
        </is>
      </c>
      <c r="F179" t="n">
        <v>2</v>
      </c>
      <c r="G179" t="inlineStr">
        <is>
          <t>#14</t>
        </is>
      </c>
      <c r="H179" t="inlineStr">
        <is>
          <t>CNTN Error #1 — B Barrett scores on error by catcher B Harris (embedded in C Messier AB, B2, play #14 pitch seq). Flag #3 (embedded event).</t>
        </is>
      </c>
    </row>
    <row r="180">
      <c r="A180" t="inlineStr">
        <is>
          <t>2026-03-14_CNTN_at_WSTM</t>
        </is>
      </c>
      <c r="B180" t="inlineStr">
        <is>
          <t>2026-03-14</t>
        </is>
      </c>
      <c r="C180" t="inlineStr">
        <is>
          <t>Westminster Varsity Owls</t>
        </is>
      </c>
      <c r="D180" t="inlineStr">
        <is>
          <t>CNTN</t>
        </is>
      </c>
      <c r="E180" t="inlineStr">
        <is>
          <t>C Proescher</t>
        </is>
      </c>
      <c r="F180" t="n">
        <v>3</v>
      </c>
      <c r="G180" t="inlineStr">
        <is>
          <t>#21</t>
        </is>
      </c>
      <c r="H180" t="inlineStr">
        <is>
          <t>CNTN Error #2 — R Winebrunner advances to 3rd on error by pitcher C Proescher (embedded in C Stultz AB, B3, play #21 pitch seq). Same sequence includes balk by C Proescher — R Winebrunner then scores on balk (Flag #4).</t>
        </is>
      </c>
    </row>
    <row r="181">
      <c r="A181" t="inlineStr">
        <is>
          <t>2026-03-14_CNTN_at_WSTM</t>
        </is>
      </c>
      <c r="B181" t="inlineStr">
        <is>
          <t>2026-03-14</t>
        </is>
      </c>
      <c r="C181" t="inlineStr">
        <is>
          <t>Westminster Varsity Owls</t>
        </is>
      </c>
      <c r="D181" t="inlineStr">
        <is>
          <t>CNTN</t>
        </is>
      </c>
      <c r="E181" t="inlineStr">
        <is>
          <t>B Corrao</t>
        </is>
      </c>
      <c r="F181" t="n">
        <v>3</v>
      </c>
      <c r="G181" t="inlineStr">
        <is>
          <t>#23</t>
        </is>
      </c>
      <c r="H181" t="inlineStr">
        <is>
          <t>CNTN Error #3 — Paul hits a pop fly and reaches on an error by 2B B Corrao (play #23, B3).</t>
        </is>
      </c>
    </row>
    <row r="182">
      <c r="A182" t="inlineStr">
        <is>
          <t>2026-03-14_CNTN_at_WSTM</t>
        </is>
      </c>
      <c r="B182" t="inlineStr">
        <is>
          <t>2026-03-14</t>
        </is>
      </c>
      <c r="C182" t="inlineStr">
        <is>
          <t>Westminster Varsity Owls</t>
        </is>
      </c>
      <c r="D182" t="inlineStr">
        <is>
          <t>CNTN</t>
        </is>
      </c>
      <c r="E182" t="inlineStr">
        <is>
          <t>A Barrett</t>
        </is>
      </c>
      <c r="F182" t="n">
        <v>4</v>
      </c>
      <c r="G182" t="inlineStr">
        <is>
          <t>#35</t>
        </is>
      </c>
      <c r="H182" t="inlineStr">
        <is>
          <t>CNTN Error #4 — C Stultz advances to 3rd on error by pitcher A Barrett (embedded in J Cedeno AB, B4, play #35 pitch seq). C Stultz subsequently scores on WP in same sequence.</t>
        </is>
      </c>
    </row>
    <row r="183">
      <c r="A183" t="inlineStr">
        <is>
          <t>2026-03-21_CNTN_at_WLDL</t>
        </is>
      </c>
      <c r="B183" t="inlineStr">
        <is>
          <t>2026-03-21</t>
        </is>
      </c>
      <c r="C183" t="inlineStr">
        <is>
          <t>Centennial Varsity Eagles</t>
        </is>
      </c>
      <c r="D183" t="inlineStr">
        <is>
          <t>WLDL</t>
        </is>
      </c>
      <c r="E183" t="inlineStr">
        <is>
          <t>D Coleman</t>
        </is>
      </c>
      <c r="F183" t="n">
        <v>1</v>
      </c>
      <c r="G183" t="inlineStr">
        <is>
          <t>#5</t>
        </is>
      </c>
      <c r="H183" t="inlineStr">
        <is>
          <t>WLDL Error #1 — B Harris hits pop fly and reaches on error by 2B D Coleman (play #5, T1); A Banks scores on same error; B Harris advances to 2nd and 3rd on same error. Runs scored on error — no RBI for B Harris.</t>
        </is>
      </c>
    </row>
    <row r="184">
      <c r="A184" t="inlineStr">
        <is>
          <t>2026-03-21_CNTN_at_WLDL</t>
        </is>
      </c>
      <c r="B184" t="inlineStr">
        <is>
          <t>2026-03-21</t>
        </is>
      </c>
      <c r="C184" t="inlineStr">
        <is>
          <t>Centennial Varsity Eagles</t>
        </is>
      </c>
      <c r="D184" t="inlineStr">
        <is>
          <t>WLDL</t>
        </is>
      </c>
      <c r="E184" t="inlineStr">
        <is>
          <t>D Coleman</t>
        </is>
      </c>
      <c r="F184" t="n">
        <v>4</v>
      </c>
      <c r="G184" t="inlineStr">
        <is>
          <t>#28</t>
        </is>
      </c>
      <c r="H184" t="inlineStr">
        <is>
          <t>WLDL Error #2 — E Ortiz hits pop fly and reaches on error by 2B D Coleman (play #28, T4).</t>
        </is>
      </c>
    </row>
    <row r="185">
      <c r="A185" t="inlineStr">
        <is>
          <t>2026-03-21_CNTN_at_WLDL</t>
        </is>
      </c>
      <c r="B185" t="inlineStr">
        <is>
          <t>2026-03-21</t>
        </is>
      </c>
      <c r="C185" t="inlineStr">
        <is>
          <t>Centennial Varsity Eagles</t>
        </is>
      </c>
      <c r="D185" t="inlineStr">
        <is>
          <t>WLDL</t>
        </is>
      </c>
      <c r="E185" t="inlineStr">
        <is>
          <t>B Habershon</t>
        </is>
      </c>
      <c r="F185" t="n">
        <v>5</v>
      </c>
      <c r="G185" t="inlineStr">
        <is>
          <t>#38</t>
        </is>
      </c>
      <c r="H185" t="inlineStr">
        <is>
          <t>WLDL Error #3 — B Corrao advances to 2nd and 3rd on error by 1B B Habershon on pickoff throw (embedded in C Stachera AB play #38 pitch seq, T5). B Corrao subsequently scores on C Stachera 1B.</t>
        </is>
      </c>
    </row>
    <row r="186">
      <c r="A186" t="inlineStr">
        <is>
          <t>2026-03-23_HMMN_at_CNTN</t>
        </is>
      </c>
      <c r="B186" t="inlineStr">
        <is>
          <t>2026-03-23</t>
        </is>
      </c>
      <c r="C186" t="inlineStr">
        <is>
          <t>Hammond Varsity Bears</t>
        </is>
      </c>
      <c r="D186" t="inlineStr">
        <is>
          <t>CNTN</t>
        </is>
      </c>
      <c r="E186" t="inlineStr">
        <is>
          <t>B Harris</t>
        </is>
      </c>
      <c r="F186" t="n">
        <v>5</v>
      </c>
      <c r="G186" t="inlineStr">
        <is>
          <t>#39</t>
        </is>
      </c>
      <c r="H186" t="inlineStr">
        <is>
          <t>CNTN Error #1 — Y Rivera advances from 2nd to 3rd on error by catcher B Harris (embedded in J Willis AB pitch seq, T5, play #39). Immediately preceded by Y Rivera SB of 2nd in same sequence.</t>
        </is>
      </c>
    </row>
    <row r="187">
      <c r="A187" t="inlineStr">
        <is>
          <t>2026-03-23_HMMN_at_CNTN</t>
        </is>
      </c>
      <c r="B187" t="inlineStr">
        <is>
          <t>2026-03-23</t>
        </is>
      </c>
      <c r="C187" t="inlineStr">
        <is>
          <t>Hammond Varsity Bears</t>
        </is>
      </c>
      <c r="D187" t="inlineStr">
        <is>
          <t>CNTN</t>
        </is>
      </c>
      <c r="E187" t="inlineStr">
        <is>
          <t>C Bade</t>
        </is>
      </c>
      <c r="F187" t="n">
        <v>5</v>
      </c>
      <c r="G187" t="inlineStr">
        <is>
          <t>#39</t>
        </is>
      </c>
      <c r="H187" t="inlineStr">
        <is>
          <t>CNTN Error #2 — Y Rivera scores on error by center fielder C Bade (embedded in J Willis AB pitch seq, T5, play #39). Y Rivera advances from 3rd and scores; run charged to C Proescher (active pitcher).</t>
        </is>
      </c>
    </row>
    <row r="188">
      <c r="A188" t="inlineStr">
        <is>
          <t>2026-03-23_HMMN_at_CNTN</t>
        </is>
      </c>
      <c r="B188" t="inlineStr">
        <is>
          <t>2026-03-23</t>
        </is>
      </c>
      <c r="C188" t="inlineStr">
        <is>
          <t>Hammond Varsity Bears</t>
        </is>
      </c>
      <c r="D188" t="inlineStr">
        <is>
          <t>CNTN</t>
        </is>
      </c>
      <c r="E188" t="inlineStr">
        <is>
          <t>B Harris</t>
        </is>
      </c>
      <c r="F188" t="n">
        <v>7</v>
      </c>
      <c r="G188" t="inlineStr">
        <is>
          <t>#63</t>
        </is>
      </c>
      <c r="H188" t="inlineStr">
        <is>
          <t>CNTN Error #3 — T Thomas advances from 1st to 2nd on error by catcher B Harris after reaching on dropped 3rd strike (play #63, T7). Note: T Thomas reaches on PB (play description); Error #3 is the separate advancement on the wild throw. T Thomas does not score.</t>
        </is>
      </c>
    </row>
    <row r="189">
      <c r="A189" t="inlineStr">
        <is>
          <t>2026-03-26_MRRT_at_CNTN</t>
        </is>
      </c>
      <c r="B189" t="inlineStr">
        <is>
          <t>2026-03-26</t>
        </is>
      </c>
      <c r="C189" t="inlineStr">
        <is>
          <t>Centennial Varsity Eagles</t>
        </is>
      </c>
      <c r="D189" t="inlineStr">
        <is>
          <t>MRRT</t>
        </is>
      </c>
      <c r="E189" t="inlineStr">
        <is>
          <t>M Delmonte</t>
        </is>
      </c>
      <c r="F189" t="n">
        <v>1</v>
      </c>
      <c r="G189" t="n">
        <v>9</v>
      </c>
      <c r="H189" t="inlineStr">
        <is>
          <t>MRRT Error #1 — M Delmonte (LF) error on B Harris single (play #9, B1). A Banks advances to 3rd; B Harris advances to 2nd; C Bade scores (run on error — no RBI for B Harris per error rule). MRRT E=1 per Section 2 totals.</t>
        </is>
      </c>
    </row>
    <row r="190">
      <c r="A190" t="inlineStr">
        <is>
          <t>2026-03-26_MRRT_at_CNTN</t>
        </is>
      </c>
      <c r="B190" t="inlineStr">
        <is>
          <t>2026-03-26</t>
        </is>
      </c>
      <c r="C190" t="inlineStr">
        <is>
          <t>Marriotts Ridge Varsity Mustangs</t>
        </is>
      </c>
      <c r="D190" t="inlineStr">
        <is>
          <t>CNTN</t>
        </is>
      </c>
      <c r="E190" t="inlineStr">
        <is>
          <t>B Johnston</t>
        </is>
      </c>
      <c r="F190" t="n">
        <v>7</v>
      </c>
      <c r="G190" t="n">
        <v>60</v>
      </c>
      <c r="H190" t="inlineStr">
        <is>
          <t>CNTN Error #1 — B Johnston (P) error on pickoff throw embedded in O Snow HBP AB (play #60, T7). A Schwendeman advances to 2nd on error by pitcher B Johnston. CNTN E=1 per Section 2 totals.</t>
        </is>
      </c>
    </row>
    <row r="191">
      <c r="A191" t="inlineStr">
        <is>
          <t>2026-03-31_CRFT_at_CNTN</t>
        </is>
      </c>
      <c r="B191" t="inlineStr">
        <is>
          <t>2026-03-31</t>
        </is>
      </c>
      <c r="C191" t="inlineStr">
        <is>
          <t>Crofton Varsity Cardinals</t>
        </is>
      </c>
      <c r="D191" t="inlineStr">
        <is>
          <t>CNTN</t>
        </is>
      </c>
      <c r="E191" t="inlineStr">
        <is>
          <t>L Choe</t>
        </is>
      </c>
      <c r="F191" t="n">
        <v>5</v>
      </c>
      <c r="G191" t="n">
        <v>36</v>
      </c>
      <c r="H191" t="inlineStr">
        <is>
          <t>CNTN Error #1 — 3B L Choe error on M Brown-Mitchell ground ball; M Brown-Mitchell reaches (T5, play #36).</t>
        </is>
      </c>
    </row>
    <row r="192">
      <c r="A192" t="inlineStr">
        <is>
          <t>2026-03-31_CRFT_at_CNTN</t>
        </is>
      </c>
      <c r="B192" t="inlineStr">
        <is>
          <t>2026-03-31</t>
        </is>
      </c>
      <c r="C192" t="inlineStr">
        <is>
          <t>Crofton Varsity Cardinals</t>
        </is>
      </c>
      <c r="D192" t="inlineStr">
        <is>
          <t>CNTN</t>
        </is>
      </c>
      <c r="E192" t="inlineStr">
        <is>
          <t>E Rayne</t>
        </is>
      </c>
      <c r="F192" t="n">
        <v>7</v>
      </c>
      <c r="G192" t="n">
        <v>55</v>
      </c>
      <c r="H192" t="inlineStr">
        <is>
          <t>CNTN Error #2 — SS E Rayne error on B White ground ball; B White reaches (T7, play #55).</t>
        </is>
      </c>
    </row>
    <row r="193">
      <c r="A193" t="inlineStr">
        <is>
          <t>2026-03-31_CRFT_at_CNTN</t>
        </is>
      </c>
      <c r="B193" t="inlineStr">
        <is>
          <t>2026-03-31</t>
        </is>
      </c>
      <c r="C193" t="inlineStr">
        <is>
          <t>Crofton Varsity Cardinals</t>
        </is>
      </c>
      <c r="D193" t="inlineStr">
        <is>
          <t>CNTN</t>
        </is>
      </c>
      <c r="E193" t="inlineStr">
        <is>
          <t>C Stachera</t>
        </is>
      </c>
      <c r="F193" t="n">
        <v>7</v>
      </c>
      <c r="G193" t="n">
        <v>56</v>
      </c>
      <c r="H193" t="inlineStr">
        <is>
          <t>CNTN Error #3 — 1B C Stachera error on J Gifford pop fly; J Gifford reaches, B White advances to 2nd (T7, play #56).</t>
        </is>
      </c>
    </row>
    <row r="194">
      <c r="A194" t="inlineStr">
        <is>
          <t>2026-03-31_CRFT_at_CNTN</t>
        </is>
      </c>
      <c r="B194" t="inlineStr">
        <is>
          <t>2026-03-31</t>
        </is>
      </c>
      <c r="C194" t="inlineStr">
        <is>
          <t>Crofton Varsity Cardinals</t>
        </is>
      </c>
      <c r="D194" t="inlineStr">
        <is>
          <t>CNTN</t>
        </is>
      </c>
      <c r="E194" t="inlineStr">
        <is>
          <t>E Rayne</t>
        </is>
      </c>
      <c r="F194" t="n">
        <v>7</v>
      </c>
      <c r="G194" t="n">
        <v>58</v>
      </c>
      <c r="H194" t="inlineStr">
        <is>
          <t>CNTN Error #4 — SS E Rayne error on K Willis ground ball; K Willis reaches, N Kehs scores, J Gifford scores (T7, play #58).</t>
        </is>
      </c>
    </row>
    <row r="195">
      <c r="A195" t="inlineStr">
        <is>
          <t>2026-03-31_CRFT_at_CNTN</t>
        </is>
      </c>
      <c r="B195" t="inlineStr">
        <is>
          <t>2026-03-31</t>
        </is>
      </c>
      <c r="C195" t="inlineStr">
        <is>
          <t>Crofton Varsity Cardinals</t>
        </is>
      </c>
      <c r="D195" t="inlineStr">
        <is>
          <t>CNTN</t>
        </is>
      </c>
      <c r="E195" t="inlineStr">
        <is>
          <t>A Barrett</t>
        </is>
      </c>
      <c r="F195" t="n">
        <v>7</v>
      </c>
      <c r="G195" t="n">
        <v>60</v>
      </c>
      <c r="H195" t="inlineStr">
        <is>
          <t>CNTN Error #5 — P A Barrett error (embedded in G Gallow AB play #60, T7); X Bejar advances to 2nd on error by pitcher A Barrett.</t>
        </is>
      </c>
    </row>
    <row r="196">
      <c r="A196" t="inlineStr">
        <is>
          <t>2026-03-31_CNTN_at_WLTR</t>
        </is>
      </c>
      <c r="B196" t="inlineStr">
        <is>
          <t>2026-03-31</t>
        </is>
      </c>
      <c r="C196" t="inlineStr">
        <is>
          <t>Walter Johnson Varsity Wildcats</t>
        </is>
      </c>
      <c r="D196" t="inlineStr">
        <is>
          <t>CNTN</t>
        </is>
      </c>
      <c r="E196" t="inlineStr">
        <is>
          <t>C Stachera</t>
        </is>
      </c>
      <c r="F196" t="n">
        <v>2</v>
      </c>
      <c r="G196" t="n">
        <v>20</v>
      </c>
      <c r="H196" t="inlineStr">
        <is>
          <t>CNTN Error #1 — P C Stachera error on E Taylor ground ball; E Taylor reaches (B2, play #20).</t>
        </is>
      </c>
    </row>
    <row r="197">
      <c r="A197" t="inlineStr">
        <is>
          <t>2026-03-31_CNTN_at_WLTR</t>
        </is>
      </c>
      <c r="B197" t="inlineStr">
        <is>
          <t>2026-03-31</t>
        </is>
      </c>
      <c r="C197" t="inlineStr">
        <is>
          <t>Walter Johnson Varsity Wildcats</t>
        </is>
      </c>
      <c r="D197" t="inlineStr">
        <is>
          <t>CNTN</t>
        </is>
      </c>
      <c r="E197" t="inlineStr">
        <is>
          <t>B Harris</t>
        </is>
      </c>
      <c r="F197" t="n">
        <v>3</v>
      </c>
      <c r="G197" t="n">
        <v>31</v>
      </c>
      <c r="H197" t="inlineStr">
        <is>
          <t>CNTN Error #2 — C B Harris error (embedded in G Matalia D3S AB, play #31, B3); S Weston advances to 3rd on error by catcher B Harris.</t>
        </is>
      </c>
    </row>
    <row r="198">
      <c r="A198" t="inlineStr">
        <is>
          <t>2026-03-31_CNTN_at_WLTR</t>
        </is>
      </c>
      <c r="B198" t="inlineStr">
        <is>
          <t>2026-03-31</t>
        </is>
      </c>
      <c r="C198" t="inlineStr">
        <is>
          <t>Walter Johnson Varsity Wildcats</t>
        </is>
      </c>
      <c r="D198" t="inlineStr">
        <is>
          <t>CNTN</t>
        </is>
      </c>
      <c r="E198" t="inlineStr">
        <is>
          <t>C Stachera</t>
        </is>
      </c>
      <c r="F198" t="n">
        <v>3</v>
      </c>
      <c r="G198" t="n">
        <v>31</v>
      </c>
      <c r="H198" t="inlineStr">
        <is>
          <t>CNTN Error #3 — P C Stachera error (embedded in G Matalia D3S AB, play #31, B3); S Weston scores on error by pitcher C Stachera.</t>
        </is>
      </c>
    </row>
    <row r="199">
      <c r="A199" t="inlineStr">
        <is>
          <t>2026-03-31_CNTN_at_WLTR</t>
        </is>
      </c>
      <c r="B199" t="inlineStr">
        <is>
          <t>2026-03-31</t>
        </is>
      </c>
      <c r="C199" t="inlineStr">
        <is>
          <t>Walter Johnson Varsity Wildcats</t>
        </is>
      </c>
      <c r="D199" t="inlineStr">
        <is>
          <t>CNTN</t>
        </is>
      </c>
      <c r="E199" t="inlineStr">
        <is>
          <t>L Choe</t>
        </is>
      </c>
      <c r="F199" t="n">
        <v>5</v>
      </c>
      <c r="G199" t="n">
        <v>48</v>
      </c>
      <c r="H199" t="inlineStr">
        <is>
          <t>CNTN Error #4 — 3B L Choe error on L Rayment-Cruz ground ball; L Rayment-Cruz reaches (B5, play #48).</t>
        </is>
      </c>
    </row>
    <row r="200">
      <c r="A200" t="inlineStr">
        <is>
          <t>2026-03-31_CNTN_at_WLTR</t>
        </is>
      </c>
      <c r="B200" t="inlineStr">
        <is>
          <t>2026-03-31</t>
        </is>
      </c>
      <c r="C200" t="inlineStr">
        <is>
          <t>Walter Johnson Varsity Wildcats</t>
        </is>
      </c>
      <c r="D200" t="inlineStr">
        <is>
          <t>CNTN</t>
        </is>
      </c>
      <c r="E200" t="inlineStr">
        <is>
          <t>A Lee</t>
        </is>
      </c>
      <c r="F200" t="n">
        <v>6</v>
      </c>
      <c r="G200" t="n">
        <v>55</v>
      </c>
      <c r="H200" t="inlineStr">
        <is>
          <t>CNTN Error #5 — P A Lee error on H Bauer bunt; H Bauer reaches (B6, play #55).</t>
        </is>
      </c>
    </row>
    <row r="201">
      <c r="A201" t="inlineStr">
        <is>
          <t>2026-03-31_CNTN_at_WLTR</t>
        </is>
      </c>
      <c r="B201" t="inlineStr">
        <is>
          <t>2026-03-31</t>
        </is>
      </c>
      <c r="C201" t="inlineStr">
        <is>
          <t>Centennial Varsity Eagles</t>
        </is>
      </c>
      <c r="D201" t="inlineStr">
        <is>
          <t>WLTR</t>
        </is>
      </c>
      <c r="E201" t="inlineStr">
        <is>
          <t>WLTR_SS</t>
        </is>
      </c>
      <c r="F201" t="n">
        <v>1</v>
      </c>
      <c r="G201" t="n">
        <v>3</v>
      </c>
      <c r="H201" t="inlineStr">
        <is>
          <t>WLTR Error #1 — SS (unnamed in log) error on C Bade ground ball; C Bade reaches (T1, play #3). Fielder identified by position only.</t>
        </is>
      </c>
    </row>
    <row r="202">
      <c r="A202" t="inlineStr">
        <is>
          <t>2026-03-31_CNTN_at_WLTR</t>
        </is>
      </c>
      <c r="B202" t="inlineStr">
        <is>
          <t>2026-03-31</t>
        </is>
      </c>
      <c r="C202" t="inlineStr">
        <is>
          <t>Centennial Varsity Eagles</t>
        </is>
      </c>
      <c r="D202" t="inlineStr">
        <is>
          <t>WLTR</t>
        </is>
      </c>
      <c r="E202" t="inlineStr">
        <is>
          <t>WLTR_SS</t>
        </is>
      </c>
      <c r="F202" t="n">
        <v>3</v>
      </c>
      <c r="G202" t="n">
        <v>24</v>
      </c>
      <c r="H202" t="inlineStr">
        <is>
          <t>WLTR Error #2 — SS (unnamed in log) error after B Harris single; B Harris advances to 2nd on error (T3, play #24). Fielder identified by position only.</t>
        </is>
      </c>
    </row>
    <row r="203">
      <c r="A203" t="inlineStr">
        <is>
          <t>2026-03-31_CNTN_at_WLTR</t>
        </is>
      </c>
      <c r="B203" t="inlineStr">
        <is>
          <t>2026-03-31</t>
        </is>
      </c>
      <c r="C203" t="inlineStr">
        <is>
          <t>Centennial Varsity Eagles</t>
        </is>
      </c>
      <c r="D203" t="inlineStr">
        <is>
          <t>WLTR</t>
        </is>
      </c>
      <c r="E203" t="inlineStr">
        <is>
          <t>L Rayment-Cruz</t>
        </is>
      </c>
      <c r="F203" t="n">
        <v>3</v>
      </c>
      <c r="G203" t="n">
        <v>26</v>
      </c>
      <c r="H203" t="inlineStr">
        <is>
          <t>WLTR Error #3 — P L Rayment-Cruz error on C Stachera ground ball; C Stachera reaches and advances to 2nd on the same error; E Ogg (CR for B Harris) advances to 3rd (T3, play #26).</t>
        </is>
      </c>
    </row>
    <row r="204">
      <c r="A204" t="inlineStr">
        <is>
          <t>2026-03-31_CNTN_at_WLTR</t>
        </is>
      </c>
      <c r="B204" t="inlineStr">
        <is>
          <t>2026-03-31</t>
        </is>
      </c>
      <c r="C204" t="inlineStr">
        <is>
          <t>Centennial Varsity Eagles</t>
        </is>
      </c>
      <c r="D204" t="inlineStr">
        <is>
          <t>WLTR</t>
        </is>
      </c>
      <c r="E204" t="inlineStr">
        <is>
          <t>L Rayment-Cruz</t>
        </is>
      </c>
      <c r="F204" t="n">
        <v>6</v>
      </c>
      <c r="G204" t="n">
        <v>52</v>
      </c>
      <c r="H204" t="inlineStr">
        <is>
          <t>WLTR Error #4 — P L Rayment-Cruz error on L Choe pop fly; L Choe reaches; D Hill out advancing to 2nd (D Hill out = out #1 of T6) (T6, play #52).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2" customWidth="1" min="4" max="4"/>
  </cols>
  <sheetData>
    <row r="1">
      <c r="A1" s="11" t="inlineStr">
        <is>
          <t>Team_Code</t>
        </is>
      </c>
      <c r="B1" s="12" t="inlineStr">
        <is>
          <t>Player</t>
        </is>
      </c>
      <c r="C1" s="11" t="inlineStr">
        <is>
          <t>First_Seen</t>
        </is>
      </c>
      <c r="D1" s="12" t="inlineStr">
        <is>
          <t>Notes</t>
        </is>
      </c>
    </row>
    <row r="2">
      <c r="A2" t="inlineStr">
        <is>
          <t>ARND</t>
        </is>
      </c>
      <c r="B2" t="inlineStr">
        <is>
          <t>B Gardner</t>
        </is>
      </c>
      <c r="C2" t="inlineStr">
        <is>
          <t>2026-03-14_NRTH_at_ARND</t>
        </is>
      </c>
    </row>
    <row r="3">
      <c r="A3" t="inlineStr">
        <is>
          <t>ARND</t>
        </is>
      </c>
      <c r="B3" t="inlineStr">
        <is>
          <t>C Clarke</t>
        </is>
      </c>
      <c r="C3" t="inlineStr">
        <is>
          <t>2026-03-14_NRTH_at_ARND</t>
        </is>
      </c>
    </row>
    <row r="4">
      <c r="A4" t="inlineStr">
        <is>
          <t>ARND</t>
        </is>
      </c>
      <c r="B4" t="inlineStr">
        <is>
          <t>C Dennehy</t>
        </is>
      </c>
      <c r="C4" t="inlineStr">
        <is>
          <t>2026-03-14_NRTH_at_ARND</t>
        </is>
      </c>
    </row>
    <row r="5">
      <c r="A5" t="inlineStr">
        <is>
          <t>ARND</t>
        </is>
      </c>
      <c r="B5" t="inlineStr">
        <is>
          <t>C Wojtyszyn</t>
        </is>
      </c>
      <c r="C5" t="inlineStr">
        <is>
          <t>2026-03-14_NRTH_at_ARND</t>
        </is>
      </c>
    </row>
    <row r="6">
      <c r="A6" t="inlineStr">
        <is>
          <t>ARND</t>
        </is>
      </c>
      <c r="B6" t="inlineStr">
        <is>
          <t>F Doty</t>
        </is>
      </c>
      <c r="C6" t="inlineStr">
        <is>
          <t>2026-03-14_NRTH_at_ARND</t>
        </is>
      </c>
    </row>
    <row r="7">
      <c r="A7" t="inlineStr">
        <is>
          <t>ARND</t>
        </is>
      </c>
      <c r="B7" t="inlineStr">
        <is>
          <t>G O'Donnell</t>
        </is>
      </c>
      <c r="C7" t="inlineStr">
        <is>
          <t>2026-03-14_NRTH_at_ARND</t>
        </is>
      </c>
      <c r="D7" t="inlineStr">
        <is>
          <t>Bats and pitches</t>
        </is>
      </c>
    </row>
    <row r="8">
      <c r="A8" t="inlineStr">
        <is>
          <t>ARND</t>
        </is>
      </c>
      <c r="B8" t="inlineStr">
        <is>
          <t>G Pedrozo</t>
        </is>
      </c>
      <c r="C8" t="inlineStr">
        <is>
          <t>2026-03-14_NRTH_at_ARND</t>
        </is>
      </c>
    </row>
    <row r="9">
      <c r="A9" t="inlineStr">
        <is>
          <t>ARND</t>
        </is>
      </c>
      <c r="B9" t="inlineStr">
        <is>
          <t>J Bailey</t>
        </is>
      </c>
      <c r="C9" t="inlineStr">
        <is>
          <t>2026-03-14_NRTH_at_ARND</t>
        </is>
      </c>
    </row>
    <row r="10">
      <c r="A10" t="inlineStr">
        <is>
          <t>ARND</t>
        </is>
      </c>
      <c r="B10" t="inlineStr">
        <is>
          <t>J Fuller</t>
        </is>
      </c>
      <c r="C10" t="inlineStr">
        <is>
          <t>2026-03-14_NRTH_at_ARND</t>
        </is>
      </c>
    </row>
    <row r="11">
      <c r="A11" t="inlineStr">
        <is>
          <t>ARND</t>
        </is>
      </c>
      <c r="B11" t="inlineStr">
        <is>
          <t>J Haslup</t>
        </is>
      </c>
      <c r="C11" t="inlineStr">
        <is>
          <t>2026-03-14_NRTH_at_ARND</t>
        </is>
      </c>
    </row>
    <row r="12">
      <c r="A12" t="inlineStr">
        <is>
          <t>ARND</t>
        </is>
      </c>
      <c r="B12" t="inlineStr">
        <is>
          <t>J Niles</t>
        </is>
      </c>
      <c r="C12" t="inlineStr">
        <is>
          <t>2026-03-14_NRTH_at_ARND</t>
        </is>
      </c>
    </row>
    <row r="13">
      <c r="A13" t="inlineStr">
        <is>
          <t>ARND</t>
        </is>
      </c>
      <c r="B13" t="inlineStr">
        <is>
          <t>J Perry</t>
        </is>
      </c>
      <c r="C13" t="inlineStr">
        <is>
          <t>2026-03-14_NRTH_at_ARND</t>
        </is>
      </c>
    </row>
    <row r="14">
      <c r="A14" t="inlineStr">
        <is>
          <t>ARND</t>
        </is>
      </c>
      <c r="B14" t="inlineStr">
        <is>
          <t>J Verdier</t>
        </is>
      </c>
      <c r="C14" t="inlineStr">
        <is>
          <t>2026-03-14_NRTH_at_ARND</t>
        </is>
      </c>
    </row>
    <row r="15">
      <c r="A15" t="inlineStr">
        <is>
          <t>ARND</t>
        </is>
      </c>
      <c r="B15" t="inlineStr">
        <is>
          <t>J Witcher</t>
        </is>
      </c>
      <c r="C15" t="inlineStr">
        <is>
          <t>2026-03-14_NRTH_at_ARND</t>
        </is>
      </c>
      <c r="D15" t="inlineStr">
        <is>
          <t>Bats and pitches</t>
        </is>
      </c>
    </row>
    <row r="16">
      <c r="A16" t="inlineStr">
        <is>
          <t>ARND</t>
        </is>
      </c>
      <c r="B16" t="inlineStr">
        <is>
          <t>L Atherton</t>
        </is>
      </c>
      <c r="C16" t="inlineStr">
        <is>
          <t>2026-03-14_NRTH_at_ARND</t>
        </is>
      </c>
      <c r="D16" t="inlineStr">
        <is>
          <t>Bats and pitches</t>
        </is>
      </c>
    </row>
    <row r="17">
      <c r="A17" t="inlineStr">
        <is>
          <t>ARND</t>
        </is>
      </c>
      <c r="B17" t="inlineStr">
        <is>
          <t>L Gamble</t>
        </is>
      </c>
      <c r="C17" t="inlineStr">
        <is>
          <t>2026-03-14_NRTH_at_ARND</t>
        </is>
      </c>
    </row>
    <row r="18">
      <c r="A18" t="inlineStr">
        <is>
          <t>ARND</t>
        </is>
      </c>
      <c r="B18" t="inlineStr">
        <is>
          <t>P Smith</t>
        </is>
      </c>
      <c r="C18" t="inlineStr">
        <is>
          <t>2026-03-14_NRTH_at_ARND</t>
        </is>
      </c>
    </row>
    <row r="19">
      <c r="A19" t="inlineStr">
        <is>
          <t>ATHL</t>
        </is>
      </c>
      <c r="B19" t="inlineStr">
        <is>
          <t>A Chutka</t>
        </is>
      </c>
      <c r="C19" t="inlineStr">
        <is>
          <t>2026-03-31_GLNL_at_ATHL</t>
        </is>
      </c>
    </row>
    <row r="20">
      <c r="A20" t="inlineStr">
        <is>
          <t>ATHL</t>
        </is>
      </c>
      <c r="B20" t="inlineStr">
        <is>
          <t>B Skaggs</t>
        </is>
      </c>
      <c r="C20" t="inlineStr">
        <is>
          <t>2026-03-31_GLNL_at_ATHL</t>
        </is>
      </c>
    </row>
    <row r="21">
      <c r="A21" t="inlineStr">
        <is>
          <t>ATHL</t>
        </is>
      </c>
      <c r="B21" t="inlineStr">
        <is>
          <t>J Bott</t>
        </is>
      </c>
      <c r="C21" t="inlineStr">
        <is>
          <t>2026-03-31_GLNL_at_ATHL</t>
        </is>
      </c>
      <c r="D21" t="inlineStr">
        <is>
          <t>Pitcher only (no batting rows in log)</t>
        </is>
      </c>
    </row>
    <row r="22">
      <c r="A22" t="inlineStr">
        <is>
          <t>ATHL</t>
        </is>
      </c>
      <c r="B22" t="inlineStr">
        <is>
          <t>J Dailey</t>
        </is>
      </c>
      <c r="C22" t="inlineStr">
        <is>
          <t>2026-03-31_GLNL_at_ATHL</t>
        </is>
      </c>
    </row>
    <row r="23">
      <c r="A23" t="inlineStr">
        <is>
          <t>ATHL</t>
        </is>
      </c>
      <c r="B23" t="inlineStr">
        <is>
          <t>J Martin</t>
        </is>
      </c>
      <c r="C23" t="inlineStr">
        <is>
          <t>2026-03-31_GLNL_at_ATHL</t>
        </is>
      </c>
    </row>
    <row r="24">
      <c r="A24" t="inlineStr">
        <is>
          <t>ATHL</t>
        </is>
      </c>
      <c r="B24" t="inlineStr">
        <is>
          <t>J Whiting</t>
        </is>
      </c>
      <c r="C24" t="inlineStr">
        <is>
          <t>2026-03-31_GLNL_at_ATHL</t>
        </is>
      </c>
    </row>
    <row r="25">
      <c r="A25" t="inlineStr">
        <is>
          <t>ATHL</t>
        </is>
      </c>
      <c r="B25" t="inlineStr">
        <is>
          <t>L Byrns</t>
        </is>
      </c>
      <c r="C25" t="inlineStr">
        <is>
          <t>2026-03-31_GLNL_at_ATHL</t>
        </is>
      </c>
      <c r="D25" t="inlineStr">
        <is>
          <t>Pitcher only (no batting rows in log)</t>
        </is>
      </c>
    </row>
    <row r="26">
      <c r="A26" t="inlineStr">
        <is>
          <t>ATHL</t>
        </is>
      </c>
      <c r="B26" t="inlineStr">
        <is>
          <t>L Conroy</t>
        </is>
      </c>
      <c r="C26" t="inlineStr">
        <is>
          <t>2026-03-31_GLNL_at_ATHL</t>
        </is>
      </c>
    </row>
    <row r="27">
      <c r="A27" t="inlineStr">
        <is>
          <t>ATHL</t>
        </is>
      </c>
      <c r="B27" t="inlineStr">
        <is>
          <t>N Brewer</t>
        </is>
      </c>
      <c r="C27" t="inlineStr">
        <is>
          <t>2026-03-31_GLNL_at_ATHL</t>
        </is>
      </c>
    </row>
    <row r="28">
      <c r="A28" t="inlineStr">
        <is>
          <t>ATHL</t>
        </is>
      </c>
      <c r="B28" t="inlineStr">
        <is>
          <t>N Weinig</t>
        </is>
      </c>
      <c r="C28" t="inlineStr">
        <is>
          <t>2026-03-31_GLNL_at_ATHL</t>
        </is>
      </c>
    </row>
    <row r="29">
      <c r="A29" t="inlineStr">
        <is>
          <t>ATHL</t>
        </is>
      </c>
      <c r="B29" t="inlineStr">
        <is>
          <t>T MacKenzie</t>
        </is>
      </c>
      <c r="C29" t="inlineStr">
        <is>
          <t>2026-03-31_GLNL_at_ATHL</t>
        </is>
      </c>
      <c r="D29" t="inlineStr">
        <is>
          <t>Bats and pitches</t>
        </is>
      </c>
    </row>
    <row r="30">
      <c r="A30" t="inlineStr">
        <is>
          <t>ATHL</t>
        </is>
      </c>
      <c r="B30" t="inlineStr">
        <is>
          <t>W Martin</t>
        </is>
      </c>
      <c r="C30" t="inlineStr">
        <is>
          <t>2026-03-31_GLNL_at_ATHL</t>
        </is>
      </c>
    </row>
    <row r="31">
      <c r="A31" t="inlineStr">
        <is>
          <t>CHPT</t>
        </is>
      </c>
      <c r="B31" t="inlineStr">
        <is>
          <t>A Garner</t>
        </is>
      </c>
      <c r="C31" t="inlineStr">
        <is>
          <t>2026-03-25_NRTH_at_CHPT</t>
        </is>
      </c>
    </row>
    <row r="32">
      <c r="A32" t="inlineStr">
        <is>
          <t>CHPT</t>
        </is>
      </c>
      <c r="B32" t="inlineStr">
        <is>
          <t>A Norris</t>
        </is>
      </c>
      <c r="C32" t="inlineStr">
        <is>
          <t>2026-03-25_NRTH_at_CHPT</t>
        </is>
      </c>
    </row>
    <row r="33">
      <c r="A33" t="inlineStr">
        <is>
          <t>CHPT</t>
        </is>
      </c>
      <c r="B33" t="inlineStr">
        <is>
          <t>C Brickman</t>
        </is>
      </c>
      <c r="C33" t="inlineStr">
        <is>
          <t>2026-03-25_NRTH_at_CHPT</t>
        </is>
      </c>
    </row>
    <row r="34">
      <c r="A34" t="inlineStr">
        <is>
          <t>CHPT</t>
        </is>
      </c>
      <c r="B34" t="inlineStr">
        <is>
          <t>C Rabon</t>
        </is>
      </c>
      <c r="C34" t="inlineStr">
        <is>
          <t>2026-03-25_NRTH_at_CHPT</t>
        </is>
      </c>
    </row>
    <row r="35">
      <c r="A35" t="inlineStr">
        <is>
          <t>CHPT</t>
        </is>
      </c>
      <c r="B35" t="inlineStr">
        <is>
          <t>CHPT_#1</t>
        </is>
      </c>
      <c r="C35" t="inlineStr">
        <is>
          <t>2026-03-30_CHPT_at_HNTN</t>
        </is>
      </c>
    </row>
    <row r="36">
      <c r="A36" t="inlineStr">
        <is>
          <t>CHPT</t>
        </is>
      </c>
      <c r="B36" t="inlineStr">
        <is>
          <t>CHPT_#10</t>
        </is>
      </c>
      <c r="C36" t="inlineStr">
        <is>
          <t>2026-03-30_CHPT_at_HNTN</t>
        </is>
      </c>
    </row>
    <row r="37">
      <c r="A37" t="inlineStr">
        <is>
          <t>CHPT</t>
        </is>
      </c>
      <c r="B37" t="inlineStr">
        <is>
          <t>CHPT_#11</t>
        </is>
      </c>
      <c r="C37" t="inlineStr">
        <is>
          <t>2026-03-30_CHPT_at_HNTN</t>
        </is>
      </c>
      <c r="D37" t="inlineStr">
        <is>
          <t>Bats and pitches</t>
        </is>
      </c>
    </row>
    <row r="38">
      <c r="A38" t="inlineStr">
        <is>
          <t>CHPT</t>
        </is>
      </c>
      <c r="B38" t="inlineStr">
        <is>
          <t>CHPT_#13</t>
        </is>
      </c>
      <c r="C38" t="inlineStr">
        <is>
          <t>2026-03-30_CHPT_at_HNTN</t>
        </is>
      </c>
      <c r="D38" t="inlineStr">
        <is>
          <t>Pitcher only (no batting rows in log)</t>
        </is>
      </c>
    </row>
    <row r="39">
      <c r="A39" t="inlineStr">
        <is>
          <t>CHPT</t>
        </is>
      </c>
      <c r="B39" t="inlineStr">
        <is>
          <t>CHPT_#15</t>
        </is>
      </c>
      <c r="C39" t="inlineStr">
        <is>
          <t>2026-03-30_CHPT_at_HNTN</t>
        </is>
      </c>
      <c r="D39" t="inlineStr">
        <is>
          <t>Bats and pitches</t>
        </is>
      </c>
    </row>
    <row r="40">
      <c r="A40" t="inlineStr">
        <is>
          <t>CHPT</t>
        </is>
      </c>
      <c r="B40" t="inlineStr">
        <is>
          <t>CHPT_#2</t>
        </is>
      </c>
      <c r="C40" t="inlineStr">
        <is>
          <t>2026-03-30_CHPT_at_HNTN</t>
        </is>
      </c>
    </row>
    <row r="41">
      <c r="A41" t="inlineStr">
        <is>
          <t>CHPT</t>
        </is>
      </c>
      <c r="B41" t="inlineStr">
        <is>
          <t>CHPT_#21</t>
        </is>
      </c>
      <c r="C41" t="inlineStr">
        <is>
          <t>2026-03-30_CHPT_at_HNTN</t>
        </is>
      </c>
    </row>
    <row r="42">
      <c r="A42" t="inlineStr">
        <is>
          <t>CHPT</t>
        </is>
      </c>
      <c r="B42" t="inlineStr">
        <is>
          <t>CHPT_#3</t>
        </is>
      </c>
      <c r="C42" t="inlineStr">
        <is>
          <t>2026-03-30_CHPT_at_HNTN</t>
        </is>
      </c>
    </row>
    <row r="43">
      <c r="A43" t="inlineStr">
        <is>
          <t>CHPT</t>
        </is>
      </c>
      <c r="B43" t="inlineStr">
        <is>
          <t>CHPT_#6</t>
        </is>
      </c>
      <c r="C43" t="inlineStr">
        <is>
          <t>2026-03-30_CHPT_at_HNTN</t>
        </is>
      </c>
    </row>
    <row r="44">
      <c r="A44" t="inlineStr">
        <is>
          <t>CHPT</t>
        </is>
      </c>
      <c r="B44" t="inlineStr">
        <is>
          <t>CHPT_#8</t>
        </is>
      </c>
      <c r="C44" t="inlineStr">
        <is>
          <t>2026-03-30_CHPT_at_HNTN</t>
        </is>
      </c>
    </row>
    <row r="45">
      <c r="A45" t="inlineStr">
        <is>
          <t>CHPT</t>
        </is>
      </c>
      <c r="B45" t="inlineStr">
        <is>
          <t>CHPT_#9</t>
        </is>
      </c>
      <c r="C45" t="inlineStr">
        <is>
          <t>2026-03-30_CHPT_at_HNTN</t>
        </is>
      </c>
    </row>
    <row r="46">
      <c r="A46" t="inlineStr">
        <is>
          <t>CHPT</t>
        </is>
      </c>
      <c r="B46" t="inlineStr">
        <is>
          <t>CHPT_CF_Unknown</t>
        </is>
      </c>
      <c r="C46" t="inlineStr">
        <is>
          <t>2026-03-30_CHPT_at_HNTN</t>
        </is>
      </c>
    </row>
    <row r="47">
      <c r="A47" t="inlineStr">
        <is>
          <t>CHPT</t>
        </is>
      </c>
      <c r="B47" t="inlineStr">
        <is>
          <t>CHPT_RF_Unknown</t>
        </is>
      </c>
      <c r="C47" t="inlineStr">
        <is>
          <t>2026-03-30_CHPT_at_HNTN</t>
        </is>
      </c>
    </row>
    <row r="48">
      <c r="A48" t="inlineStr">
        <is>
          <t>CHPT</t>
        </is>
      </c>
      <c r="B48" t="inlineStr">
        <is>
          <t>D Watson</t>
        </is>
      </c>
      <c r="C48" t="inlineStr">
        <is>
          <t>2026-03-25_NRTH_at_CHPT</t>
        </is>
      </c>
      <c r="D48" t="inlineStr">
        <is>
          <t>Pitcher only (no batting rows in log)</t>
        </is>
      </c>
    </row>
    <row r="49">
      <c r="A49" t="inlineStr">
        <is>
          <t>CHPT</t>
        </is>
      </c>
      <c r="B49" t="inlineStr">
        <is>
          <t>E Reynolds</t>
        </is>
      </c>
      <c r="C49" t="inlineStr">
        <is>
          <t>2026-03-25_NRTH_at_CHPT</t>
        </is>
      </c>
    </row>
    <row r="50">
      <c r="A50" t="inlineStr">
        <is>
          <t>CHPT</t>
        </is>
      </c>
      <c r="B50" t="inlineStr">
        <is>
          <t>M McDermott</t>
        </is>
      </c>
      <c r="C50" t="inlineStr">
        <is>
          <t>2026-03-25_NRTH_at_CHPT</t>
        </is>
      </c>
    </row>
    <row r="51">
      <c r="A51" t="inlineStr">
        <is>
          <t>CHPT</t>
        </is>
      </c>
      <c r="B51" t="inlineStr">
        <is>
          <t>R Welch</t>
        </is>
      </c>
      <c r="C51" t="inlineStr">
        <is>
          <t>2026-03-25_NRTH_at_CHPT</t>
        </is>
      </c>
    </row>
    <row r="52">
      <c r="A52" t="inlineStr">
        <is>
          <t>CHPT</t>
        </is>
      </c>
      <c r="B52" t="inlineStr">
        <is>
          <t>S Beach</t>
        </is>
      </c>
      <c r="C52" t="inlineStr">
        <is>
          <t>2026-03-25_NRTH_at_CHPT</t>
        </is>
      </c>
      <c r="D52" t="inlineStr">
        <is>
          <t>Bats and pitches</t>
        </is>
      </c>
    </row>
    <row r="53">
      <c r="A53" t="inlineStr">
        <is>
          <t>CHPT</t>
        </is>
      </c>
      <c r="B53" t="inlineStr">
        <is>
          <t>T Bailey</t>
        </is>
      </c>
      <c r="C53" t="inlineStr">
        <is>
          <t>2026-03-25_NRTH_at_CHPT</t>
        </is>
      </c>
    </row>
    <row r="54">
      <c r="A54" t="inlineStr">
        <is>
          <t>CHPT</t>
        </is>
      </c>
      <c r="B54" t="inlineStr">
        <is>
          <t>T Haggard</t>
        </is>
      </c>
      <c r="C54" t="inlineStr">
        <is>
          <t>2026-03-25_NRTH_at_CHPT</t>
        </is>
      </c>
    </row>
    <row r="55">
      <c r="A55" t="inlineStr">
        <is>
          <t>CLVR</t>
        </is>
      </c>
      <c r="B55" t="inlineStr">
        <is>
          <t>C Hall</t>
        </is>
      </c>
      <c r="C55" t="inlineStr">
        <is>
          <t>2026-03-20_CLVR_at_HNTN</t>
        </is>
      </c>
    </row>
    <row r="56">
      <c r="A56" t="inlineStr">
        <is>
          <t>CLVR</t>
        </is>
      </c>
      <c r="B56" t="inlineStr">
        <is>
          <t>C Sacker</t>
        </is>
      </c>
      <c r="C56" t="inlineStr">
        <is>
          <t>2026-03-20_CLVR_at_HNTN</t>
        </is>
      </c>
    </row>
    <row r="57">
      <c r="A57" t="inlineStr">
        <is>
          <t>CLVR</t>
        </is>
      </c>
      <c r="B57" t="inlineStr">
        <is>
          <t>CLVR_#13</t>
        </is>
      </c>
      <c r="C57" t="inlineStr">
        <is>
          <t>2026-03-20_CLVR_at_HNTN</t>
        </is>
      </c>
    </row>
    <row r="58">
      <c r="A58" t="inlineStr">
        <is>
          <t>CLVR</t>
        </is>
      </c>
      <c r="B58" t="inlineStr">
        <is>
          <t>D Sauls</t>
        </is>
      </c>
      <c r="C58" t="inlineStr">
        <is>
          <t>2026-03-20_CLVR_at_HNTN</t>
        </is>
      </c>
    </row>
    <row r="59">
      <c r="A59" t="inlineStr">
        <is>
          <t>CLVR</t>
        </is>
      </c>
      <c r="B59" t="inlineStr">
        <is>
          <t>G Groom</t>
        </is>
      </c>
      <c r="C59" t="inlineStr">
        <is>
          <t>2026-03-20_CLVR_at_HNTN</t>
        </is>
      </c>
    </row>
    <row r="60">
      <c r="A60" t="inlineStr">
        <is>
          <t>CLVR</t>
        </is>
      </c>
      <c r="B60" t="inlineStr">
        <is>
          <t>J Lee</t>
        </is>
      </c>
      <c r="C60" t="inlineStr">
        <is>
          <t>2026-03-20_CLVR_at_HNTN</t>
        </is>
      </c>
      <c r="D60" t="inlineStr">
        <is>
          <t>Bats and pitches</t>
        </is>
      </c>
    </row>
    <row r="61">
      <c r="A61" t="inlineStr">
        <is>
          <t>CLVR</t>
        </is>
      </c>
      <c r="B61" t="inlineStr">
        <is>
          <t>J Leichtweis</t>
        </is>
      </c>
      <c r="C61" t="inlineStr">
        <is>
          <t>2026-03-20_CLVR_at_HNTN</t>
        </is>
      </c>
      <c r="D61" t="inlineStr">
        <is>
          <t>Bats and pitches</t>
        </is>
      </c>
    </row>
    <row r="62">
      <c r="A62" t="inlineStr">
        <is>
          <t>CLVR</t>
        </is>
      </c>
      <c r="B62" t="inlineStr">
        <is>
          <t>J Rodenhaver</t>
        </is>
      </c>
      <c r="C62" t="inlineStr">
        <is>
          <t>2026-03-20_CLVR_at_HNTN</t>
        </is>
      </c>
    </row>
    <row r="63">
      <c r="A63" t="inlineStr">
        <is>
          <t>CLVR</t>
        </is>
      </c>
      <c r="B63" t="inlineStr">
        <is>
          <t>M Merriman</t>
        </is>
      </c>
      <c r="C63" t="inlineStr">
        <is>
          <t>2026-03-20_CLVR_at_HNTN</t>
        </is>
      </c>
    </row>
    <row r="64">
      <c r="A64" t="inlineStr">
        <is>
          <t>CLVR</t>
        </is>
      </c>
      <c r="B64" t="inlineStr">
        <is>
          <t>N D'Agostino</t>
        </is>
      </c>
      <c r="C64" t="inlineStr">
        <is>
          <t>2026-03-20_CLVR_at_HNTN</t>
        </is>
      </c>
    </row>
    <row r="65">
      <c r="A65" t="inlineStr">
        <is>
          <t>DMSC</t>
        </is>
      </c>
      <c r="B65" t="inlineStr">
        <is>
          <t>A Iorio</t>
        </is>
      </c>
      <c r="C65" t="inlineStr">
        <is>
          <t>2026-03-07_DMSC_at_GLNL</t>
        </is>
      </c>
    </row>
    <row r="66">
      <c r="A66" t="inlineStr">
        <is>
          <t>DMSC</t>
        </is>
      </c>
      <c r="B66" t="inlineStr">
        <is>
          <t>C Gardner</t>
        </is>
      </c>
      <c r="C66" t="inlineStr">
        <is>
          <t>2026-03-07_DMSC_at_GLNL</t>
        </is>
      </c>
    </row>
    <row r="67">
      <c r="A67" t="inlineStr">
        <is>
          <t>DMSC</t>
        </is>
      </c>
      <c r="B67" t="inlineStr">
        <is>
          <t>C Holland</t>
        </is>
      </c>
      <c r="C67" t="inlineStr">
        <is>
          <t>2026-03-07_DMSC_at_GLNL</t>
        </is>
      </c>
    </row>
    <row r="68">
      <c r="A68" t="inlineStr">
        <is>
          <t>DMSC</t>
        </is>
      </c>
      <c r="B68" t="inlineStr">
        <is>
          <t>DMSC_SS_unknown</t>
        </is>
      </c>
      <c r="C68" t="inlineStr">
        <is>
          <t>2026-03-07_DMSC_at_GLNL</t>
        </is>
      </c>
    </row>
    <row r="69">
      <c r="A69" t="inlineStr">
        <is>
          <t>DMSC</t>
        </is>
      </c>
      <c r="B69" t="inlineStr">
        <is>
          <t>G Iorio</t>
        </is>
      </c>
      <c r="C69" t="inlineStr">
        <is>
          <t>2026-03-07_DMSC_at_GLNL</t>
        </is>
      </c>
    </row>
    <row r="70">
      <c r="A70" t="inlineStr">
        <is>
          <t>DMSC</t>
        </is>
      </c>
      <c r="B70" t="inlineStr">
        <is>
          <t>J Reyes</t>
        </is>
      </c>
      <c r="C70" t="inlineStr">
        <is>
          <t>2026-03-07_DMSC_at_GLNL</t>
        </is>
      </c>
    </row>
    <row r="71">
      <c r="A71" t="inlineStr">
        <is>
          <t>DMSC</t>
        </is>
      </c>
      <c r="B71" t="inlineStr">
        <is>
          <t>J Witmer</t>
        </is>
      </c>
      <c r="C71" t="inlineStr">
        <is>
          <t>2026-03-07_DMSC_at_GLNL</t>
        </is>
      </c>
    </row>
    <row r="72">
      <c r="A72" t="inlineStr">
        <is>
          <t>DMSC</t>
        </is>
      </c>
      <c r="B72" t="inlineStr">
        <is>
          <t>K Childers</t>
        </is>
      </c>
      <c r="C72" t="inlineStr">
        <is>
          <t>2026-03-07_DMSC_at_GLNL</t>
        </is>
      </c>
    </row>
    <row r="73">
      <c r="A73" t="inlineStr">
        <is>
          <t>DMSC</t>
        </is>
      </c>
      <c r="B73" t="inlineStr">
        <is>
          <t>L Curtin</t>
        </is>
      </c>
      <c r="C73" t="inlineStr">
        <is>
          <t>2026-03-07_DMSC_at_GLNL</t>
        </is>
      </c>
    </row>
    <row r="74">
      <c r="A74" t="inlineStr">
        <is>
          <t>DMSC</t>
        </is>
      </c>
      <c r="B74" t="inlineStr">
        <is>
          <t>N Cooley</t>
        </is>
      </c>
      <c r="C74" t="inlineStr">
        <is>
          <t>2026-03-07_DMSC_at_GLNL</t>
        </is>
      </c>
    </row>
    <row r="75">
      <c r="A75" t="inlineStr">
        <is>
          <t>DMSC</t>
        </is>
      </c>
      <c r="B75" t="inlineStr">
        <is>
          <t>R Chidakel</t>
        </is>
      </c>
      <c r="C75" t="inlineStr">
        <is>
          <t>2026-03-07_DMSC_at_GLNL</t>
        </is>
      </c>
    </row>
    <row r="76">
      <c r="A76" t="inlineStr">
        <is>
          <t>ELNR</t>
        </is>
      </c>
      <c r="B76" t="inlineStr">
        <is>
          <t>A Kennell</t>
        </is>
      </c>
      <c r="C76" t="inlineStr">
        <is>
          <t>2026-03-07_ELNR_at_NRTH</t>
        </is>
      </c>
      <c r="D76" t="inlineStr">
        <is>
          <t>Bats and pitches</t>
        </is>
      </c>
    </row>
    <row r="77">
      <c r="A77" t="inlineStr">
        <is>
          <t>ELNR</t>
        </is>
      </c>
      <c r="B77" t="inlineStr">
        <is>
          <t>A Wimbish</t>
        </is>
      </c>
      <c r="C77" t="inlineStr">
        <is>
          <t>2026-03-07_ELNR_at_NRTH</t>
        </is>
      </c>
    </row>
    <row r="78">
      <c r="A78" t="inlineStr">
        <is>
          <t>ELNR</t>
        </is>
      </c>
      <c r="B78" t="inlineStr">
        <is>
          <t>B Durham</t>
        </is>
      </c>
      <c r="C78" t="inlineStr">
        <is>
          <t>2026-03-07_ELNR_at_NRTH</t>
        </is>
      </c>
    </row>
    <row r="79">
      <c r="A79" t="inlineStr">
        <is>
          <t>ELNR</t>
        </is>
      </c>
      <c r="B79" t="inlineStr">
        <is>
          <t>C Knight</t>
        </is>
      </c>
      <c r="C79" t="inlineStr">
        <is>
          <t>2026-03-07_ELNR_at_NRTH</t>
        </is>
      </c>
    </row>
    <row r="80">
      <c r="A80" t="inlineStr">
        <is>
          <t>ELNR</t>
        </is>
      </c>
      <c r="B80" t="inlineStr">
        <is>
          <t>J Burke</t>
        </is>
      </c>
      <c r="C80" t="inlineStr">
        <is>
          <t>2026-03-07_ELNR_at_NRTH</t>
        </is>
      </c>
      <c r="D80" t="inlineStr">
        <is>
          <t>Bats and pitches</t>
        </is>
      </c>
    </row>
    <row r="81">
      <c r="A81" t="inlineStr">
        <is>
          <t>ELNR</t>
        </is>
      </c>
      <c r="B81" t="inlineStr">
        <is>
          <t>J Maitland</t>
        </is>
      </c>
      <c r="C81" t="inlineStr">
        <is>
          <t>2026-03-07_ELNR_at_NRTH</t>
        </is>
      </c>
    </row>
    <row r="82">
      <c r="A82" t="inlineStr">
        <is>
          <t>ELNR</t>
        </is>
      </c>
      <c r="B82" t="inlineStr">
        <is>
          <t>K Watkins-Fleisher</t>
        </is>
      </c>
      <c r="C82" t="inlineStr">
        <is>
          <t>2026-03-07_ELNR_at_NRTH</t>
        </is>
      </c>
    </row>
    <row r="83">
      <c r="A83" t="inlineStr">
        <is>
          <t>ELNR</t>
        </is>
      </c>
      <c r="B83" t="inlineStr">
        <is>
          <t>M Keaton</t>
        </is>
      </c>
      <c r="C83" t="inlineStr">
        <is>
          <t>2026-03-07_ELNR_at_NRTH</t>
        </is>
      </c>
      <c r="D83" t="inlineStr">
        <is>
          <t>Pitcher only (no batting rows in log)</t>
        </is>
      </c>
    </row>
    <row r="84">
      <c r="A84" t="inlineStr">
        <is>
          <t>ELNR</t>
        </is>
      </c>
      <c r="B84" t="inlineStr">
        <is>
          <t>R Coxen</t>
        </is>
      </c>
      <c r="C84" t="inlineStr">
        <is>
          <t>2026-03-07_ELNR_at_NRTH</t>
        </is>
      </c>
    </row>
    <row r="85">
      <c r="A85" t="inlineStr">
        <is>
          <t>ELNR</t>
        </is>
      </c>
      <c r="B85" t="inlineStr">
        <is>
          <t>S Hamilton</t>
        </is>
      </c>
      <c r="C85" t="inlineStr">
        <is>
          <t>2026-03-07_ELNR_at_NRTH</t>
        </is>
      </c>
    </row>
    <row r="86">
      <c r="A86" t="inlineStr">
        <is>
          <t>ELNR</t>
        </is>
      </c>
      <c r="B86" t="inlineStr">
        <is>
          <t>T White</t>
        </is>
      </c>
      <c r="C86" t="inlineStr">
        <is>
          <t>2026-03-07_ELNR_at_NRTH</t>
        </is>
      </c>
    </row>
    <row r="87">
      <c r="A87" t="inlineStr">
        <is>
          <t>FLLS</t>
        </is>
      </c>
      <c r="B87" t="inlineStr">
        <is>
          <t>C Flanagan</t>
        </is>
      </c>
      <c r="C87" t="inlineStr">
        <is>
          <t>2026-03-30_FLLS_at_RVRH</t>
        </is>
      </c>
      <c r="D87" t="inlineStr">
        <is>
          <t>Pitcher only (no batting rows in log)</t>
        </is>
      </c>
    </row>
    <row r="88">
      <c r="A88" t="inlineStr">
        <is>
          <t>FLLS</t>
        </is>
      </c>
      <c r="B88" t="inlineStr">
        <is>
          <t>E Slicher</t>
        </is>
      </c>
      <c r="C88" t="inlineStr">
        <is>
          <t>2026-03-30_FLLS_at_RVRH</t>
        </is>
      </c>
    </row>
    <row r="89">
      <c r="A89" t="inlineStr">
        <is>
          <t>FLLS</t>
        </is>
      </c>
      <c r="B89" t="inlineStr">
        <is>
          <t>F Rebasti</t>
        </is>
      </c>
      <c r="C89" t="inlineStr">
        <is>
          <t>2026-03-30_FLLS_at_RVRH</t>
        </is>
      </c>
    </row>
    <row r="90">
      <c r="A90" t="inlineStr">
        <is>
          <t>FLLS</t>
        </is>
      </c>
      <c r="B90" t="inlineStr">
        <is>
          <t>G Kersch</t>
        </is>
      </c>
      <c r="C90" t="inlineStr">
        <is>
          <t>2026-03-30_FLLS_at_RVRH</t>
        </is>
      </c>
    </row>
    <row r="91">
      <c r="A91" t="inlineStr">
        <is>
          <t>FLLS</t>
        </is>
      </c>
      <c r="B91" t="inlineStr">
        <is>
          <t>I Bishoff</t>
        </is>
      </c>
      <c r="C91" t="inlineStr">
        <is>
          <t>2026-03-30_FLLS_at_RVRH</t>
        </is>
      </c>
    </row>
    <row r="92">
      <c r="A92" t="inlineStr">
        <is>
          <t>FLLS</t>
        </is>
      </c>
      <c r="B92" t="inlineStr">
        <is>
          <t>J Potler</t>
        </is>
      </c>
      <c r="C92" t="inlineStr">
        <is>
          <t>2026-03-30_FLLS_at_RVRH</t>
        </is>
      </c>
    </row>
    <row r="93">
      <c r="A93" t="inlineStr">
        <is>
          <t>FLLS</t>
        </is>
      </c>
      <c r="B93" t="inlineStr">
        <is>
          <t>J Schilpp</t>
        </is>
      </c>
      <c r="C93" t="inlineStr">
        <is>
          <t>2026-03-30_FLLS_at_RVRH</t>
        </is>
      </c>
    </row>
    <row r="94">
      <c r="A94" t="inlineStr">
        <is>
          <t>FLLS</t>
        </is>
      </c>
      <c r="B94" t="inlineStr">
        <is>
          <t>R Conley</t>
        </is>
      </c>
      <c r="C94" t="inlineStr">
        <is>
          <t>2026-03-30_FLLS_at_RVRH</t>
        </is>
      </c>
    </row>
    <row r="95">
      <c r="A95" t="inlineStr">
        <is>
          <t>FLLS</t>
        </is>
      </c>
      <c r="B95" t="inlineStr">
        <is>
          <t>R Cullison</t>
        </is>
      </c>
      <c r="C95" t="inlineStr">
        <is>
          <t>2026-03-30_FLLS_at_RVRH</t>
        </is>
      </c>
      <c r="D95" t="inlineStr">
        <is>
          <t>Pitcher only (no batting rows in log)</t>
        </is>
      </c>
    </row>
    <row r="96">
      <c r="A96" t="inlineStr">
        <is>
          <t>FLLS</t>
        </is>
      </c>
      <c r="B96" t="inlineStr">
        <is>
          <t>W Kregel</t>
        </is>
      </c>
      <c r="C96" t="inlineStr">
        <is>
          <t>2026-03-30_FLLS_at_RVRH</t>
        </is>
      </c>
    </row>
    <row r="97">
      <c r="A97" t="inlineStr">
        <is>
          <t>FLLS</t>
        </is>
      </c>
      <c r="B97" t="inlineStr">
        <is>
          <t>Z Loewe</t>
        </is>
      </c>
      <c r="C97" t="inlineStr">
        <is>
          <t>2026-03-30_FLLS_at_RVRH</t>
        </is>
      </c>
    </row>
    <row r="98">
      <c r="A98" t="inlineStr">
        <is>
          <t>GLFR</t>
        </is>
      </c>
      <c r="B98" t="inlineStr">
        <is>
          <t>GLFR_AA</t>
        </is>
      </c>
      <c r="C98" t="inlineStr">
        <is>
          <t>2026-03-21_RVRH_at_GLFR</t>
        </is>
      </c>
      <c r="D98" t="inlineStr">
        <is>
          <t>Bats and pitches</t>
        </is>
      </c>
    </row>
    <row r="99">
      <c r="A99" t="inlineStr">
        <is>
          <t>GLFR</t>
        </is>
      </c>
      <c r="B99" t="inlineStr">
        <is>
          <t>GLFR_BS</t>
        </is>
      </c>
      <c r="C99" t="inlineStr">
        <is>
          <t>2026-03-21_RVRH_at_GLFR</t>
        </is>
      </c>
      <c r="D99" t="inlineStr">
        <is>
          <t>Bats and pitches</t>
        </is>
      </c>
    </row>
    <row r="100">
      <c r="A100" t="inlineStr">
        <is>
          <t>GLFR</t>
        </is>
      </c>
      <c r="B100" t="inlineStr">
        <is>
          <t>GLFR_IW</t>
        </is>
      </c>
      <c r="C100" t="inlineStr">
        <is>
          <t>2026-03-21_RVRH_at_GLFR</t>
        </is>
      </c>
    </row>
    <row r="101">
      <c r="A101" t="inlineStr">
        <is>
          <t>GLFR</t>
        </is>
      </c>
      <c r="B101" t="inlineStr">
        <is>
          <t>GLFR_JH</t>
        </is>
      </c>
      <c r="C101" t="inlineStr">
        <is>
          <t>2026-03-21_RVRH_at_GLFR</t>
        </is>
      </c>
    </row>
    <row r="102">
      <c r="A102" t="inlineStr">
        <is>
          <t>GLFR</t>
        </is>
      </c>
      <c r="B102" t="inlineStr">
        <is>
          <t>GLFR_JS</t>
        </is>
      </c>
      <c r="C102" t="inlineStr">
        <is>
          <t>2026-03-21_RVRH_at_GLFR</t>
        </is>
      </c>
    </row>
    <row r="103">
      <c r="A103" t="inlineStr">
        <is>
          <t>GLFR</t>
        </is>
      </c>
      <c r="B103" t="inlineStr">
        <is>
          <t>GLFR_LL</t>
        </is>
      </c>
      <c r="C103" t="inlineStr">
        <is>
          <t>2026-03-21_RVRH_at_GLFR</t>
        </is>
      </c>
      <c r="D103" t="inlineStr">
        <is>
          <t>Bats and pitches</t>
        </is>
      </c>
    </row>
    <row r="104">
      <c r="A104" t="inlineStr">
        <is>
          <t>GLFR</t>
        </is>
      </c>
      <c r="B104" t="inlineStr">
        <is>
          <t>GLFR_LR</t>
        </is>
      </c>
      <c r="C104" t="inlineStr">
        <is>
          <t>2026-03-21_RVRH_at_GLFR</t>
        </is>
      </c>
    </row>
    <row r="105">
      <c r="A105" t="inlineStr">
        <is>
          <t>GLFR</t>
        </is>
      </c>
      <c r="B105" t="inlineStr">
        <is>
          <t>GLFR_MR</t>
        </is>
      </c>
      <c r="C105" t="inlineStr">
        <is>
          <t>2026-03-21_RVRH_at_GLFR</t>
        </is>
      </c>
    </row>
    <row r="106">
      <c r="A106" t="inlineStr">
        <is>
          <t>GLFR</t>
        </is>
      </c>
      <c r="B106" t="inlineStr">
        <is>
          <t>GLFR_ST</t>
        </is>
      </c>
      <c r="C106" t="inlineStr">
        <is>
          <t>2026-03-21_RVRH_at_GLFR</t>
        </is>
      </c>
    </row>
    <row r="107">
      <c r="A107" t="inlineStr">
        <is>
          <t>GLNL</t>
        </is>
      </c>
      <c r="B107" t="inlineStr">
        <is>
          <t>A Baker</t>
        </is>
      </c>
      <c r="C107" t="inlineStr">
        <is>
          <t>2026-03-07_DMSC_at_GLNL</t>
        </is>
      </c>
      <c r="D107" t="inlineStr">
        <is>
          <t>Bats and pitches</t>
        </is>
      </c>
    </row>
    <row r="108">
      <c r="A108" t="inlineStr">
        <is>
          <t>GLNL</t>
        </is>
      </c>
      <c r="B108" t="inlineStr">
        <is>
          <t>A Nazelrod</t>
        </is>
      </c>
      <c r="C108" t="inlineStr">
        <is>
          <t>2026-03-07_DMSC_at_GLNL</t>
        </is>
      </c>
    </row>
    <row r="109">
      <c r="A109" t="inlineStr">
        <is>
          <t>GLNL</t>
        </is>
      </c>
      <c r="B109" t="inlineStr">
        <is>
          <t>B Burckhardt</t>
        </is>
      </c>
      <c r="C109" t="inlineStr">
        <is>
          <t>2026-03-07_DMSC_at_GLNL</t>
        </is>
      </c>
    </row>
    <row r="110">
      <c r="A110" t="inlineStr">
        <is>
          <t>GLNL</t>
        </is>
      </c>
      <c r="B110" t="inlineStr">
        <is>
          <t>B Burkhardt</t>
        </is>
      </c>
      <c r="C110" t="inlineStr">
        <is>
          <t>2026-03-27_GLNL_at_RVRH</t>
        </is>
      </c>
    </row>
    <row r="111">
      <c r="A111" t="inlineStr">
        <is>
          <t>GLNL</t>
        </is>
      </c>
      <c r="B111" t="inlineStr">
        <is>
          <t>B Conlon</t>
        </is>
      </c>
      <c r="C111" t="inlineStr">
        <is>
          <t>2026-03-07_DMSC_at_GLNL</t>
        </is>
      </c>
      <c r="D111" t="inlineStr">
        <is>
          <t>Bats and pitches</t>
        </is>
      </c>
    </row>
    <row r="112">
      <c r="A112" t="inlineStr">
        <is>
          <t>GLNL</t>
        </is>
      </c>
      <c r="B112" t="inlineStr">
        <is>
          <t>B Harms</t>
        </is>
      </c>
      <c r="C112" t="inlineStr">
        <is>
          <t>2026-03-07_DMSC_at_GLNL</t>
        </is>
      </c>
    </row>
    <row r="113">
      <c r="A113" t="inlineStr">
        <is>
          <t>GLNL</t>
        </is>
      </c>
      <c r="B113" t="inlineStr">
        <is>
          <t>C Brown</t>
        </is>
      </c>
      <c r="C113" t="inlineStr">
        <is>
          <t>2026-03-07_DMSC_at_GLNL</t>
        </is>
      </c>
    </row>
    <row r="114">
      <c r="A114" t="inlineStr">
        <is>
          <t>GLNL</t>
        </is>
      </c>
      <c r="B114" t="inlineStr">
        <is>
          <t>C Gerber-Lombardi</t>
        </is>
      </c>
      <c r="C114" t="inlineStr">
        <is>
          <t>2026-03-23_GLNL_at_HWRD</t>
        </is>
      </c>
    </row>
    <row r="115">
      <c r="A115" t="inlineStr">
        <is>
          <t>GLNL</t>
        </is>
      </c>
      <c r="B115" t="inlineStr">
        <is>
          <t>C Lease</t>
        </is>
      </c>
      <c r="C115" t="inlineStr">
        <is>
          <t>2026-03-07_DMSC_at_GLNL</t>
        </is>
      </c>
    </row>
    <row r="116">
      <c r="A116" t="inlineStr">
        <is>
          <t>GLNL</t>
        </is>
      </c>
      <c r="B116" t="inlineStr">
        <is>
          <t>C Starcher</t>
        </is>
      </c>
      <c r="C116" t="inlineStr">
        <is>
          <t>2026-03-07_DMSC_at_GLNL</t>
        </is>
      </c>
      <c r="D116" t="inlineStr">
        <is>
          <t>Pitcher only (no batting rows in log)</t>
        </is>
      </c>
    </row>
    <row r="117">
      <c r="A117" t="inlineStr">
        <is>
          <t>GLNL</t>
        </is>
      </c>
      <c r="B117" t="inlineStr">
        <is>
          <t>D Heim</t>
        </is>
      </c>
      <c r="C117" t="inlineStr">
        <is>
          <t>2026-03-23_GLNL_at_HWRD</t>
        </is>
      </c>
    </row>
    <row r="118">
      <c r="A118" t="inlineStr">
        <is>
          <t>GLNL</t>
        </is>
      </c>
      <c r="B118" t="inlineStr">
        <is>
          <t>E Laprise</t>
        </is>
      </c>
      <c r="C118" t="inlineStr">
        <is>
          <t>2026-03-07_DMSC_at_GLNL</t>
        </is>
      </c>
    </row>
    <row r="119">
      <c r="A119" t="inlineStr">
        <is>
          <t>GLNL</t>
        </is>
      </c>
      <c r="B119" t="inlineStr">
        <is>
          <t>G Knauss</t>
        </is>
      </c>
      <c r="C119" t="inlineStr">
        <is>
          <t>2026-03-07_DMSC_at_GLNL</t>
        </is>
      </c>
    </row>
    <row r="120">
      <c r="A120" t="inlineStr">
        <is>
          <t>GLNL</t>
        </is>
      </c>
      <c r="B120" t="inlineStr">
        <is>
          <t>G Melhuish</t>
        </is>
      </c>
      <c r="C120" t="inlineStr">
        <is>
          <t>2026-03-07_DMSC_at_GLNL</t>
        </is>
      </c>
    </row>
    <row r="121">
      <c r="A121" t="inlineStr">
        <is>
          <t>GLNL</t>
        </is>
      </c>
      <c r="B121" t="inlineStr">
        <is>
          <t>J Jones</t>
        </is>
      </c>
      <c r="C121" t="inlineStr">
        <is>
          <t>2026-03-07_DMSC_at_GLNL</t>
        </is>
      </c>
    </row>
    <row r="122">
      <c r="A122" t="inlineStr">
        <is>
          <t>GLNL</t>
        </is>
      </c>
      <c r="B122" t="inlineStr">
        <is>
          <t>J Miles</t>
        </is>
      </c>
      <c r="C122" t="inlineStr">
        <is>
          <t>2026-03-07_DMSC_at_GLNL</t>
        </is>
      </c>
      <c r="D122" t="inlineStr">
        <is>
          <t>Bats and pitches</t>
        </is>
      </c>
    </row>
    <row r="123">
      <c r="A123" t="inlineStr">
        <is>
          <t>GLNL</t>
        </is>
      </c>
      <c r="B123" t="inlineStr">
        <is>
          <t>M Beares</t>
        </is>
      </c>
      <c r="C123" t="inlineStr">
        <is>
          <t>2026-03-07_DMSC_at_GLNL</t>
        </is>
      </c>
    </row>
    <row r="124">
      <c r="A124" t="inlineStr">
        <is>
          <t>GLNL</t>
        </is>
      </c>
      <c r="B124" t="inlineStr">
        <is>
          <t>M Kirk</t>
        </is>
      </c>
      <c r="C124" t="inlineStr">
        <is>
          <t>2026-03-07_DMSC_at_GLNL</t>
        </is>
      </c>
      <c r="D124" t="inlineStr">
        <is>
          <t>Pitcher only (no batting rows in log)</t>
        </is>
      </c>
    </row>
    <row r="125">
      <c r="A125" t="inlineStr">
        <is>
          <t>GLNL</t>
        </is>
      </c>
      <c r="B125" t="inlineStr">
        <is>
          <t>M Melhuish</t>
        </is>
      </c>
      <c r="C125" t="inlineStr">
        <is>
          <t>2026-03-07_DMSC_at_GLNL</t>
        </is>
      </c>
      <c r="D125" t="inlineStr">
        <is>
          <t>Bats and pitches</t>
        </is>
      </c>
    </row>
    <row r="126">
      <c r="A126" t="inlineStr">
        <is>
          <t>GLNL</t>
        </is>
      </c>
      <c r="B126" t="inlineStr">
        <is>
          <t>M Shriner</t>
        </is>
      </c>
      <c r="C126" t="inlineStr">
        <is>
          <t>2026-03-07_DMSC_at_GLNL</t>
        </is>
      </c>
      <c r="D126" t="inlineStr">
        <is>
          <t>Bats and pitches</t>
        </is>
      </c>
    </row>
    <row r="127">
      <c r="A127" t="inlineStr">
        <is>
          <t>GLNL</t>
        </is>
      </c>
      <c r="B127" t="inlineStr">
        <is>
          <t>N Cohen</t>
        </is>
      </c>
      <c r="C127" t="inlineStr">
        <is>
          <t>2026-03-07_DMSC_at_GLNL</t>
        </is>
      </c>
      <c r="D127" t="inlineStr">
        <is>
          <t>Pitcher only (no batting rows in log)</t>
        </is>
      </c>
    </row>
    <row r="128">
      <c r="A128" t="inlineStr">
        <is>
          <t>GLNL</t>
        </is>
      </c>
      <c r="B128" t="inlineStr">
        <is>
          <t>P Moreau</t>
        </is>
      </c>
      <c r="C128" t="inlineStr">
        <is>
          <t>2026-03-07_DMSC_at_GLNL</t>
        </is>
      </c>
    </row>
    <row r="129">
      <c r="A129" t="inlineStr">
        <is>
          <t>GLNL</t>
        </is>
      </c>
      <c r="B129" t="inlineStr">
        <is>
          <t>S Tong</t>
        </is>
      </c>
      <c r="C129" t="inlineStr">
        <is>
          <t>2026-03-07_DMSC_at_GLNL</t>
        </is>
      </c>
    </row>
    <row r="130">
      <c r="A130" t="inlineStr">
        <is>
          <t>GLNL</t>
        </is>
      </c>
      <c r="B130" t="inlineStr">
        <is>
          <t>T Blayman</t>
        </is>
      </c>
      <c r="C130" t="inlineStr">
        <is>
          <t>2026-03-27_GLNL_at_RVRH</t>
        </is>
      </c>
    </row>
    <row r="131">
      <c r="A131" t="inlineStr">
        <is>
          <t>HMMN</t>
        </is>
      </c>
      <c r="B131" t="inlineStr">
        <is>
          <t>B Garris</t>
        </is>
      </c>
      <c r="C131" t="inlineStr">
        <is>
          <t>2026-03-25_RVRH_at_HMMN</t>
        </is>
      </c>
    </row>
    <row r="132">
      <c r="A132" t="inlineStr">
        <is>
          <t>HMMN</t>
        </is>
      </c>
      <c r="B132" t="inlineStr">
        <is>
          <t>C Stryker</t>
        </is>
      </c>
      <c r="C132" t="inlineStr">
        <is>
          <t>2026-03-25_RVRH_at_HMMN</t>
        </is>
      </c>
    </row>
    <row r="133">
      <c r="A133" t="inlineStr">
        <is>
          <t>HMMN</t>
        </is>
      </c>
      <c r="B133" t="inlineStr">
        <is>
          <t>G Draminski</t>
        </is>
      </c>
      <c r="C133" t="inlineStr">
        <is>
          <t>2026-03-25_RVRH_at_HMMN</t>
        </is>
      </c>
      <c r="D133" t="inlineStr">
        <is>
          <t>Bats and pitches</t>
        </is>
      </c>
    </row>
    <row r="134">
      <c r="A134" t="inlineStr">
        <is>
          <t>HMMN</t>
        </is>
      </c>
      <c r="B134" t="inlineStr">
        <is>
          <t>G Garris</t>
        </is>
      </c>
      <c r="C134" t="inlineStr">
        <is>
          <t>2026-03-25_RVRH_at_HMMN</t>
        </is>
      </c>
    </row>
    <row r="135">
      <c r="A135" t="inlineStr">
        <is>
          <t>HMMN</t>
        </is>
      </c>
      <c r="B135" t="inlineStr">
        <is>
          <t>J Willis</t>
        </is>
      </c>
      <c r="C135" t="inlineStr">
        <is>
          <t>2026-03-25_RVRH_at_HMMN</t>
        </is>
      </c>
    </row>
    <row r="136">
      <c r="A136" t="inlineStr">
        <is>
          <t>HMMN</t>
        </is>
      </c>
      <c r="B136" t="inlineStr">
        <is>
          <t>K Gardner</t>
        </is>
      </c>
      <c r="C136" t="inlineStr">
        <is>
          <t>2026-03-25_RVRH_at_HMMN</t>
        </is>
      </c>
      <c r="D136" t="inlineStr">
        <is>
          <t>Pitcher only (no batting rows in log)</t>
        </is>
      </c>
    </row>
    <row r="137">
      <c r="A137" t="inlineStr">
        <is>
          <t>HMMN</t>
        </is>
      </c>
      <c r="B137" t="inlineStr">
        <is>
          <t>L Duckworth</t>
        </is>
      </c>
      <c r="C137" t="inlineStr">
        <is>
          <t>2026-03-25_RVRH_at_HMMN</t>
        </is>
      </c>
      <c r="D137" t="inlineStr">
        <is>
          <t>Pitcher only (no batting rows in log)</t>
        </is>
      </c>
    </row>
    <row r="138">
      <c r="A138" t="inlineStr">
        <is>
          <t>HMMN</t>
        </is>
      </c>
      <c r="B138" t="inlineStr">
        <is>
          <t>L Tordella</t>
        </is>
      </c>
      <c r="C138" t="inlineStr">
        <is>
          <t>2026-03-25_RVRH_at_HMMN</t>
        </is>
      </c>
    </row>
    <row r="139">
      <c r="A139" t="inlineStr">
        <is>
          <t>HMMN</t>
        </is>
      </c>
      <c r="B139" t="inlineStr">
        <is>
          <t>N Macomber</t>
        </is>
      </c>
      <c r="C139" t="inlineStr">
        <is>
          <t>2026-03-25_RVRH_at_HMMN</t>
        </is>
      </c>
    </row>
    <row r="140">
      <c r="A140" t="inlineStr">
        <is>
          <t>HMMN</t>
        </is>
      </c>
      <c r="B140" t="inlineStr">
        <is>
          <t>P Yarnell</t>
        </is>
      </c>
      <c r="C140" t="inlineStr">
        <is>
          <t>2026-03-25_RVRH_at_HMMN</t>
        </is>
      </c>
      <c r="D140" t="inlineStr">
        <is>
          <t>Bats and pitches</t>
        </is>
      </c>
    </row>
    <row r="141">
      <c r="A141" t="inlineStr">
        <is>
          <t>HMMN</t>
        </is>
      </c>
      <c r="B141" t="inlineStr">
        <is>
          <t>T Thomas</t>
        </is>
      </c>
      <c r="C141" t="inlineStr">
        <is>
          <t>2026-03-25_RVRH_at_HMMN</t>
        </is>
      </c>
    </row>
    <row r="142">
      <c r="A142" t="inlineStr">
        <is>
          <t>HMMN</t>
        </is>
      </c>
      <c r="B142" t="inlineStr">
        <is>
          <t>Y Rivera</t>
        </is>
      </c>
      <c r="C142" t="inlineStr">
        <is>
          <t>2026-03-25_RVRH_at_HMMN</t>
        </is>
      </c>
    </row>
    <row r="143">
      <c r="A143" t="inlineStr">
        <is>
          <t>HNTN</t>
        </is>
      </c>
      <c r="B143" t="inlineStr">
        <is>
          <t>B Marlowe</t>
        </is>
      </c>
      <c r="C143" t="inlineStr">
        <is>
          <t>2026-03-07_HNTN_at_LNGR</t>
        </is>
      </c>
      <c r="D143" t="inlineStr">
        <is>
          <t>Bats and pitches</t>
        </is>
      </c>
    </row>
    <row r="144">
      <c r="A144" t="inlineStr">
        <is>
          <t>HNTN</t>
        </is>
      </c>
      <c r="B144" t="inlineStr">
        <is>
          <t>B Robbins</t>
        </is>
      </c>
      <c r="C144" t="inlineStr">
        <is>
          <t>2026-03-14_HNTN_at_STHR</t>
        </is>
      </c>
    </row>
    <row r="145">
      <c r="A145" t="inlineStr">
        <is>
          <t>HNTN</t>
        </is>
      </c>
      <c r="B145" t="inlineStr">
        <is>
          <t>C Wargo</t>
        </is>
      </c>
      <c r="C145" t="inlineStr">
        <is>
          <t>2026-03-07_HNTN_at_LNGR</t>
        </is>
      </c>
    </row>
    <row r="146">
      <c r="A146" t="inlineStr">
        <is>
          <t>HNTN</t>
        </is>
      </c>
      <c r="B146" t="inlineStr">
        <is>
          <t>E Elliott</t>
        </is>
      </c>
      <c r="C146" t="inlineStr">
        <is>
          <t>2026-03-14_HNTN_at_STHR</t>
        </is>
      </c>
    </row>
    <row r="147">
      <c r="A147" t="inlineStr">
        <is>
          <t>HNTN</t>
        </is>
      </c>
      <c r="B147" t="inlineStr">
        <is>
          <t>G Grimes</t>
        </is>
      </c>
      <c r="C147" t="inlineStr">
        <is>
          <t>2026-03-07_HNTN_at_LNGR</t>
        </is>
      </c>
    </row>
    <row r="148">
      <c r="A148" t="inlineStr">
        <is>
          <t>HNTN</t>
        </is>
      </c>
      <c r="B148" t="inlineStr">
        <is>
          <t>J Cadden</t>
        </is>
      </c>
      <c r="C148" t="inlineStr">
        <is>
          <t>2026-03-07_HNTN_at_LNGR</t>
        </is>
      </c>
      <c r="D148" t="inlineStr">
        <is>
          <t>Bats and pitches</t>
        </is>
      </c>
    </row>
    <row r="149">
      <c r="A149" t="inlineStr">
        <is>
          <t>HNTN</t>
        </is>
      </c>
      <c r="B149" t="inlineStr">
        <is>
          <t>J Fields</t>
        </is>
      </c>
      <c r="C149" t="inlineStr">
        <is>
          <t>2026-03-07_HNTN_at_LNGR</t>
        </is>
      </c>
      <c r="D149" t="inlineStr">
        <is>
          <t>Bats and pitches</t>
        </is>
      </c>
    </row>
    <row r="150">
      <c r="A150" t="inlineStr">
        <is>
          <t>HNTN</t>
        </is>
      </c>
      <c r="B150" t="inlineStr">
        <is>
          <t>J Hann</t>
        </is>
      </c>
      <c r="C150" t="inlineStr">
        <is>
          <t>2026-03-07_HNTN_at_LNGR</t>
        </is>
      </c>
      <c r="D150" t="inlineStr">
        <is>
          <t>Bats and pitches</t>
        </is>
      </c>
    </row>
    <row r="151">
      <c r="A151" t="inlineStr">
        <is>
          <t>HNTN</t>
        </is>
      </c>
      <c r="B151" t="inlineStr">
        <is>
          <t>J Laur</t>
        </is>
      </c>
      <c r="C151" t="inlineStr">
        <is>
          <t>2026-03-07_HNTN_at_LNGR</t>
        </is>
      </c>
      <c r="D151" t="inlineStr">
        <is>
          <t>Bats and pitches</t>
        </is>
      </c>
    </row>
    <row r="152">
      <c r="A152" t="inlineStr">
        <is>
          <t>HNTN</t>
        </is>
      </c>
      <c r="B152" t="inlineStr">
        <is>
          <t>J Walter</t>
        </is>
      </c>
      <c r="C152" t="inlineStr">
        <is>
          <t>2026-03-07_HNTN_at_LNGR</t>
        </is>
      </c>
      <c r="D152" t="inlineStr">
        <is>
          <t>Bats and pitches</t>
        </is>
      </c>
    </row>
    <row r="153">
      <c r="A153" t="inlineStr">
        <is>
          <t>HNTN</t>
        </is>
      </c>
      <c r="B153" t="inlineStr">
        <is>
          <t>L Bennett</t>
        </is>
      </c>
      <c r="C153" t="inlineStr">
        <is>
          <t>2026-03-07_HNTN_at_LNGR</t>
        </is>
      </c>
      <c r="D153" t="inlineStr">
        <is>
          <t>Bats and pitches</t>
        </is>
      </c>
    </row>
    <row r="154">
      <c r="A154" t="inlineStr">
        <is>
          <t>HNTN</t>
        </is>
      </c>
      <c r="B154" t="inlineStr">
        <is>
          <t>L Montgomery</t>
        </is>
      </c>
      <c r="C154" t="inlineStr">
        <is>
          <t>2026-03-14_KNTS_at_HNTN</t>
        </is>
      </c>
    </row>
    <row r="155">
      <c r="A155" t="inlineStr">
        <is>
          <t>HNTN</t>
        </is>
      </c>
      <c r="B155" t="inlineStr">
        <is>
          <t>N McMurray</t>
        </is>
      </c>
      <c r="C155" t="inlineStr">
        <is>
          <t>2026-03-07_HNTN_at_LNGR</t>
        </is>
      </c>
      <c r="D155" t="inlineStr">
        <is>
          <t>Bats and pitches</t>
        </is>
      </c>
    </row>
    <row r="156">
      <c r="A156" t="inlineStr">
        <is>
          <t>HNTN</t>
        </is>
      </c>
      <c r="B156" t="inlineStr">
        <is>
          <t>R Bolger</t>
        </is>
      </c>
      <c r="C156" t="inlineStr">
        <is>
          <t>2026-03-07_HNTN_at_LNGR</t>
        </is>
      </c>
    </row>
    <row r="157">
      <c r="A157" t="inlineStr">
        <is>
          <t>HNTN</t>
        </is>
      </c>
      <c r="B157" t="inlineStr">
        <is>
          <t>R Gaetano</t>
        </is>
      </c>
      <c r="C157" t="inlineStr">
        <is>
          <t>2026-03-07_HNTN_at_LNGR</t>
        </is>
      </c>
    </row>
    <row r="158">
      <c r="A158" t="inlineStr">
        <is>
          <t>HNTN</t>
        </is>
      </c>
      <c r="B158" t="inlineStr">
        <is>
          <t>R Kessler</t>
        </is>
      </c>
      <c r="C158" t="inlineStr">
        <is>
          <t>2026-03-07_HNTN_at_LNGR</t>
        </is>
      </c>
      <c r="D158" t="inlineStr">
        <is>
          <t>Bats and pitches</t>
        </is>
      </c>
    </row>
    <row r="159">
      <c r="A159" t="inlineStr">
        <is>
          <t>HNTN</t>
        </is>
      </c>
      <c r="B159" t="inlineStr">
        <is>
          <t>T Burghard</t>
        </is>
      </c>
      <c r="C159" t="inlineStr">
        <is>
          <t>2026-03-14_KNTS_at_HNTN</t>
        </is>
      </c>
      <c r="D159" t="inlineStr">
        <is>
          <t>Bats and pitches</t>
        </is>
      </c>
    </row>
    <row r="160">
      <c r="A160" t="inlineStr">
        <is>
          <t>HWRD</t>
        </is>
      </c>
      <c r="B160" t="inlineStr">
        <is>
          <t>A Proescher</t>
        </is>
      </c>
      <c r="C160" t="inlineStr">
        <is>
          <t>2026-03-23_GLNL_at_HWRD</t>
        </is>
      </c>
    </row>
    <row r="161">
      <c r="A161" t="inlineStr">
        <is>
          <t>HWRD</t>
        </is>
      </c>
      <c r="B161" t="inlineStr">
        <is>
          <t>B Burckhardt</t>
        </is>
      </c>
      <c r="C161" t="inlineStr">
        <is>
          <t>2026-03-23_GLNL_at_HWRD</t>
        </is>
      </c>
    </row>
    <row r="162">
      <c r="A162" t="inlineStr">
        <is>
          <t>HWRD</t>
        </is>
      </c>
      <c r="B162" t="inlineStr">
        <is>
          <t>B Giangrasso</t>
        </is>
      </c>
      <c r="C162" t="inlineStr">
        <is>
          <t>2026-03-23_GLNL_at_HWRD</t>
        </is>
      </c>
    </row>
    <row r="163">
      <c r="A163" t="inlineStr">
        <is>
          <t>HWRD</t>
        </is>
      </c>
      <c r="B163" t="inlineStr">
        <is>
          <t>B Sawyer</t>
        </is>
      </c>
      <c r="C163" t="inlineStr">
        <is>
          <t>2026-03-23_GLNL_at_HWRD</t>
        </is>
      </c>
    </row>
    <row r="164">
      <c r="A164" t="inlineStr">
        <is>
          <t>HWRD</t>
        </is>
      </c>
      <c r="B164" t="inlineStr">
        <is>
          <t>C Hudson</t>
        </is>
      </c>
      <c r="C164" t="inlineStr">
        <is>
          <t>2026-03-23_GLNL_at_HWRD</t>
        </is>
      </c>
      <c r="D164" t="inlineStr">
        <is>
          <t>Bats and pitches</t>
        </is>
      </c>
    </row>
    <row r="165">
      <c r="A165" t="inlineStr">
        <is>
          <t>HWRD</t>
        </is>
      </c>
      <c r="B165" t="inlineStr">
        <is>
          <t>C Parise</t>
        </is>
      </c>
      <c r="C165" t="inlineStr">
        <is>
          <t>2026-03-23_GLNL_at_HWRD</t>
        </is>
      </c>
    </row>
    <row r="166">
      <c r="A166" t="inlineStr">
        <is>
          <t>HWRD</t>
        </is>
      </c>
      <c r="B166" t="inlineStr">
        <is>
          <t>D Alves</t>
        </is>
      </c>
      <c r="C166" t="inlineStr">
        <is>
          <t>2026-03-23_GLNL_at_HWRD</t>
        </is>
      </c>
    </row>
    <row r="167">
      <c r="A167" t="inlineStr">
        <is>
          <t>HWRD</t>
        </is>
      </c>
      <c r="B167" t="inlineStr">
        <is>
          <t>D Heim</t>
        </is>
      </c>
      <c r="C167" t="inlineStr">
        <is>
          <t>2026-03-23_GLNL_at_HWRD</t>
        </is>
      </c>
      <c r="D167" t="inlineStr">
        <is>
          <t>Bats and pitches</t>
        </is>
      </c>
    </row>
    <row r="168">
      <c r="A168" t="inlineStr">
        <is>
          <t>HWRD</t>
        </is>
      </c>
      <c r="B168" t="inlineStr">
        <is>
          <t>G Nystrom</t>
        </is>
      </c>
      <c r="C168" t="inlineStr">
        <is>
          <t>2026-03-23_GLNL_at_HWRD</t>
        </is>
      </c>
    </row>
    <row r="169">
      <c r="A169" t="inlineStr">
        <is>
          <t>HWRD</t>
        </is>
      </c>
      <c r="B169" t="inlineStr">
        <is>
          <t>N Hegedus</t>
        </is>
      </c>
      <c r="C169" t="inlineStr">
        <is>
          <t>2026-03-23_GLNL_at_HWRD</t>
        </is>
      </c>
    </row>
    <row r="170">
      <c r="A170" t="inlineStr">
        <is>
          <t>HWRD</t>
        </is>
      </c>
      <c r="B170" t="inlineStr">
        <is>
          <t>Z Blair</t>
        </is>
      </c>
      <c r="C170" t="inlineStr">
        <is>
          <t>2026-03-23_GLNL_at_HWRD</t>
        </is>
      </c>
    </row>
    <row r="171">
      <c r="A171" t="inlineStr">
        <is>
          <t>KNTS</t>
        </is>
      </c>
      <c r="B171" t="inlineStr">
        <is>
          <t>KNTS_#11</t>
        </is>
      </c>
      <c r="C171" t="inlineStr">
        <is>
          <t>2026-03-14_KNTS_at_HNTN</t>
        </is>
      </c>
    </row>
    <row r="172">
      <c r="A172" t="inlineStr">
        <is>
          <t>KNTS</t>
        </is>
      </c>
      <c r="B172" t="inlineStr">
        <is>
          <t>KNTS_#12</t>
        </is>
      </c>
      <c r="C172" t="inlineStr">
        <is>
          <t>2026-03-14_KNTS_at_HNTN</t>
        </is>
      </c>
    </row>
    <row r="173">
      <c r="A173" t="inlineStr">
        <is>
          <t>KNTS</t>
        </is>
      </c>
      <c r="B173" t="inlineStr">
        <is>
          <t>KNTS_#13</t>
        </is>
      </c>
      <c r="C173" t="inlineStr">
        <is>
          <t>2026-03-14_KNTS_at_HNTN</t>
        </is>
      </c>
    </row>
    <row r="174">
      <c r="A174" t="inlineStr">
        <is>
          <t>KNTS</t>
        </is>
      </c>
      <c r="B174" t="inlineStr">
        <is>
          <t>KNTS_#14</t>
        </is>
      </c>
      <c r="C174" t="inlineStr">
        <is>
          <t>2026-03-14_KNTS_at_HNTN</t>
        </is>
      </c>
    </row>
    <row r="175">
      <c r="A175" t="inlineStr">
        <is>
          <t>KNTS</t>
        </is>
      </c>
      <c r="B175" t="inlineStr">
        <is>
          <t>KNTS_#17</t>
        </is>
      </c>
      <c r="C175" t="inlineStr">
        <is>
          <t>2026-03-14_KNTS_at_HNTN</t>
        </is>
      </c>
      <c r="D175" t="inlineStr">
        <is>
          <t>Bats and pitches</t>
        </is>
      </c>
    </row>
    <row r="176">
      <c r="A176" t="inlineStr">
        <is>
          <t>KNTS</t>
        </is>
      </c>
      <c r="B176" t="inlineStr">
        <is>
          <t>KNTS_#2</t>
        </is>
      </c>
      <c r="C176" t="inlineStr">
        <is>
          <t>2026-03-14_KNTS_at_HNTN</t>
        </is>
      </c>
    </row>
    <row r="177">
      <c r="A177" t="inlineStr">
        <is>
          <t>KNTS</t>
        </is>
      </c>
      <c r="B177" t="inlineStr">
        <is>
          <t>KNTS_#3</t>
        </is>
      </c>
      <c r="C177" t="inlineStr">
        <is>
          <t>2026-03-14_KNTS_at_HNTN</t>
        </is>
      </c>
    </row>
    <row r="178">
      <c r="A178" t="inlineStr">
        <is>
          <t>KNTS</t>
        </is>
      </c>
      <c r="B178" t="inlineStr">
        <is>
          <t>KNTS_#5</t>
        </is>
      </c>
      <c r="C178" t="inlineStr">
        <is>
          <t>2026-03-14_KNTS_at_HNTN</t>
        </is>
      </c>
      <c r="D178" t="inlineStr">
        <is>
          <t>Pitcher only (no batting rows in log)</t>
        </is>
      </c>
    </row>
    <row r="179">
      <c r="A179" t="inlineStr">
        <is>
          <t>KNTS</t>
        </is>
      </c>
      <c r="B179" t="inlineStr">
        <is>
          <t>KNTS_#6</t>
        </is>
      </c>
      <c r="C179" t="inlineStr">
        <is>
          <t>2026-03-14_KNTS_at_HNTN</t>
        </is>
      </c>
      <c r="D179" t="inlineStr">
        <is>
          <t>Pitcher only (no batting rows in log)</t>
        </is>
      </c>
    </row>
    <row r="180">
      <c r="A180" t="inlineStr">
        <is>
          <t>KNTS</t>
        </is>
      </c>
      <c r="B180" t="inlineStr">
        <is>
          <t>KNTS_#7</t>
        </is>
      </c>
      <c r="C180" t="inlineStr">
        <is>
          <t>2026-03-14_KNTS_at_HNTN</t>
        </is>
      </c>
    </row>
    <row r="181">
      <c r="A181" t="inlineStr">
        <is>
          <t>KNTS</t>
        </is>
      </c>
      <c r="B181" t="inlineStr">
        <is>
          <t>KNTS_#8</t>
        </is>
      </c>
      <c r="C181" t="inlineStr">
        <is>
          <t>2026-03-14_KNTS_at_HNTN</t>
        </is>
      </c>
    </row>
    <row r="182">
      <c r="A182" t="inlineStr">
        <is>
          <t>KNTS</t>
        </is>
      </c>
      <c r="B182" t="inlineStr">
        <is>
          <t>KNTS_#9</t>
        </is>
      </c>
      <c r="C182" t="inlineStr">
        <is>
          <t>2026-03-14_KNTS_at_HNTN</t>
        </is>
      </c>
    </row>
    <row r="183">
      <c r="A183" t="inlineStr">
        <is>
          <t>KNTS</t>
        </is>
      </c>
      <c r="B183" t="inlineStr">
        <is>
          <t>KNTS_SP_Unknown</t>
        </is>
      </c>
      <c r="C183" t="inlineStr">
        <is>
          <t>2026-03-14_KNTS_at_HNTN</t>
        </is>
      </c>
      <c r="D183" t="inlineStr">
        <is>
          <t>Pitcher only (no batting rows in log)</t>
        </is>
      </c>
    </row>
    <row r="184">
      <c r="A184" t="inlineStr">
        <is>
          <t>LBRT</t>
        </is>
      </c>
      <c r="B184" t="inlineStr">
        <is>
          <t>B DiCerbo</t>
        </is>
      </c>
      <c r="C184" t="inlineStr">
        <is>
          <t>2026-03-14_LBRT_at_GLNL</t>
        </is>
      </c>
    </row>
    <row r="185">
      <c r="A185" t="inlineStr">
        <is>
          <t>LBRT</t>
        </is>
      </c>
      <c r="B185" t="inlineStr">
        <is>
          <t>B Freiert</t>
        </is>
      </c>
      <c r="C185" t="inlineStr">
        <is>
          <t>2026-03-14_LBRT_at_GLNL</t>
        </is>
      </c>
    </row>
    <row r="186">
      <c r="A186" t="inlineStr">
        <is>
          <t>LBRT</t>
        </is>
      </c>
      <c r="B186" t="inlineStr">
        <is>
          <t>B Knight</t>
        </is>
      </c>
      <c r="C186" t="inlineStr">
        <is>
          <t>2026-03-14_LBRT_at_GLNL</t>
        </is>
      </c>
    </row>
    <row r="187">
      <c r="A187" t="inlineStr">
        <is>
          <t>LBRT</t>
        </is>
      </c>
      <c r="B187" t="inlineStr">
        <is>
          <t>C DiCerbo</t>
        </is>
      </c>
      <c r="C187" t="inlineStr">
        <is>
          <t>2026-03-14_LBRT_at_GLNL</t>
        </is>
      </c>
      <c r="D187" t="inlineStr">
        <is>
          <t>Bats and pitches</t>
        </is>
      </c>
    </row>
    <row r="188">
      <c r="A188" t="inlineStr">
        <is>
          <t>LBRT</t>
        </is>
      </c>
      <c r="B188" t="inlineStr">
        <is>
          <t>C Hitzel</t>
        </is>
      </c>
      <c r="C188" t="inlineStr">
        <is>
          <t>2026-03-14_LBRT_at_GLNL</t>
        </is>
      </c>
    </row>
    <row r="189">
      <c r="A189" t="inlineStr">
        <is>
          <t>LBRT</t>
        </is>
      </c>
      <c r="B189" t="inlineStr">
        <is>
          <t>C Shanks</t>
        </is>
      </c>
      <c r="C189" t="inlineStr">
        <is>
          <t>2026-03-14_LBRT_at_GLNL</t>
        </is>
      </c>
    </row>
    <row r="190">
      <c r="A190" t="inlineStr">
        <is>
          <t>LBRT</t>
        </is>
      </c>
      <c r="B190" t="inlineStr">
        <is>
          <t>D McGarity</t>
        </is>
      </c>
      <c r="C190" t="inlineStr">
        <is>
          <t>2026-03-14_LBRT_at_GLNL</t>
        </is>
      </c>
    </row>
    <row r="191">
      <c r="A191" t="inlineStr">
        <is>
          <t>LBRT</t>
        </is>
      </c>
      <c r="B191" t="inlineStr">
        <is>
          <t>D Nelson</t>
        </is>
      </c>
      <c r="C191" t="inlineStr">
        <is>
          <t>2026-03-14_LBRT_at_GLNL</t>
        </is>
      </c>
      <c r="D191" t="inlineStr">
        <is>
          <t>Bats and pitches</t>
        </is>
      </c>
    </row>
    <row r="192">
      <c r="A192" t="inlineStr">
        <is>
          <t>LBRT</t>
        </is>
      </c>
      <c r="B192" t="inlineStr">
        <is>
          <t>J Hebert</t>
        </is>
      </c>
      <c r="C192" t="inlineStr">
        <is>
          <t>2026-03-14_LBRT_at_GLNL</t>
        </is>
      </c>
    </row>
    <row r="193">
      <c r="A193" t="inlineStr">
        <is>
          <t>LBRT</t>
        </is>
      </c>
      <c r="B193" t="inlineStr">
        <is>
          <t>J Sfanos</t>
        </is>
      </c>
      <c r="C193" t="inlineStr">
        <is>
          <t>2026-03-14_LBRT_at_GLNL</t>
        </is>
      </c>
    </row>
    <row r="194">
      <c r="A194" t="inlineStr">
        <is>
          <t>LBRT</t>
        </is>
      </c>
      <c r="B194" t="inlineStr">
        <is>
          <t>S Crochunis</t>
        </is>
      </c>
      <c r="C194" t="inlineStr">
        <is>
          <t>2026-03-14_LBRT_at_GLNL</t>
        </is>
      </c>
      <c r="D194" t="inlineStr">
        <is>
          <t>Bats and pitches</t>
        </is>
      </c>
    </row>
    <row r="195">
      <c r="A195" t="inlineStr">
        <is>
          <t>LBRT</t>
        </is>
      </c>
      <c r="B195" t="inlineStr">
        <is>
          <t>T Kane</t>
        </is>
      </c>
      <c r="C195" t="inlineStr">
        <is>
          <t>2026-03-14_LBRT_at_GLNL</t>
        </is>
      </c>
      <c r="D195" t="inlineStr">
        <is>
          <t>Bats and pitches</t>
        </is>
      </c>
    </row>
    <row r="196">
      <c r="A196" t="inlineStr">
        <is>
          <t>LNGR</t>
        </is>
      </c>
      <c r="B196" t="inlineStr">
        <is>
          <t>LNGR_#1</t>
        </is>
      </c>
      <c r="C196" t="inlineStr">
        <is>
          <t>2026-03-07_HNTN_at_LNGR</t>
        </is>
      </c>
    </row>
    <row r="197">
      <c r="A197" t="inlineStr">
        <is>
          <t>LNGR</t>
        </is>
      </c>
      <c r="B197" t="inlineStr">
        <is>
          <t>LNGR_#15</t>
        </is>
      </c>
      <c r="C197" t="inlineStr">
        <is>
          <t>2026-03-07_HNTN_at_LNGR</t>
        </is>
      </c>
      <c r="D197" t="inlineStr">
        <is>
          <t>Bats and pitches</t>
        </is>
      </c>
    </row>
    <row r="198">
      <c r="A198" t="inlineStr">
        <is>
          <t>LNGR</t>
        </is>
      </c>
      <c r="B198" t="inlineStr">
        <is>
          <t>LNGR_#16</t>
        </is>
      </c>
      <c r="C198" t="inlineStr">
        <is>
          <t>2026-03-07_HNTN_at_LNGR</t>
        </is>
      </c>
    </row>
    <row r="199">
      <c r="A199" t="inlineStr">
        <is>
          <t>LNGR</t>
        </is>
      </c>
      <c r="B199" t="inlineStr">
        <is>
          <t>LNGR_#17</t>
        </is>
      </c>
      <c r="C199" t="inlineStr">
        <is>
          <t>2026-03-07_HNTN_at_LNGR</t>
        </is>
      </c>
      <c r="D199" t="inlineStr">
        <is>
          <t>Bats and pitches</t>
        </is>
      </c>
    </row>
    <row r="200">
      <c r="A200" t="inlineStr">
        <is>
          <t>LNGR</t>
        </is>
      </c>
      <c r="B200" t="inlineStr">
        <is>
          <t>LNGR_#19</t>
        </is>
      </c>
      <c r="C200" t="inlineStr">
        <is>
          <t>2026-03-07_HNTN_at_LNGR</t>
        </is>
      </c>
    </row>
    <row r="201">
      <c r="A201" t="inlineStr">
        <is>
          <t>LNGR</t>
        </is>
      </c>
      <c r="B201" t="inlineStr">
        <is>
          <t>LNGR_#2</t>
        </is>
      </c>
      <c r="C201" t="inlineStr">
        <is>
          <t>2026-03-07_HNTN_at_LNGR</t>
        </is>
      </c>
    </row>
    <row r="202">
      <c r="A202" t="inlineStr">
        <is>
          <t>LNGR</t>
        </is>
      </c>
      <c r="B202" t="inlineStr">
        <is>
          <t>LNGR_#21</t>
        </is>
      </c>
      <c r="C202" t="inlineStr">
        <is>
          <t>2026-03-07_HNTN_at_LNGR</t>
        </is>
      </c>
    </row>
    <row r="203">
      <c r="A203" t="inlineStr">
        <is>
          <t>LNGR</t>
        </is>
      </c>
      <c r="B203" t="inlineStr">
        <is>
          <t>LNGR_#22</t>
        </is>
      </c>
      <c r="C203" t="inlineStr">
        <is>
          <t>2026-03-07_HNTN_at_LNGR</t>
        </is>
      </c>
    </row>
    <row r="204">
      <c r="A204" t="inlineStr">
        <is>
          <t>LNGR</t>
        </is>
      </c>
      <c r="B204" t="inlineStr">
        <is>
          <t>LNGR_#23</t>
        </is>
      </c>
      <c r="C204" t="inlineStr">
        <is>
          <t>2026-03-07_HNTN_at_LNGR</t>
        </is>
      </c>
    </row>
    <row r="205">
      <c r="A205" t="inlineStr">
        <is>
          <t>LNGR</t>
        </is>
      </c>
      <c r="B205" t="inlineStr">
        <is>
          <t>LNGR_#3</t>
        </is>
      </c>
      <c r="C205" t="inlineStr">
        <is>
          <t>2026-03-07_HNTN_at_LNGR</t>
        </is>
      </c>
      <c r="D205" t="inlineStr">
        <is>
          <t>Bats and pitches</t>
        </is>
      </c>
    </row>
    <row r="206">
      <c r="A206" t="inlineStr">
        <is>
          <t>LNGR</t>
        </is>
      </c>
      <c r="B206" t="inlineStr">
        <is>
          <t>LNGR_#4</t>
        </is>
      </c>
      <c r="C206" t="inlineStr">
        <is>
          <t>2026-03-07_HNTN_at_LNGR</t>
        </is>
      </c>
      <c r="D206" t="inlineStr">
        <is>
          <t>Bats and pitches</t>
        </is>
      </c>
    </row>
    <row r="207">
      <c r="A207" t="inlineStr">
        <is>
          <t>LNGR</t>
        </is>
      </c>
      <c r="B207" t="inlineStr">
        <is>
          <t>LNGR_#7</t>
        </is>
      </c>
      <c r="C207" t="inlineStr">
        <is>
          <t>2026-03-07_HNTN_at_LNGR</t>
        </is>
      </c>
      <c r="D207" t="inlineStr">
        <is>
          <t>Bats and pitches</t>
        </is>
      </c>
    </row>
    <row r="208">
      <c r="A208" t="inlineStr">
        <is>
          <t>MCDN</t>
        </is>
      </c>
      <c r="B208" t="inlineStr">
        <is>
          <t>MCDN_#10</t>
        </is>
      </c>
      <c r="C208" t="inlineStr">
        <is>
          <t>2026-03-25_MCDN_at_HNTN</t>
        </is>
      </c>
    </row>
    <row r="209">
      <c r="A209" t="inlineStr">
        <is>
          <t>MCDN</t>
        </is>
      </c>
      <c r="B209" t="inlineStr">
        <is>
          <t>MCDN_#13</t>
        </is>
      </c>
      <c r="C209" t="inlineStr">
        <is>
          <t>2026-03-25_MCDN_at_HNTN</t>
        </is>
      </c>
    </row>
    <row r="210">
      <c r="A210" t="inlineStr">
        <is>
          <t>MCDN</t>
        </is>
      </c>
      <c r="B210" t="inlineStr">
        <is>
          <t>MCDN_#16</t>
        </is>
      </c>
      <c r="C210" t="inlineStr">
        <is>
          <t>2026-03-25_MCDN_at_HNTN</t>
        </is>
      </c>
    </row>
    <row r="211">
      <c r="A211" t="inlineStr">
        <is>
          <t>MCDN</t>
        </is>
      </c>
      <c r="B211" t="inlineStr">
        <is>
          <t>MCDN_#17</t>
        </is>
      </c>
      <c r="C211" t="inlineStr">
        <is>
          <t>2026-03-25_MCDN_at_HNTN</t>
        </is>
      </c>
    </row>
    <row r="212">
      <c r="A212" t="inlineStr">
        <is>
          <t>MCDN</t>
        </is>
      </c>
      <c r="B212" t="inlineStr">
        <is>
          <t>MCDN_#18</t>
        </is>
      </c>
      <c r="C212" t="inlineStr">
        <is>
          <t>2026-03-25_MCDN_at_HNTN</t>
        </is>
      </c>
      <c r="D212" t="inlineStr">
        <is>
          <t>Bats and pitches</t>
        </is>
      </c>
    </row>
    <row r="213">
      <c r="A213" t="inlineStr">
        <is>
          <t>MCDN</t>
        </is>
      </c>
      <c r="B213" t="inlineStr">
        <is>
          <t>MCDN_#20</t>
        </is>
      </c>
      <c r="C213" t="inlineStr">
        <is>
          <t>2026-03-25_MCDN_at_HNTN</t>
        </is>
      </c>
      <c r="D213" t="inlineStr">
        <is>
          <t>Bats and pitches</t>
        </is>
      </c>
    </row>
    <row r="214">
      <c r="A214" t="inlineStr">
        <is>
          <t>MCDN</t>
        </is>
      </c>
      <c r="B214" t="inlineStr">
        <is>
          <t>MCDN_#21</t>
        </is>
      </c>
      <c r="C214" t="inlineStr">
        <is>
          <t>2026-03-25_MCDN_at_HNTN</t>
        </is>
      </c>
      <c r="D214" t="inlineStr">
        <is>
          <t>Bats and pitches</t>
        </is>
      </c>
    </row>
    <row r="215">
      <c r="A215" t="inlineStr">
        <is>
          <t>MCDN</t>
        </is>
      </c>
      <c r="B215" t="inlineStr">
        <is>
          <t>MCDN_#3</t>
        </is>
      </c>
      <c r="C215" t="inlineStr">
        <is>
          <t>2026-03-25_MCDN_at_HNTN</t>
        </is>
      </c>
    </row>
    <row r="216">
      <c r="A216" t="inlineStr">
        <is>
          <t>MCDN</t>
        </is>
      </c>
      <c r="B216" t="inlineStr">
        <is>
          <t>MCDN_#4</t>
        </is>
      </c>
      <c r="C216" t="inlineStr">
        <is>
          <t>2026-03-25_MCDN_at_HNTN</t>
        </is>
      </c>
    </row>
    <row r="217">
      <c r="A217" t="inlineStr">
        <is>
          <t>MCDN</t>
        </is>
      </c>
      <c r="B217" t="inlineStr">
        <is>
          <t>MCDN_#5</t>
        </is>
      </c>
      <c r="C217" t="inlineStr">
        <is>
          <t>2026-03-25_MCDN_at_HNTN</t>
        </is>
      </c>
    </row>
    <row r="218">
      <c r="A218" t="inlineStr">
        <is>
          <t>MCDN</t>
        </is>
      </c>
      <c r="B218" t="inlineStr">
        <is>
          <t>MCDN_#8</t>
        </is>
      </c>
      <c r="C218" t="inlineStr">
        <is>
          <t>2026-03-25_MCDN_at_HNTN</t>
        </is>
      </c>
    </row>
    <row r="219">
      <c r="A219" t="inlineStr">
        <is>
          <t>MRRT</t>
        </is>
      </c>
      <c r="B219" t="inlineStr">
        <is>
          <t>#2</t>
        </is>
      </c>
      <c r="C219" t="inlineStr">
        <is>
          <t>2026-03-14_NRTH_at_MRRT</t>
        </is>
      </c>
    </row>
    <row r="220">
      <c r="A220" t="inlineStr">
        <is>
          <t>MRRT</t>
        </is>
      </c>
      <c r="B220" t="inlineStr">
        <is>
          <t>#6</t>
        </is>
      </c>
      <c r="C220" t="inlineStr">
        <is>
          <t>2026-03-14_NRTH_at_MRRT</t>
        </is>
      </c>
    </row>
    <row r="221">
      <c r="A221" t="inlineStr">
        <is>
          <t>MRRT</t>
        </is>
      </c>
      <c r="B221" t="inlineStr">
        <is>
          <t>A Devito</t>
        </is>
      </c>
      <c r="C221" t="inlineStr">
        <is>
          <t>2026-03-14_NRTH_at_MRRT</t>
        </is>
      </c>
    </row>
    <row r="222">
      <c r="A222" t="inlineStr">
        <is>
          <t>MRRT</t>
        </is>
      </c>
      <c r="B222" t="inlineStr">
        <is>
          <t>A Hlavaty</t>
        </is>
      </c>
      <c r="C222" t="inlineStr">
        <is>
          <t>2026-03-14_NRTH_at_MRRT</t>
        </is>
      </c>
    </row>
    <row r="223">
      <c r="A223" t="inlineStr">
        <is>
          <t>MRRT</t>
        </is>
      </c>
      <c r="B223" t="inlineStr">
        <is>
          <t>A Schwendeman</t>
        </is>
      </c>
      <c r="C223" t="inlineStr">
        <is>
          <t>2026-03-14_NRTH_at_MRRT</t>
        </is>
      </c>
    </row>
    <row r="224">
      <c r="A224" t="inlineStr">
        <is>
          <t>MRRT</t>
        </is>
      </c>
      <c r="B224" t="inlineStr">
        <is>
          <t>B Balighian</t>
        </is>
      </c>
      <c r="C224" t="inlineStr">
        <is>
          <t>2026-03-14_NRTH_at_MRRT</t>
        </is>
      </c>
    </row>
    <row r="225">
      <c r="A225" t="inlineStr">
        <is>
          <t>MRRT</t>
        </is>
      </c>
      <c r="B225" t="inlineStr">
        <is>
          <t>J Devito</t>
        </is>
      </c>
      <c r="C225" t="inlineStr">
        <is>
          <t>2026-03-14_NRTH_at_MRRT</t>
        </is>
      </c>
    </row>
    <row r="226">
      <c r="A226" t="inlineStr">
        <is>
          <t>MRRT</t>
        </is>
      </c>
      <c r="B226" t="inlineStr">
        <is>
          <t>J Ketterer</t>
        </is>
      </c>
      <c r="C226" t="inlineStr">
        <is>
          <t>2026-03-14_NRTH_at_MRRT</t>
        </is>
      </c>
    </row>
    <row r="227">
      <c r="A227" t="inlineStr">
        <is>
          <t>MRRT</t>
        </is>
      </c>
      <c r="B227" t="inlineStr">
        <is>
          <t>J Yeich</t>
        </is>
      </c>
      <c r="C227" t="inlineStr">
        <is>
          <t>2026-03-14_NRTH_at_MRRT</t>
        </is>
      </c>
      <c r="D227" t="inlineStr">
        <is>
          <t>Bats and pitches</t>
        </is>
      </c>
    </row>
    <row r="228">
      <c r="A228" t="inlineStr">
        <is>
          <t>MRRT</t>
        </is>
      </c>
      <c r="B228" t="inlineStr">
        <is>
          <t>K Yarema</t>
        </is>
      </c>
      <c r="C228" t="inlineStr">
        <is>
          <t>2026-03-14_NRTH_at_MRRT</t>
        </is>
      </c>
    </row>
    <row r="229">
      <c r="A229" t="inlineStr">
        <is>
          <t>MRRT</t>
        </is>
      </c>
      <c r="B229" t="inlineStr">
        <is>
          <t>M Delmonte</t>
        </is>
      </c>
      <c r="C229" t="inlineStr">
        <is>
          <t>2026-03-14_NRTH_at_MRRT</t>
        </is>
      </c>
    </row>
    <row r="230">
      <c r="A230" t="inlineStr">
        <is>
          <t>MRRT</t>
        </is>
      </c>
      <c r="B230" t="inlineStr">
        <is>
          <t>M Parson</t>
        </is>
      </c>
      <c r="C230" t="inlineStr">
        <is>
          <t>2026-03-14_NRTH_at_MRRT</t>
        </is>
      </c>
    </row>
    <row r="231">
      <c r="A231" t="inlineStr">
        <is>
          <t>MRRT</t>
        </is>
      </c>
      <c r="B231" t="inlineStr">
        <is>
          <t>N Brown</t>
        </is>
      </c>
      <c r="C231" t="inlineStr">
        <is>
          <t>2026-03-14_NRTH_at_MRRT</t>
        </is>
      </c>
    </row>
    <row r="232">
      <c r="A232" t="inlineStr">
        <is>
          <t>MRRT</t>
        </is>
      </c>
      <c r="B232" t="inlineStr">
        <is>
          <t>O Snow</t>
        </is>
      </c>
      <c r="C232" t="inlineStr">
        <is>
          <t>2026-03-14_NRTH_at_MRRT</t>
        </is>
      </c>
    </row>
    <row r="233">
      <c r="A233" t="inlineStr">
        <is>
          <t>MRRT</t>
        </is>
      </c>
      <c r="B233" t="inlineStr">
        <is>
          <t>R Marsili</t>
        </is>
      </c>
      <c r="C233" t="inlineStr">
        <is>
          <t>2026-03-14_NRTH_at_MRRT</t>
        </is>
      </c>
      <c r="D233" t="inlineStr">
        <is>
          <t>Bats and pitches</t>
        </is>
      </c>
    </row>
    <row r="234">
      <c r="A234" t="inlineStr">
        <is>
          <t>MRRT</t>
        </is>
      </c>
      <c r="B234" t="inlineStr">
        <is>
          <t>S Grams</t>
        </is>
      </c>
      <c r="C234" t="inlineStr">
        <is>
          <t>2026-03-14_NRTH_at_MRRT</t>
        </is>
      </c>
    </row>
    <row r="235">
      <c r="A235" t="inlineStr">
        <is>
          <t>MRRT</t>
        </is>
      </c>
      <c r="B235" t="inlineStr">
        <is>
          <t>S Thomas</t>
        </is>
      </c>
      <c r="C235" t="inlineStr">
        <is>
          <t>2026-03-14_NRTH_at_MRRT</t>
        </is>
      </c>
      <c r="D235" t="inlineStr">
        <is>
          <t>Bats and pitches</t>
        </is>
      </c>
    </row>
    <row r="236">
      <c r="A236" t="inlineStr">
        <is>
          <t>MRRT</t>
        </is>
      </c>
      <c r="B236" t="inlineStr">
        <is>
          <t>T Rauscher</t>
        </is>
      </c>
      <c r="C236" t="inlineStr">
        <is>
          <t>2026-03-14_NRTH_at_MRRT</t>
        </is>
      </c>
    </row>
    <row r="237">
      <c r="A237" t="inlineStr">
        <is>
          <t>MRRT</t>
        </is>
      </c>
      <c r="B237" t="inlineStr">
        <is>
          <t>T Smith</t>
        </is>
      </c>
      <c r="C237" t="inlineStr">
        <is>
          <t>2026-03-14_NRTH_at_MRRT</t>
        </is>
      </c>
      <c r="D237" t="inlineStr">
        <is>
          <t>Bats and pitches</t>
        </is>
      </c>
    </row>
    <row r="238">
      <c r="A238" t="inlineStr">
        <is>
          <t>MRRT</t>
        </is>
      </c>
      <c r="B238" t="inlineStr">
        <is>
          <t>Z Magee</t>
        </is>
      </c>
      <c r="C238" t="inlineStr">
        <is>
          <t>2026-03-14_NRTH_at_MRRT</t>
        </is>
      </c>
    </row>
    <row r="239">
      <c r="A239" t="inlineStr">
        <is>
          <t>NRTH</t>
        </is>
      </c>
      <c r="B239" t="inlineStr">
        <is>
          <t>A Espejo</t>
        </is>
      </c>
      <c r="C239" t="inlineStr">
        <is>
          <t>2026-03-07_ELNR_at_NRTH</t>
        </is>
      </c>
      <c r="D239" t="inlineStr">
        <is>
          <t>Bats and pitches</t>
        </is>
      </c>
    </row>
    <row r="240">
      <c r="A240" t="inlineStr">
        <is>
          <t>NRTH</t>
        </is>
      </c>
      <c r="B240" t="inlineStr">
        <is>
          <t>A Harding</t>
        </is>
      </c>
      <c r="C240" t="inlineStr">
        <is>
          <t>2026-03-07_ELNR_at_NRTH</t>
        </is>
      </c>
      <c r="D240" t="inlineStr">
        <is>
          <t>Bats and pitches</t>
        </is>
      </c>
    </row>
    <row r="241">
      <c r="A241" t="inlineStr">
        <is>
          <t>NRTH</t>
        </is>
      </c>
      <c r="B241" t="inlineStr">
        <is>
          <t>A Thomas</t>
        </is>
      </c>
      <c r="C241" t="inlineStr">
        <is>
          <t>2026-03-07_ELNR_at_NRTH</t>
        </is>
      </c>
    </row>
    <row r="242">
      <c r="A242" t="inlineStr">
        <is>
          <t>NRTH</t>
        </is>
      </c>
      <c r="B242" t="inlineStr">
        <is>
          <t>A Williams</t>
        </is>
      </c>
      <c r="C242" t="inlineStr">
        <is>
          <t>2026-03-07_ELNR_at_NRTH</t>
        </is>
      </c>
    </row>
    <row r="243">
      <c r="A243" t="inlineStr">
        <is>
          <t>NRTH</t>
        </is>
      </c>
      <c r="B243" t="inlineStr">
        <is>
          <t>C Harrigan</t>
        </is>
      </c>
      <c r="C243" t="inlineStr">
        <is>
          <t>2026-03-26_THMS_at_NRTH</t>
        </is>
      </c>
    </row>
    <row r="244">
      <c r="A244" t="inlineStr">
        <is>
          <t>NRTH</t>
        </is>
      </c>
      <c r="B244" t="inlineStr">
        <is>
          <t>C Pettko</t>
        </is>
      </c>
      <c r="C244" t="inlineStr">
        <is>
          <t>2026-03-07_ELNR_at_NRTH</t>
        </is>
      </c>
      <c r="D244" t="inlineStr">
        <is>
          <t>Bats and pitches</t>
        </is>
      </c>
    </row>
    <row r="245">
      <c r="A245" t="inlineStr">
        <is>
          <t>NRTH</t>
        </is>
      </c>
      <c r="B245" t="inlineStr">
        <is>
          <t>E Zimmerman</t>
        </is>
      </c>
      <c r="C245" t="inlineStr">
        <is>
          <t>2026-03-07_ELNR_at_NRTH</t>
        </is>
      </c>
      <c r="D245" t="inlineStr">
        <is>
          <t>Bats and pitches</t>
        </is>
      </c>
    </row>
    <row r="246">
      <c r="A246" t="inlineStr">
        <is>
          <t>NRTH</t>
        </is>
      </c>
      <c r="B246" t="inlineStr">
        <is>
          <t>J Borawski</t>
        </is>
      </c>
      <c r="C246" t="inlineStr">
        <is>
          <t>2026-03-26_THMS_at_NRTH</t>
        </is>
      </c>
    </row>
    <row r="247">
      <c r="A247" t="inlineStr">
        <is>
          <t>NRTH</t>
        </is>
      </c>
      <c r="B247" t="inlineStr">
        <is>
          <t>J Smith</t>
        </is>
      </c>
      <c r="C247" t="inlineStr">
        <is>
          <t>2026-03-07_ELNR_at_NRTH</t>
        </is>
      </c>
      <c r="D247" t="inlineStr">
        <is>
          <t>Bats and pitches</t>
        </is>
      </c>
    </row>
    <row r="248">
      <c r="A248" t="inlineStr">
        <is>
          <t>NRTH</t>
        </is>
      </c>
      <c r="B248" t="inlineStr">
        <is>
          <t>NRTH_#1</t>
        </is>
      </c>
      <c r="C248" t="inlineStr">
        <is>
          <t>2026-03-18_NRTH_at_HNTN</t>
        </is>
      </c>
    </row>
    <row r="249">
      <c r="A249" t="inlineStr">
        <is>
          <t>NRTH</t>
        </is>
      </c>
      <c r="B249" t="inlineStr">
        <is>
          <t>NRTH_#10</t>
        </is>
      </c>
      <c r="C249" t="inlineStr">
        <is>
          <t>2026-03-18_NRTH_at_HNTN</t>
        </is>
      </c>
    </row>
    <row r="250">
      <c r="A250" t="inlineStr">
        <is>
          <t>NRTH</t>
        </is>
      </c>
      <c r="B250" t="inlineStr">
        <is>
          <t>NRTH_#11</t>
        </is>
      </c>
      <c r="C250" t="inlineStr">
        <is>
          <t>2026-03-18_NRTH_at_HNTN</t>
        </is>
      </c>
    </row>
    <row r="251">
      <c r="A251" t="inlineStr">
        <is>
          <t>NRTH</t>
        </is>
      </c>
      <c r="B251" t="inlineStr">
        <is>
          <t>NRTH_#13</t>
        </is>
      </c>
      <c r="C251" t="inlineStr">
        <is>
          <t>2026-03-18_NRTH_at_HNTN</t>
        </is>
      </c>
    </row>
    <row r="252">
      <c r="A252" t="inlineStr">
        <is>
          <t>NRTH</t>
        </is>
      </c>
      <c r="B252" t="inlineStr">
        <is>
          <t>NRTH_#16</t>
        </is>
      </c>
      <c r="C252" t="inlineStr">
        <is>
          <t>2026-03-18_NRTH_at_HNTN</t>
        </is>
      </c>
      <c r="D252" t="inlineStr">
        <is>
          <t>Bats and pitches</t>
        </is>
      </c>
    </row>
    <row r="253">
      <c r="A253" t="inlineStr">
        <is>
          <t>NRTH</t>
        </is>
      </c>
      <c r="B253" t="inlineStr">
        <is>
          <t>NRTH_#2</t>
        </is>
      </c>
      <c r="C253" t="inlineStr">
        <is>
          <t>2026-03-18_NRTH_at_HNTN</t>
        </is>
      </c>
    </row>
    <row r="254">
      <c r="A254" t="inlineStr">
        <is>
          <t>NRTH</t>
        </is>
      </c>
      <c r="B254" t="inlineStr">
        <is>
          <t>NRTH_#20</t>
        </is>
      </c>
      <c r="C254" t="inlineStr">
        <is>
          <t>2026-03-18_NRTH_at_HNTN</t>
        </is>
      </c>
    </row>
    <row r="255">
      <c r="A255" t="inlineStr">
        <is>
          <t>NRTH</t>
        </is>
      </c>
      <c r="B255" t="inlineStr">
        <is>
          <t>NRTH_#24</t>
        </is>
      </c>
      <c r="C255" t="inlineStr">
        <is>
          <t>2026-03-18_NRTH_at_HNTN</t>
        </is>
      </c>
    </row>
    <row r="256">
      <c r="A256" t="inlineStr">
        <is>
          <t>NRTH</t>
        </is>
      </c>
      <c r="B256" t="inlineStr">
        <is>
          <t>NRTH_#5</t>
        </is>
      </c>
      <c r="C256" t="inlineStr">
        <is>
          <t>2026-03-18_NRTH_at_HNTN</t>
        </is>
      </c>
    </row>
    <row r="257">
      <c r="A257" t="inlineStr">
        <is>
          <t>NRTH</t>
        </is>
      </c>
      <c r="B257" t="inlineStr">
        <is>
          <t>NRTH_#6</t>
        </is>
      </c>
      <c r="C257" t="inlineStr">
        <is>
          <t>2026-03-18_NRTH_at_HNTN</t>
        </is>
      </c>
    </row>
    <row r="258">
      <c r="A258" t="inlineStr">
        <is>
          <t>NRTH</t>
        </is>
      </c>
      <c r="B258" t="inlineStr">
        <is>
          <t>NRTH_#7</t>
        </is>
      </c>
      <c r="C258" t="inlineStr">
        <is>
          <t>2026-03-18_NRTH_at_HNTN</t>
        </is>
      </c>
      <c r="D258" t="inlineStr">
        <is>
          <t>Bats and pitches</t>
        </is>
      </c>
    </row>
    <row r="259">
      <c r="A259" t="inlineStr">
        <is>
          <t>NRTH</t>
        </is>
      </c>
      <c r="B259" t="inlineStr">
        <is>
          <t>NRTH_#8</t>
        </is>
      </c>
      <c r="C259" t="inlineStr">
        <is>
          <t>2026-03-18_NRTH_at_HNTN</t>
        </is>
      </c>
      <c r="D259" t="inlineStr">
        <is>
          <t>Pitcher only (no batting rows in log)</t>
        </is>
      </c>
    </row>
    <row r="260">
      <c r="A260" t="inlineStr">
        <is>
          <t>NRTH</t>
        </is>
      </c>
      <c r="B260" t="inlineStr">
        <is>
          <t>NRTH_#9</t>
        </is>
      </c>
      <c r="C260" t="inlineStr">
        <is>
          <t>2026-03-18_NRTH_at_HNTN</t>
        </is>
      </c>
      <c r="D260" t="inlineStr">
        <is>
          <t>Bats and pitches</t>
        </is>
      </c>
    </row>
    <row r="261">
      <c r="A261" t="inlineStr">
        <is>
          <t>NRTH</t>
        </is>
      </c>
      <c r="B261" t="inlineStr">
        <is>
          <t>NRTH_3B_Unknown</t>
        </is>
      </c>
      <c r="C261" t="inlineStr">
        <is>
          <t>2026-03-18_NRTH_at_HNTN</t>
        </is>
      </c>
    </row>
    <row r="262">
      <c r="A262" t="inlineStr">
        <is>
          <t>NRTH</t>
        </is>
      </c>
      <c r="B262" t="inlineStr">
        <is>
          <t>Pettro</t>
        </is>
      </c>
      <c r="C262" t="inlineStr">
        <is>
          <t>2026-04-01_RVRH_at_NRTH</t>
        </is>
      </c>
    </row>
    <row r="263">
      <c r="A263" t="inlineStr">
        <is>
          <t>NRTH</t>
        </is>
      </c>
      <c r="B263" t="inlineStr">
        <is>
          <t>S Dixon</t>
        </is>
      </c>
      <c r="C263" t="inlineStr">
        <is>
          <t>2026-03-07_ELNR_at_NRTH</t>
        </is>
      </c>
    </row>
    <row r="264">
      <c r="A264" t="inlineStr">
        <is>
          <t>NRTH</t>
        </is>
      </c>
      <c r="B264" t="inlineStr">
        <is>
          <t>T Roy</t>
        </is>
      </c>
      <c r="C264" t="inlineStr">
        <is>
          <t>2026-03-07_ELNR_at_NRTH</t>
        </is>
      </c>
      <c r="D264" t="inlineStr">
        <is>
          <t>Bats and pitches</t>
        </is>
      </c>
    </row>
    <row r="265">
      <c r="A265" t="inlineStr">
        <is>
          <t>NRTH</t>
        </is>
      </c>
      <c r="B265" t="inlineStr">
        <is>
          <t>W Kwisnek</t>
        </is>
      </c>
      <c r="C265" t="inlineStr">
        <is>
          <t>2026-03-07_ELNR_at_NRTH</t>
        </is>
      </c>
      <c r="D265" t="inlineStr">
        <is>
          <t>Bats and pitches</t>
        </is>
      </c>
    </row>
    <row r="266">
      <c r="A266" t="inlineStr">
        <is>
          <t>NRTH</t>
        </is>
      </c>
      <c r="B266" t="inlineStr">
        <is>
          <t>Z Bowman</t>
        </is>
      </c>
      <c r="C266" t="inlineStr">
        <is>
          <t>2026-03-07_ELNR_at_NRTH</t>
        </is>
      </c>
      <c r="D266" t="inlineStr">
        <is>
          <t>Bats and pitches</t>
        </is>
      </c>
    </row>
    <row r="267">
      <c r="A267" t="inlineStr">
        <is>
          <t>OKDL</t>
        </is>
      </c>
      <c r="B267" t="inlineStr">
        <is>
          <t>B Yowell</t>
        </is>
      </c>
      <c r="C267" t="inlineStr">
        <is>
          <t>2026-03-14_GLNL_at_OKDL</t>
        </is>
      </c>
      <c r="D267" t="inlineStr">
        <is>
          <t>Pitcher only (no batting rows in log)</t>
        </is>
      </c>
    </row>
    <row r="268">
      <c r="A268" t="inlineStr">
        <is>
          <t>OKDL</t>
        </is>
      </c>
      <c r="B268" t="inlineStr">
        <is>
          <t>C DeWaal</t>
        </is>
      </c>
      <c r="C268" t="inlineStr">
        <is>
          <t>2026-03-14_GLNL_at_OKDL</t>
        </is>
      </c>
    </row>
    <row r="269">
      <c r="A269" t="inlineStr">
        <is>
          <t>OKDL</t>
        </is>
      </c>
      <c r="B269" t="inlineStr">
        <is>
          <t>C Scarzello</t>
        </is>
      </c>
      <c r="C269" t="inlineStr">
        <is>
          <t>2026-03-14_GLNL_at_OKDL</t>
        </is>
      </c>
    </row>
    <row r="270">
      <c r="A270" t="inlineStr">
        <is>
          <t>OKDL</t>
        </is>
      </c>
      <c r="B270" t="inlineStr">
        <is>
          <t>C Thompson</t>
        </is>
      </c>
      <c r="C270" t="inlineStr">
        <is>
          <t>2026-03-14_GLNL_at_OKDL</t>
        </is>
      </c>
      <c r="D270" t="inlineStr">
        <is>
          <t>Bats and pitches</t>
        </is>
      </c>
    </row>
    <row r="271">
      <c r="A271" t="inlineStr">
        <is>
          <t>OKDL</t>
        </is>
      </c>
      <c r="B271" t="inlineStr">
        <is>
          <t>D O'Conner</t>
        </is>
      </c>
      <c r="C271" t="inlineStr">
        <is>
          <t>2026-03-14_GLNL_at_OKDL</t>
        </is>
      </c>
    </row>
    <row r="272">
      <c r="A272" t="inlineStr">
        <is>
          <t>OKDL</t>
        </is>
      </c>
      <c r="B272" t="inlineStr">
        <is>
          <t>G Beaver</t>
        </is>
      </c>
      <c r="C272" t="inlineStr">
        <is>
          <t>2026-03-14_GLNL_at_OKDL</t>
        </is>
      </c>
    </row>
    <row r="273">
      <c r="A273" t="inlineStr">
        <is>
          <t>OKDL</t>
        </is>
      </c>
      <c r="B273" t="inlineStr">
        <is>
          <t>K Huynh</t>
        </is>
      </c>
      <c r="C273" t="inlineStr">
        <is>
          <t>2026-03-14_GLNL_at_OKDL</t>
        </is>
      </c>
    </row>
    <row r="274">
      <c r="A274" t="inlineStr">
        <is>
          <t>OKDL</t>
        </is>
      </c>
      <c r="B274" t="inlineStr">
        <is>
          <t>L Patterson</t>
        </is>
      </c>
      <c r="C274" t="inlineStr">
        <is>
          <t>2026-03-14_GLNL_at_OKDL</t>
        </is>
      </c>
    </row>
    <row r="275">
      <c r="A275" t="inlineStr">
        <is>
          <t>OKDL</t>
        </is>
      </c>
      <c r="B275" t="inlineStr">
        <is>
          <t>L Rosenberg</t>
        </is>
      </c>
      <c r="C275" t="inlineStr">
        <is>
          <t>2026-03-14_GLNL_at_OKDL</t>
        </is>
      </c>
    </row>
    <row r="276">
      <c r="A276" t="inlineStr">
        <is>
          <t>OKDL</t>
        </is>
      </c>
      <c r="B276" t="inlineStr">
        <is>
          <t>N Noweski</t>
        </is>
      </c>
      <c r="C276" t="inlineStr">
        <is>
          <t>2026-03-14_GLNL_at_OKDL</t>
        </is>
      </c>
    </row>
    <row r="277">
      <c r="A277" t="inlineStr">
        <is>
          <t>OKDL</t>
        </is>
      </c>
      <c r="B277" t="inlineStr">
        <is>
          <t>P Dix</t>
        </is>
      </c>
      <c r="C277" t="inlineStr">
        <is>
          <t>2026-03-14_GLNL_at_OKDL</t>
        </is>
      </c>
      <c r="D277" t="inlineStr">
        <is>
          <t>Bats and pitches</t>
        </is>
      </c>
    </row>
    <row r="278">
      <c r="A278" t="inlineStr">
        <is>
          <t>OLDM</t>
        </is>
      </c>
      <c r="B278" t="inlineStr">
        <is>
          <t>B Rzepkoski</t>
        </is>
      </c>
      <c r="C278" t="inlineStr">
        <is>
          <t>2026-04-01_OLDM_at_RVRH</t>
        </is>
      </c>
      <c r="D278" t="inlineStr">
        <is>
          <t>Bats and pitches</t>
        </is>
      </c>
    </row>
    <row r="279">
      <c r="A279" t="inlineStr">
        <is>
          <t>OLDM</t>
        </is>
      </c>
      <c r="B279" t="inlineStr">
        <is>
          <t>C Bonner</t>
        </is>
      </c>
      <c r="C279" t="inlineStr">
        <is>
          <t>2026-04-01_OLDM_at_RVRH</t>
        </is>
      </c>
    </row>
    <row r="280">
      <c r="A280" t="inlineStr">
        <is>
          <t>OLDM</t>
        </is>
      </c>
      <c r="B280" t="inlineStr">
        <is>
          <t>C Hairston</t>
        </is>
      </c>
      <c r="C280" t="inlineStr">
        <is>
          <t>2026-04-01_OLDM_at_RVRH</t>
        </is>
      </c>
    </row>
    <row r="281">
      <c r="A281" t="inlineStr">
        <is>
          <t>OLDM</t>
        </is>
      </c>
      <c r="B281" t="inlineStr">
        <is>
          <t>C Koreck</t>
        </is>
      </c>
      <c r="C281" t="inlineStr">
        <is>
          <t>2026-04-01_OLDM_at_RVRH</t>
        </is>
      </c>
      <c r="D281" t="inlineStr">
        <is>
          <t>Bats and pitches</t>
        </is>
      </c>
    </row>
    <row r="282">
      <c r="A282" t="inlineStr">
        <is>
          <t>OLDM</t>
        </is>
      </c>
      <c r="B282" t="inlineStr">
        <is>
          <t>J Wilbon</t>
        </is>
      </c>
      <c r="C282" t="inlineStr">
        <is>
          <t>2026-04-01_OLDM_at_RVRH</t>
        </is>
      </c>
    </row>
    <row r="283">
      <c r="A283" t="inlineStr">
        <is>
          <t>OLDM</t>
        </is>
      </c>
      <c r="B283" t="inlineStr">
        <is>
          <t>K Poucher</t>
        </is>
      </c>
      <c r="C283" t="inlineStr">
        <is>
          <t>2026-04-01_OLDM_at_RVRH</t>
        </is>
      </c>
    </row>
    <row r="284">
      <c r="A284" t="inlineStr">
        <is>
          <t>OLDM</t>
        </is>
      </c>
      <c r="B284" t="inlineStr">
        <is>
          <t>L McConville</t>
        </is>
      </c>
      <c r="C284" t="inlineStr">
        <is>
          <t>2026-04-01_OLDM_at_RVRH</t>
        </is>
      </c>
    </row>
    <row r="285">
      <c r="A285" t="inlineStr">
        <is>
          <t>OLDM</t>
        </is>
      </c>
      <c r="B285" t="inlineStr">
        <is>
          <t>M Dauer-McGarrett</t>
        </is>
      </c>
      <c r="C285" t="inlineStr">
        <is>
          <t>2026-04-01_OLDM_at_RVRH</t>
        </is>
      </c>
    </row>
    <row r="286">
      <c r="A286" t="inlineStr">
        <is>
          <t>OLDM</t>
        </is>
      </c>
      <c r="B286" t="inlineStr">
        <is>
          <t>R Harting</t>
        </is>
      </c>
      <c r="C286" t="inlineStr">
        <is>
          <t>2026-04-01_OLDM_at_RVRH</t>
        </is>
      </c>
      <c r="D286" t="inlineStr">
        <is>
          <t>Pitcher only (no batting rows in log)</t>
        </is>
      </c>
    </row>
    <row r="287">
      <c r="A287" t="inlineStr">
        <is>
          <t>OLDM</t>
        </is>
      </c>
      <c r="B287" t="inlineStr">
        <is>
          <t>S Perron</t>
        </is>
      </c>
      <c r="C287" t="inlineStr">
        <is>
          <t>2026-04-01_OLDM_at_RVRH</t>
        </is>
      </c>
    </row>
    <row r="288">
      <c r="A288" t="inlineStr">
        <is>
          <t>OLDM</t>
        </is>
      </c>
      <c r="B288" t="inlineStr">
        <is>
          <t>T Martini</t>
        </is>
      </c>
      <c r="C288" t="inlineStr">
        <is>
          <t>2026-04-01_OLDM_at_RVRH</t>
        </is>
      </c>
      <c r="D288" t="inlineStr">
        <is>
          <t>Bats and pitches</t>
        </is>
      </c>
    </row>
    <row r="289">
      <c r="A289" t="inlineStr">
        <is>
          <t>OLDM</t>
        </is>
      </c>
      <c r="B289" t="inlineStr">
        <is>
          <t>T Richmond</t>
        </is>
      </c>
      <c r="C289" t="inlineStr">
        <is>
          <t>2026-04-01_OLDM_at_RVRH</t>
        </is>
      </c>
      <c r="D289" t="inlineStr">
        <is>
          <t>Bats and pitches</t>
        </is>
      </c>
    </row>
    <row r="290">
      <c r="A290" t="inlineStr">
        <is>
          <t>OLDM</t>
        </is>
      </c>
      <c r="B290" t="inlineStr">
        <is>
          <t>T Thompson</t>
        </is>
      </c>
      <c r="C290" t="inlineStr">
        <is>
          <t>2026-04-01_OLDM_at_RVRH</t>
        </is>
      </c>
    </row>
    <row r="291">
      <c r="A291" t="inlineStr">
        <is>
          <t>PTXN</t>
        </is>
      </c>
      <c r="B291" t="inlineStr">
        <is>
          <t>B Cowan</t>
        </is>
      </c>
      <c r="C291" t="inlineStr">
        <is>
          <t>2026-03-20_PTXN_at_NRTH</t>
        </is>
      </c>
    </row>
    <row r="292">
      <c r="A292" t="inlineStr">
        <is>
          <t>PTXN</t>
        </is>
      </c>
      <c r="B292" t="inlineStr">
        <is>
          <t>C Jones</t>
        </is>
      </c>
      <c r="C292" t="inlineStr">
        <is>
          <t>2026-03-20_PTXN_at_NRTH</t>
        </is>
      </c>
    </row>
    <row r="293">
      <c r="A293" t="inlineStr">
        <is>
          <t>PTXN</t>
        </is>
      </c>
      <c r="B293" t="inlineStr">
        <is>
          <t>C White</t>
        </is>
      </c>
      <c r="C293" t="inlineStr">
        <is>
          <t>2026-03-20_PTXN_at_NRTH</t>
        </is>
      </c>
      <c r="D293" t="inlineStr">
        <is>
          <t>Bats and pitches</t>
        </is>
      </c>
    </row>
    <row r="294">
      <c r="A294" t="inlineStr">
        <is>
          <t>PTXN</t>
        </is>
      </c>
      <c r="B294" t="inlineStr">
        <is>
          <t>D Bradley</t>
        </is>
      </c>
      <c r="C294" t="inlineStr">
        <is>
          <t>2026-03-20_PTXN_at_NRTH</t>
        </is>
      </c>
      <c r="D294" t="inlineStr">
        <is>
          <t>Bats and pitches</t>
        </is>
      </c>
    </row>
    <row r="295">
      <c r="A295" t="inlineStr">
        <is>
          <t>PTXN</t>
        </is>
      </c>
      <c r="B295" t="inlineStr">
        <is>
          <t>L Powell</t>
        </is>
      </c>
      <c r="C295" t="inlineStr">
        <is>
          <t>2026-03-20_PTXN_at_NRTH</t>
        </is>
      </c>
    </row>
    <row r="296">
      <c r="A296" t="inlineStr">
        <is>
          <t>PTXN</t>
        </is>
      </c>
      <c r="B296" t="inlineStr">
        <is>
          <t>N Kelly</t>
        </is>
      </c>
      <c r="C296" t="inlineStr">
        <is>
          <t>2026-03-20_PTXN_at_NRTH</t>
        </is>
      </c>
    </row>
    <row r="297">
      <c r="A297" t="inlineStr">
        <is>
          <t>PTXN</t>
        </is>
      </c>
      <c r="B297" t="inlineStr">
        <is>
          <t>N Sands</t>
        </is>
      </c>
      <c r="C297" t="inlineStr">
        <is>
          <t>2026-03-20_PTXN_at_NRTH</t>
        </is>
      </c>
    </row>
    <row r="298">
      <c r="A298" t="inlineStr">
        <is>
          <t>PTXN</t>
        </is>
      </c>
      <c r="B298" t="inlineStr">
        <is>
          <t>PTXN_3B_Unknown</t>
        </is>
      </c>
      <c r="C298" t="inlineStr">
        <is>
          <t>2026-03-23_PTXN_at_HNTN</t>
        </is>
      </c>
    </row>
    <row r="299">
      <c r="A299" t="inlineStr">
        <is>
          <t>PTXN</t>
        </is>
      </c>
      <c r="B299" t="inlineStr">
        <is>
          <t>R Whitney</t>
        </is>
      </c>
      <c r="C299" t="inlineStr">
        <is>
          <t>2026-03-20_PTXN_at_NRTH</t>
        </is>
      </c>
      <c r="D299" t="inlineStr">
        <is>
          <t>Bats and pitches</t>
        </is>
      </c>
    </row>
    <row r="300">
      <c r="A300" t="inlineStr">
        <is>
          <t>PTXN</t>
        </is>
      </c>
      <c r="B300" t="inlineStr">
        <is>
          <t>T Lakey</t>
        </is>
      </c>
      <c r="C300" t="inlineStr">
        <is>
          <t>2026-03-20_PTXN_at_NRTH</t>
        </is>
      </c>
      <c r="D300" t="inlineStr">
        <is>
          <t>Bats and pitches</t>
        </is>
      </c>
    </row>
    <row r="301">
      <c r="A301" t="inlineStr">
        <is>
          <t>RVRH</t>
        </is>
      </c>
      <c r="B301" t="inlineStr">
        <is>
          <t>A Contreras</t>
        </is>
      </c>
      <c r="C301" t="inlineStr">
        <is>
          <t>2026-03-10_RVRH_at_WSTF</t>
        </is>
      </c>
    </row>
    <row r="302">
      <c r="A302" t="inlineStr">
        <is>
          <t>RVRH</t>
        </is>
      </c>
      <c r="B302" t="inlineStr">
        <is>
          <t>A Fields</t>
        </is>
      </c>
      <c r="C302" t="inlineStr">
        <is>
          <t>2026-03-10_RVRH_at_WSTF</t>
        </is>
      </c>
    </row>
    <row r="303">
      <c r="A303" t="inlineStr">
        <is>
          <t>RVRH</t>
        </is>
      </c>
      <c r="B303" t="inlineStr">
        <is>
          <t>A Jensen</t>
        </is>
      </c>
      <c r="C303" t="inlineStr">
        <is>
          <t>2026-04-01_OLDM_at_RVRH</t>
        </is>
      </c>
    </row>
    <row r="304">
      <c r="A304" t="inlineStr">
        <is>
          <t>RVRH</t>
        </is>
      </c>
      <c r="B304" t="inlineStr">
        <is>
          <t>A Wu</t>
        </is>
      </c>
      <c r="C304" t="inlineStr">
        <is>
          <t>2026-03-21_RVRH_at_GLFR</t>
        </is>
      </c>
      <c r="D304" t="inlineStr">
        <is>
          <t>Bats and pitches</t>
        </is>
      </c>
    </row>
    <row r="305">
      <c r="A305" t="inlineStr">
        <is>
          <t>RVRH</t>
        </is>
      </c>
      <c r="B305" t="inlineStr">
        <is>
          <t>B Bixby</t>
        </is>
      </c>
      <c r="C305" t="inlineStr">
        <is>
          <t>2026-03-10_RVRH_at_WSTF</t>
        </is>
      </c>
    </row>
    <row r="306">
      <c r="A306" t="inlineStr">
        <is>
          <t>RVRH</t>
        </is>
      </c>
      <c r="B306" t="inlineStr">
        <is>
          <t>B Mougey</t>
        </is>
      </c>
      <c r="C306" t="inlineStr">
        <is>
          <t>2026-03-10_RVRH_at_WSTF</t>
        </is>
      </c>
    </row>
    <row r="307">
      <c r="A307" t="inlineStr">
        <is>
          <t>RVRH</t>
        </is>
      </c>
      <c r="B307" t="inlineStr">
        <is>
          <t>C McClellan</t>
        </is>
      </c>
      <c r="C307" t="inlineStr">
        <is>
          <t>2026-03-27_GLNL_at_RVRH</t>
        </is>
      </c>
    </row>
    <row r="308">
      <c r="A308" t="inlineStr">
        <is>
          <t>RVRH</t>
        </is>
      </c>
      <c r="B308" t="inlineStr">
        <is>
          <t>C Naecker</t>
        </is>
      </c>
      <c r="C308" t="inlineStr">
        <is>
          <t>2026-03-10_RVRH_at_WSTF</t>
        </is>
      </c>
    </row>
    <row r="309">
      <c r="A309" t="inlineStr">
        <is>
          <t>RVRH</t>
        </is>
      </c>
      <c r="B309" t="inlineStr">
        <is>
          <t>C Nichols</t>
        </is>
      </c>
      <c r="C309" t="inlineStr">
        <is>
          <t>2026-03-10_RVRH_at_WSTF</t>
        </is>
      </c>
      <c r="D309" t="inlineStr">
        <is>
          <t>Bats and pitches</t>
        </is>
      </c>
    </row>
    <row r="310">
      <c r="A310" t="inlineStr">
        <is>
          <t>RVRH</t>
        </is>
      </c>
      <c r="B310" t="inlineStr">
        <is>
          <t>C Reis</t>
        </is>
      </c>
      <c r="C310" t="inlineStr">
        <is>
          <t>2026-03-10_RVRH_at_WSTF</t>
        </is>
      </c>
      <c r="D310" t="inlineStr">
        <is>
          <t>Bats and pitches</t>
        </is>
      </c>
    </row>
    <row r="311">
      <c r="A311" t="inlineStr">
        <is>
          <t>RVRH</t>
        </is>
      </c>
      <c r="B311" t="inlineStr">
        <is>
          <t>E McCoy</t>
        </is>
      </c>
      <c r="C311" t="inlineStr">
        <is>
          <t>2026-03-10_RVRH_at_WSTF</t>
        </is>
      </c>
      <c r="D311" t="inlineStr">
        <is>
          <t>Bats and pitches</t>
        </is>
      </c>
    </row>
    <row r="312">
      <c r="A312" t="inlineStr">
        <is>
          <t>RVRH</t>
        </is>
      </c>
      <c r="B312" t="inlineStr">
        <is>
          <t>E Skolkin</t>
        </is>
      </c>
      <c r="C312" t="inlineStr">
        <is>
          <t>2026-03-10_RVRH_at_WSTF</t>
        </is>
      </c>
      <c r="D312" t="inlineStr">
        <is>
          <t>Bats and pitches</t>
        </is>
      </c>
    </row>
    <row r="313">
      <c r="A313" t="inlineStr">
        <is>
          <t>RVRH</t>
        </is>
      </c>
      <c r="B313" t="inlineStr">
        <is>
          <t>G Dang</t>
        </is>
      </c>
      <c r="C313" t="inlineStr">
        <is>
          <t>2026-03-10_RVRH_at_WSTF</t>
        </is>
      </c>
    </row>
    <row r="314">
      <c r="A314" t="inlineStr">
        <is>
          <t>RVRH</t>
        </is>
      </c>
      <c r="B314" t="inlineStr">
        <is>
          <t>H Zhang</t>
        </is>
      </c>
      <c r="C314" t="inlineStr">
        <is>
          <t>2026-03-10_RVRH_at_WSTF</t>
        </is>
      </c>
      <c r="D314" t="inlineStr">
        <is>
          <t>Bats and pitches</t>
        </is>
      </c>
    </row>
    <row r="315">
      <c r="A315" t="inlineStr">
        <is>
          <t>RVRH</t>
        </is>
      </c>
      <c r="B315" t="inlineStr">
        <is>
          <t>J Jenkins</t>
        </is>
      </c>
      <c r="C315" t="inlineStr">
        <is>
          <t>2026-03-10_RVRH_at_WSTF</t>
        </is>
      </c>
      <c r="D315" t="inlineStr">
        <is>
          <t>Pitcher only (no batting rows in log)</t>
        </is>
      </c>
    </row>
    <row r="316">
      <c r="A316" t="inlineStr">
        <is>
          <t>RVRH</t>
        </is>
      </c>
      <c r="B316" t="inlineStr">
        <is>
          <t>J Norwood</t>
        </is>
      </c>
      <c r="C316" t="inlineStr">
        <is>
          <t>2026-03-10_RVRH_at_WSTF</t>
        </is>
      </c>
      <c r="D316" t="inlineStr">
        <is>
          <t>Bats and pitches</t>
        </is>
      </c>
    </row>
    <row r="317">
      <c r="A317" t="inlineStr">
        <is>
          <t>RVRH</t>
        </is>
      </c>
      <c r="B317" t="inlineStr">
        <is>
          <t>L Kreisl</t>
        </is>
      </c>
      <c r="C317" t="inlineStr">
        <is>
          <t>2026-03-10_RVRH_at_WSTF</t>
        </is>
      </c>
    </row>
    <row r="318">
      <c r="A318" t="inlineStr">
        <is>
          <t>RVRH</t>
        </is>
      </c>
      <c r="B318" t="inlineStr">
        <is>
          <t>R Miller</t>
        </is>
      </c>
      <c r="C318" t="inlineStr">
        <is>
          <t>2026-03-21_RVRH_at_GLFR</t>
        </is>
      </c>
    </row>
    <row r="319">
      <c r="A319" t="inlineStr">
        <is>
          <t>RVRH</t>
        </is>
      </c>
      <c r="B319" t="inlineStr">
        <is>
          <t>R Ronayne</t>
        </is>
      </c>
      <c r="C319" t="inlineStr">
        <is>
          <t>2026-03-10_RVRH_at_WSTF</t>
        </is>
      </c>
      <c r="D319" t="inlineStr">
        <is>
          <t>Bats and pitches</t>
        </is>
      </c>
    </row>
    <row r="320">
      <c r="A320" t="inlineStr">
        <is>
          <t>RVRH</t>
        </is>
      </c>
      <c r="B320" t="inlineStr">
        <is>
          <t>R Walsh</t>
        </is>
      </c>
      <c r="C320" t="inlineStr">
        <is>
          <t>2026-03-10_RVRH_at_WSTF</t>
        </is>
      </c>
      <c r="D320" t="inlineStr">
        <is>
          <t>Bats and pitches</t>
        </is>
      </c>
    </row>
    <row r="321">
      <c r="A321" t="inlineStr">
        <is>
          <t>SHRW</t>
        </is>
      </c>
      <c r="B321" t="inlineStr">
        <is>
          <t>A Jenkins</t>
        </is>
      </c>
      <c r="C321" t="inlineStr">
        <is>
          <t>2026-03-30_SHRW_at_GLNL</t>
        </is>
      </c>
    </row>
    <row r="322">
      <c r="A322" t="inlineStr">
        <is>
          <t>SHRW</t>
        </is>
      </c>
      <c r="B322" t="inlineStr">
        <is>
          <t>C Calandro</t>
        </is>
      </c>
      <c r="C322" t="inlineStr">
        <is>
          <t>2026-03-30_SHRW_at_GLNL</t>
        </is>
      </c>
    </row>
    <row r="323">
      <c r="A323" t="inlineStr">
        <is>
          <t>SHRW</t>
        </is>
      </c>
      <c r="B323" t="inlineStr">
        <is>
          <t>C Crismond</t>
        </is>
      </c>
      <c r="C323" t="inlineStr">
        <is>
          <t>2026-03-30_SHRW_at_GLNL</t>
        </is>
      </c>
      <c r="D323" t="inlineStr">
        <is>
          <t>Pitcher only (no batting rows in log)</t>
        </is>
      </c>
    </row>
    <row r="324">
      <c r="A324" t="inlineStr">
        <is>
          <t>SHRW</t>
        </is>
      </c>
      <c r="B324" t="inlineStr">
        <is>
          <t>C Flickinger</t>
        </is>
      </c>
      <c r="C324" t="inlineStr">
        <is>
          <t>2026-03-30_SHRW_at_GLNL</t>
        </is>
      </c>
    </row>
    <row r="325">
      <c r="A325" t="inlineStr">
        <is>
          <t>SHRW</t>
        </is>
      </c>
      <c r="B325" t="inlineStr">
        <is>
          <t>C Jagannathan</t>
        </is>
      </c>
      <c r="C325" t="inlineStr">
        <is>
          <t>2026-03-30_SHRW_at_GLNL</t>
        </is>
      </c>
    </row>
    <row r="326">
      <c r="A326" t="inlineStr">
        <is>
          <t>SHRW</t>
        </is>
      </c>
      <c r="B326" t="inlineStr">
        <is>
          <t>C Sweeney-Strawberry</t>
        </is>
      </c>
      <c r="C326" t="inlineStr">
        <is>
          <t>2026-03-30_SHRW_at_GLNL</t>
        </is>
      </c>
    </row>
    <row r="327">
      <c r="A327" t="inlineStr">
        <is>
          <t>SHRW</t>
        </is>
      </c>
      <c r="B327" t="inlineStr">
        <is>
          <t>J Bender</t>
        </is>
      </c>
      <c r="C327" t="inlineStr">
        <is>
          <t>2026-03-30_SHRW_at_GLNL</t>
        </is>
      </c>
    </row>
    <row r="328">
      <c r="A328" t="inlineStr">
        <is>
          <t>SHRW</t>
        </is>
      </c>
      <c r="B328" t="inlineStr">
        <is>
          <t>J Berger</t>
        </is>
      </c>
      <c r="C328" t="inlineStr">
        <is>
          <t>2026-03-30_SHRW_at_GLNL</t>
        </is>
      </c>
    </row>
    <row r="329">
      <c r="A329" t="inlineStr">
        <is>
          <t>SHRW</t>
        </is>
      </c>
      <c r="B329" t="inlineStr">
        <is>
          <t>J Sarita</t>
        </is>
      </c>
      <c r="C329" t="inlineStr">
        <is>
          <t>2026-03-30_SHRW_at_GLNL</t>
        </is>
      </c>
    </row>
    <row r="330">
      <c r="A330" t="inlineStr">
        <is>
          <t>SHRW</t>
        </is>
      </c>
      <c r="B330" t="inlineStr">
        <is>
          <t>K Blake</t>
        </is>
      </c>
      <c r="C330" t="inlineStr">
        <is>
          <t>2026-03-30_SHRW_at_GLNL</t>
        </is>
      </c>
    </row>
    <row r="331">
      <c r="A331" t="inlineStr">
        <is>
          <t>SHRW</t>
        </is>
      </c>
      <c r="B331" t="inlineStr">
        <is>
          <t>L Gisriel</t>
        </is>
      </c>
      <c r="C331" t="inlineStr">
        <is>
          <t>2026-03-30_SHRW_at_GLNL</t>
        </is>
      </c>
      <c r="D331" t="inlineStr">
        <is>
          <t>Pitcher only (no batting rows in log)</t>
        </is>
      </c>
    </row>
    <row r="332">
      <c r="A332" t="inlineStr">
        <is>
          <t>ST.C</t>
        </is>
      </c>
      <c r="B332" t="inlineStr">
        <is>
          <t>C Stokes</t>
        </is>
      </c>
      <c r="C332" t="inlineStr">
        <is>
          <t>2026-03-23_NRTH_at_ST.C</t>
        </is>
      </c>
      <c r="D332" t="inlineStr">
        <is>
          <t>Pitcher only (no batting rows in log)</t>
        </is>
      </c>
    </row>
    <row r="333">
      <c r="A333" t="inlineStr">
        <is>
          <t>ST.C</t>
        </is>
      </c>
      <c r="B333" t="inlineStr">
        <is>
          <t>D Tyler</t>
        </is>
      </c>
      <c r="C333" t="inlineStr">
        <is>
          <t>2026-03-23_NRTH_at_ST.C</t>
        </is>
      </c>
    </row>
    <row r="334">
      <c r="A334" t="inlineStr">
        <is>
          <t>ST.C</t>
        </is>
      </c>
      <c r="B334" t="inlineStr">
        <is>
          <t>D Vauss</t>
        </is>
      </c>
      <c r="C334" t="inlineStr">
        <is>
          <t>2026-03-23_NRTH_at_ST.C</t>
        </is>
      </c>
    </row>
    <row r="335">
      <c r="A335" t="inlineStr">
        <is>
          <t>ST.C</t>
        </is>
      </c>
      <c r="B335" t="inlineStr">
        <is>
          <t>E Paredes</t>
        </is>
      </c>
      <c r="C335" t="inlineStr">
        <is>
          <t>2026-03-23_NRTH_at_ST.C</t>
        </is>
      </c>
    </row>
    <row r="336">
      <c r="A336" t="inlineStr">
        <is>
          <t>ST.C</t>
        </is>
      </c>
      <c r="B336" t="inlineStr">
        <is>
          <t>K Giwa-Agbomeirele</t>
        </is>
      </c>
      <c r="C336" t="inlineStr">
        <is>
          <t>2026-03-23_NRTH_at_ST.C</t>
        </is>
      </c>
    </row>
    <row r="337">
      <c r="A337" t="inlineStr">
        <is>
          <t>ST.C</t>
        </is>
      </c>
      <c r="B337" t="inlineStr">
        <is>
          <t>K Queen</t>
        </is>
      </c>
      <c r="C337" t="inlineStr">
        <is>
          <t>2026-03-23_NRTH_at_ST.C</t>
        </is>
      </c>
    </row>
    <row r="338">
      <c r="A338" t="inlineStr">
        <is>
          <t>ST.C</t>
        </is>
      </c>
      <c r="B338" t="inlineStr">
        <is>
          <t>M Minick</t>
        </is>
      </c>
      <c r="C338" t="inlineStr">
        <is>
          <t>2026-03-23_NRTH_at_ST.C</t>
        </is>
      </c>
      <c r="D338" t="inlineStr">
        <is>
          <t>Bats and pitches</t>
        </is>
      </c>
    </row>
    <row r="339">
      <c r="A339" t="inlineStr">
        <is>
          <t>ST.C</t>
        </is>
      </c>
      <c r="B339" t="inlineStr">
        <is>
          <t>Parker</t>
        </is>
      </c>
      <c r="C339" t="inlineStr">
        <is>
          <t>2026-03-23_NRTH_at_ST.C</t>
        </is>
      </c>
    </row>
    <row r="340">
      <c r="A340" t="inlineStr">
        <is>
          <t>ST.C</t>
        </is>
      </c>
      <c r="B340" t="inlineStr">
        <is>
          <t>R Generette</t>
        </is>
      </c>
      <c r="C340" t="inlineStr">
        <is>
          <t>2026-03-23_NRTH_at_ST.C</t>
        </is>
      </c>
    </row>
    <row r="341">
      <c r="A341" t="inlineStr">
        <is>
          <t>ST.C</t>
        </is>
      </c>
      <c r="B341" t="inlineStr">
        <is>
          <t>T Hyde</t>
        </is>
      </c>
      <c r="C341" t="inlineStr">
        <is>
          <t>2026-03-23_NRTH_at_ST.C</t>
        </is>
      </c>
      <c r="D341" t="inlineStr">
        <is>
          <t>Bats and pitches</t>
        </is>
      </c>
    </row>
    <row r="342">
      <c r="A342" t="inlineStr">
        <is>
          <t>STHR</t>
        </is>
      </c>
      <c r="B342" t="inlineStr">
        <is>
          <t>STHR_#1</t>
        </is>
      </c>
      <c r="C342" t="inlineStr">
        <is>
          <t>2026-03-14_HNTN_at_STHR</t>
        </is>
      </c>
    </row>
    <row r="343">
      <c r="A343" t="inlineStr">
        <is>
          <t>STHR</t>
        </is>
      </c>
      <c r="B343" t="inlineStr">
        <is>
          <t>STHR_#2</t>
        </is>
      </c>
      <c r="C343" t="inlineStr">
        <is>
          <t>2026-03-14_HNTN_at_STHR</t>
        </is>
      </c>
    </row>
    <row r="344">
      <c r="A344" t="inlineStr">
        <is>
          <t>STHR</t>
        </is>
      </c>
      <c r="B344" t="inlineStr">
        <is>
          <t>STHR_#3</t>
        </is>
      </c>
      <c r="C344" t="inlineStr">
        <is>
          <t>2026-03-14_HNTN_at_STHR</t>
        </is>
      </c>
    </row>
    <row r="345">
      <c r="A345" t="inlineStr">
        <is>
          <t>STHR</t>
        </is>
      </c>
      <c r="B345" t="inlineStr">
        <is>
          <t>STHR_#4</t>
        </is>
      </c>
      <c r="C345" t="inlineStr">
        <is>
          <t>2026-03-14_HNTN_at_STHR</t>
        </is>
      </c>
    </row>
    <row r="346">
      <c r="A346" t="inlineStr">
        <is>
          <t>STHR</t>
        </is>
      </c>
      <c r="B346" t="inlineStr">
        <is>
          <t>STHR_#5</t>
        </is>
      </c>
      <c r="C346" t="inlineStr">
        <is>
          <t>2026-03-14_HNTN_at_STHR</t>
        </is>
      </c>
    </row>
    <row r="347">
      <c r="A347" t="inlineStr">
        <is>
          <t>STHR</t>
        </is>
      </c>
      <c r="B347" t="inlineStr">
        <is>
          <t>STHR_#6</t>
        </is>
      </c>
      <c r="C347" t="inlineStr">
        <is>
          <t>2026-03-14_HNTN_at_STHR</t>
        </is>
      </c>
    </row>
    <row r="348">
      <c r="A348" t="inlineStr">
        <is>
          <t>STHR</t>
        </is>
      </c>
      <c r="B348" t="inlineStr">
        <is>
          <t>STHR_#7</t>
        </is>
      </c>
      <c r="C348" t="inlineStr">
        <is>
          <t>2026-03-14_HNTN_at_STHR</t>
        </is>
      </c>
    </row>
    <row r="349">
      <c r="A349" t="inlineStr">
        <is>
          <t>STHR</t>
        </is>
      </c>
      <c r="B349" t="inlineStr">
        <is>
          <t>STHR_#8</t>
        </is>
      </c>
      <c r="C349" t="inlineStr">
        <is>
          <t>2026-03-14_HNTN_at_STHR</t>
        </is>
      </c>
    </row>
    <row r="350">
      <c r="A350" t="inlineStr">
        <is>
          <t>STHR</t>
        </is>
      </c>
      <c r="B350" t="inlineStr">
        <is>
          <t>STHR_#9</t>
        </is>
      </c>
      <c r="C350" t="inlineStr">
        <is>
          <t>2026-03-14_HNTN_at_STHR</t>
        </is>
      </c>
    </row>
    <row r="351">
      <c r="A351" t="inlineStr">
        <is>
          <t>STHR</t>
        </is>
      </c>
      <c r="B351" t="inlineStr">
        <is>
          <t>STHR_3B_Unknown</t>
        </is>
      </c>
      <c r="C351" t="inlineStr">
        <is>
          <t>2026-03-14_HNTN_at_STHR</t>
        </is>
      </c>
    </row>
    <row r="352">
      <c r="A352" t="inlineStr">
        <is>
          <t>STHR</t>
        </is>
      </c>
      <c r="B352" t="inlineStr">
        <is>
          <t>STHR_C_Unknown</t>
        </is>
      </c>
      <c r="C352" t="inlineStr">
        <is>
          <t>2026-03-14_HNTN_at_STHR</t>
        </is>
      </c>
    </row>
    <row r="353">
      <c r="A353" t="inlineStr">
        <is>
          <t>STHR</t>
        </is>
      </c>
      <c r="B353" t="inlineStr">
        <is>
          <t>STHR_SP_Unknown</t>
        </is>
      </c>
      <c r="C353" t="inlineStr">
        <is>
          <t>2026-03-14_HNTN_at_STHR</t>
        </is>
      </c>
      <c r="D353" t="inlineStr">
        <is>
          <t>Pitcher only (no batting rows in log)</t>
        </is>
      </c>
    </row>
    <row r="354">
      <c r="A354" t="inlineStr">
        <is>
          <t>STHR</t>
        </is>
      </c>
      <c r="B354" t="inlineStr">
        <is>
          <t>STHR_SS_Unknown</t>
        </is>
      </c>
      <c r="C354" t="inlineStr">
        <is>
          <t>2026-03-14_HNTN_at_STHR</t>
        </is>
      </c>
    </row>
    <row r="355">
      <c r="A355" t="inlineStr">
        <is>
          <t>THMS</t>
        </is>
      </c>
      <c r="B355" t="inlineStr">
        <is>
          <t>#1</t>
        </is>
      </c>
      <c r="C355" t="inlineStr">
        <is>
          <t>2026-03-26_THMS_at_NRTH</t>
        </is>
      </c>
      <c r="D355" t="inlineStr">
        <is>
          <t>Bats and pitches</t>
        </is>
      </c>
    </row>
    <row r="356">
      <c r="A356" t="inlineStr">
        <is>
          <t>THMS</t>
        </is>
      </c>
      <c r="B356" t="inlineStr">
        <is>
          <t>#10</t>
        </is>
      </c>
      <c r="C356" t="inlineStr">
        <is>
          <t>2026-03-26_THMS_at_NRTH</t>
        </is>
      </c>
    </row>
    <row r="357">
      <c r="A357" t="inlineStr">
        <is>
          <t>THMS</t>
        </is>
      </c>
      <c r="B357" t="inlineStr">
        <is>
          <t>#11</t>
        </is>
      </c>
      <c r="C357" t="inlineStr">
        <is>
          <t>2026-03-26_THMS_at_NRTH</t>
        </is>
      </c>
    </row>
    <row r="358">
      <c r="A358" t="inlineStr">
        <is>
          <t>THMS</t>
        </is>
      </c>
      <c r="B358" t="inlineStr">
        <is>
          <t>#16</t>
        </is>
      </c>
      <c r="C358" t="inlineStr">
        <is>
          <t>2026-03-26_THMS_at_NRTH</t>
        </is>
      </c>
    </row>
    <row r="359">
      <c r="A359" t="inlineStr">
        <is>
          <t>THMS</t>
        </is>
      </c>
      <c r="B359" t="inlineStr">
        <is>
          <t>#17</t>
        </is>
      </c>
      <c r="C359" t="inlineStr">
        <is>
          <t>2026-03-26_THMS_at_NRTH</t>
        </is>
      </c>
      <c r="D359" t="inlineStr">
        <is>
          <t>Bats and pitches</t>
        </is>
      </c>
    </row>
    <row r="360">
      <c r="A360" t="inlineStr">
        <is>
          <t>THMS</t>
        </is>
      </c>
      <c r="B360" t="inlineStr">
        <is>
          <t>#2</t>
        </is>
      </c>
      <c r="C360" t="inlineStr">
        <is>
          <t>2026-03-26_THMS_at_NRTH</t>
        </is>
      </c>
    </row>
    <row r="361">
      <c r="A361" t="inlineStr">
        <is>
          <t>THMS</t>
        </is>
      </c>
      <c r="B361" t="inlineStr">
        <is>
          <t>#21</t>
        </is>
      </c>
      <c r="C361" t="inlineStr">
        <is>
          <t>2026-03-26_THMS_at_NRTH</t>
        </is>
      </c>
    </row>
    <row r="362">
      <c r="A362" t="inlineStr">
        <is>
          <t>THMS</t>
        </is>
      </c>
      <c r="B362" t="inlineStr">
        <is>
          <t>#22</t>
        </is>
      </c>
      <c r="C362" t="inlineStr">
        <is>
          <t>2026-03-26_THMS_at_NRTH</t>
        </is>
      </c>
    </row>
    <row r="363">
      <c r="A363" t="inlineStr">
        <is>
          <t>THMS</t>
        </is>
      </c>
      <c r="B363" t="inlineStr">
        <is>
          <t>#4</t>
        </is>
      </c>
      <c r="C363" t="inlineStr">
        <is>
          <t>2026-03-26_THMS_at_NRTH</t>
        </is>
      </c>
    </row>
    <row r="364">
      <c r="A364" t="inlineStr">
        <is>
          <t>THMS</t>
        </is>
      </c>
      <c r="B364" t="inlineStr">
        <is>
          <t>#8</t>
        </is>
      </c>
      <c r="C364" t="inlineStr">
        <is>
          <t>2026-03-26_THMS_at_NRTH</t>
        </is>
      </c>
    </row>
    <row r="365">
      <c r="A365" t="inlineStr">
        <is>
          <t>WLDL</t>
        </is>
      </c>
      <c r="B365" t="inlineStr">
        <is>
          <t>A Lindsay</t>
        </is>
      </c>
      <c r="C365" t="inlineStr">
        <is>
          <t>2026-03-23_WLDL_at_RVRH</t>
        </is>
      </c>
    </row>
    <row r="366">
      <c r="A366" t="inlineStr">
        <is>
          <t>WLDL</t>
        </is>
      </c>
      <c r="B366" t="inlineStr">
        <is>
          <t>B Habershon</t>
        </is>
      </c>
      <c r="C366" t="inlineStr">
        <is>
          <t>2026-03-23_WLDL_at_RVRH</t>
        </is>
      </c>
      <c r="D366" t="inlineStr">
        <is>
          <t>Bats and pitches</t>
        </is>
      </c>
    </row>
    <row r="367">
      <c r="A367" t="inlineStr">
        <is>
          <t>WLDL</t>
        </is>
      </c>
      <c r="B367" t="inlineStr">
        <is>
          <t>D Bouadi</t>
        </is>
      </c>
      <c r="C367" t="inlineStr">
        <is>
          <t>2026-03-23_WLDL_at_RVRH</t>
        </is>
      </c>
    </row>
    <row r="368">
      <c r="A368" t="inlineStr">
        <is>
          <t>WLDL</t>
        </is>
      </c>
      <c r="B368" t="inlineStr">
        <is>
          <t>D Coleman</t>
        </is>
      </c>
      <c r="C368" t="inlineStr">
        <is>
          <t>2026-03-23_WLDL_at_RVRH</t>
        </is>
      </c>
    </row>
    <row r="369">
      <c r="A369" t="inlineStr">
        <is>
          <t>WLDL</t>
        </is>
      </c>
      <c r="B369" t="inlineStr">
        <is>
          <t>D Linares</t>
        </is>
      </c>
      <c r="C369" t="inlineStr">
        <is>
          <t>2026-03-23_WLDL_at_RVRH</t>
        </is>
      </c>
    </row>
    <row r="370">
      <c r="A370" t="inlineStr">
        <is>
          <t>WLDL</t>
        </is>
      </c>
      <c r="B370" t="inlineStr">
        <is>
          <t>D Tang</t>
        </is>
      </c>
      <c r="C370" t="inlineStr">
        <is>
          <t>2026-03-23_WLDL_at_RVRH</t>
        </is>
      </c>
    </row>
    <row r="371">
      <c r="A371" t="inlineStr">
        <is>
          <t>WLDL</t>
        </is>
      </c>
      <c r="B371" t="inlineStr">
        <is>
          <t>E Griffiths</t>
        </is>
      </c>
      <c r="C371" t="inlineStr">
        <is>
          <t>2026-03-23_WLDL_at_RVRH</t>
        </is>
      </c>
    </row>
    <row r="372">
      <c r="A372" t="inlineStr">
        <is>
          <t>WLDL</t>
        </is>
      </c>
      <c r="B372" t="inlineStr">
        <is>
          <t>J Bunnell</t>
        </is>
      </c>
      <c r="C372" t="inlineStr">
        <is>
          <t>2026-03-23_WLDL_at_RVRH</t>
        </is>
      </c>
    </row>
    <row r="373">
      <c r="A373" t="inlineStr">
        <is>
          <t>WLDL</t>
        </is>
      </c>
      <c r="B373" t="inlineStr">
        <is>
          <t>J Nguyen</t>
        </is>
      </c>
      <c r="C373" t="inlineStr">
        <is>
          <t>2026-03-23_WLDL_at_RVRH</t>
        </is>
      </c>
    </row>
    <row r="374">
      <c r="A374" t="inlineStr">
        <is>
          <t>WLDL</t>
        </is>
      </c>
      <c r="B374" t="inlineStr">
        <is>
          <t>N Dalesio</t>
        </is>
      </c>
      <c r="C374" t="inlineStr">
        <is>
          <t>2026-03-23_WLDL_at_RVRH</t>
        </is>
      </c>
    </row>
    <row r="375">
      <c r="A375" t="inlineStr">
        <is>
          <t>WLDL</t>
        </is>
      </c>
      <c r="B375" t="inlineStr">
        <is>
          <t>N Gilchrist</t>
        </is>
      </c>
      <c r="C375" t="inlineStr">
        <is>
          <t>2026-03-23_WLDL_at_RVRH</t>
        </is>
      </c>
    </row>
    <row r="376">
      <c r="A376" t="inlineStr">
        <is>
          <t>WLDL</t>
        </is>
      </c>
      <c r="B376" t="inlineStr">
        <is>
          <t>R Schmidt</t>
        </is>
      </c>
      <c r="C376" t="inlineStr">
        <is>
          <t>2026-03-23_WLDL_at_RVRH</t>
        </is>
      </c>
      <c r="D376" t="inlineStr">
        <is>
          <t>Bats and pitches</t>
        </is>
      </c>
    </row>
    <row r="377">
      <c r="A377" t="inlineStr">
        <is>
          <t>WLDL</t>
        </is>
      </c>
      <c r="B377" t="inlineStr">
        <is>
          <t>T Sommer</t>
        </is>
      </c>
      <c r="C377" t="inlineStr">
        <is>
          <t>2026-03-23_WLDL_at_RVRH</t>
        </is>
      </c>
      <c r="D377" t="inlineStr">
        <is>
          <t>Bats and pitches</t>
        </is>
      </c>
    </row>
    <row r="378">
      <c r="A378" t="inlineStr">
        <is>
          <t>WLDL</t>
        </is>
      </c>
      <c r="B378" t="inlineStr">
        <is>
          <t>W Switzer</t>
        </is>
      </c>
      <c r="C378" t="inlineStr">
        <is>
          <t>2026-03-23_WLDL_at_RVRH</t>
        </is>
      </c>
    </row>
    <row r="379">
      <c r="A379" t="inlineStr">
        <is>
          <t>WSTF</t>
        </is>
      </c>
      <c r="B379" t="inlineStr">
        <is>
          <t>WSTF_#1</t>
        </is>
      </c>
      <c r="C379" t="inlineStr">
        <is>
          <t>2026-03-10_RVRH_at_WSTF</t>
        </is>
      </c>
      <c r="D379" t="inlineStr">
        <is>
          <t>Bats and pitches</t>
        </is>
      </c>
    </row>
    <row r="380">
      <c r="A380" t="inlineStr">
        <is>
          <t>WSTF</t>
        </is>
      </c>
      <c r="B380" t="inlineStr">
        <is>
          <t>WSTF_#2</t>
        </is>
      </c>
      <c r="C380" t="inlineStr">
        <is>
          <t>2026-03-10_RVRH_at_WSTF</t>
        </is>
      </c>
      <c r="D380" t="inlineStr">
        <is>
          <t>Bats and pitches</t>
        </is>
      </c>
    </row>
    <row r="381">
      <c r="A381" t="inlineStr">
        <is>
          <t>WSTF</t>
        </is>
      </c>
      <c r="B381" t="inlineStr">
        <is>
          <t>WSTF_#3</t>
        </is>
      </c>
      <c r="C381" t="inlineStr">
        <is>
          <t>2026-03-10_RVRH_at_WSTF</t>
        </is>
      </c>
      <c r="D381" t="inlineStr">
        <is>
          <t>Bats and pitches</t>
        </is>
      </c>
    </row>
    <row r="382">
      <c r="A382" t="inlineStr">
        <is>
          <t>WSTF</t>
        </is>
      </c>
      <c r="B382" t="inlineStr">
        <is>
          <t>WSTF_#4</t>
        </is>
      </c>
      <c r="C382" t="inlineStr">
        <is>
          <t>2026-03-10_RVRH_at_WSTF</t>
        </is>
      </c>
    </row>
    <row r="383">
      <c r="A383" t="inlineStr">
        <is>
          <t>WSTF</t>
        </is>
      </c>
      <c r="B383" t="inlineStr">
        <is>
          <t>WSTF_#5</t>
        </is>
      </c>
      <c r="C383" t="inlineStr">
        <is>
          <t>2026-03-10_RVRH_at_WSTF</t>
        </is>
      </c>
    </row>
    <row r="384">
      <c r="A384" t="inlineStr">
        <is>
          <t>WSTF</t>
        </is>
      </c>
      <c r="B384" t="inlineStr">
        <is>
          <t>WSTF_#6</t>
        </is>
      </c>
      <c r="C384" t="inlineStr">
        <is>
          <t>2026-03-10_RVRH_at_WSTF</t>
        </is>
      </c>
    </row>
    <row r="385">
      <c r="A385" t="inlineStr">
        <is>
          <t>WSTF</t>
        </is>
      </c>
      <c r="B385" t="inlineStr">
        <is>
          <t>WSTF_#7</t>
        </is>
      </c>
      <c r="C385" t="inlineStr">
        <is>
          <t>2026-03-10_RVRH_at_WSTF</t>
        </is>
      </c>
    </row>
    <row r="386">
      <c r="A386" t="inlineStr">
        <is>
          <t>WSTF</t>
        </is>
      </c>
      <c r="B386" t="inlineStr">
        <is>
          <t>WSTF_#8</t>
        </is>
      </c>
      <c r="C386" t="inlineStr">
        <is>
          <t>2026-03-10_RVRH_at_WSTF</t>
        </is>
      </c>
      <c r="D386" t="inlineStr">
        <is>
          <t>Bats and pitches</t>
        </is>
      </c>
    </row>
    <row r="387">
      <c r="A387" t="inlineStr">
        <is>
          <t>WSTF</t>
        </is>
      </c>
      <c r="B387" t="inlineStr">
        <is>
          <t>WSTF_#9</t>
        </is>
      </c>
      <c r="C387" t="inlineStr">
        <is>
          <t>2026-03-10_RVRH_at_WSTF</t>
        </is>
      </c>
      <c r="D387" t="inlineStr">
        <is>
          <t>Bats and pitches</t>
        </is>
      </c>
    </row>
    <row r="388">
      <c r="A388" t="inlineStr">
        <is>
          <t>WTTN</t>
        </is>
      </c>
      <c r="B388" t="inlineStr">
        <is>
          <t>A Grainger</t>
        </is>
      </c>
      <c r="C388" t="inlineStr">
        <is>
          <t>2026-03-14_WTTN_at_RVRH</t>
        </is>
      </c>
    </row>
    <row r="389">
      <c r="A389" t="inlineStr">
        <is>
          <t>WTTN</t>
        </is>
      </c>
      <c r="B389" t="inlineStr">
        <is>
          <t>A Yang</t>
        </is>
      </c>
      <c r="C389" t="inlineStr">
        <is>
          <t>2026-03-14_WTTN_at_RVRH</t>
        </is>
      </c>
    </row>
    <row r="390">
      <c r="A390" t="inlineStr">
        <is>
          <t>WTTN</t>
        </is>
      </c>
      <c r="B390" t="inlineStr">
        <is>
          <t>B Graham</t>
        </is>
      </c>
      <c r="C390" t="inlineStr">
        <is>
          <t>2026-03-14_WTTN_at_RVRH</t>
        </is>
      </c>
      <c r="D390" t="inlineStr">
        <is>
          <t>Pitcher only (no batting rows in log)</t>
        </is>
      </c>
    </row>
    <row r="391">
      <c r="A391" t="inlineStr">
        <is>
          <t>WTTN</t>
        </is>
      </c>
      <c r="B391" t="inlineStr">
        <is>
          <t>J Allen</t>
        </is>
      </c>
      <c r="C391" t="inlineStr">
        <is>
          <t>2026-03-14_WTTN_at_RVRH</t>
        </is>
      </c>
      <c r="D391" t="inlineStr">
        <is>
          <t>Bats and pitches</t>
        </is>
      </c>
    </row>
    <row r="392">
      <c r="A392" t="inlineStr">
        <is>
          <t>WTTN</t>
        </is>
      </c>
      <c r="B392" t="inlineStr">
        <is>
          <t>J Arnold</t>
        </is>
      </c>
      <c r="C392" t="inlineStr">
        <is>
          <t>2026-03-14_WTTN_at_RVRH</t>
        </is>
      </c>
    </row>
    <row r="393">
      <c r="A393" t="inlineStr">
        <is>
          <t>WTTN</t>
        </is>
      </c>
      <c r="B393" t="inlineStr">
        <is>
          <t>J Reid</t>
        </is>
      </c>
      <c r="C393" t="inlineStr">
        <is>
          <t>2026-03-14_WTTN_at_RVRH</t>
        </is>
      </c>
    </row>
    <row r="394">
      <c r="A394" t="inlineStr">
        <is>
          <t>WTTN</t>
        </is>
      </c>
      <c r="B394" t="inlineStr">
        <is>
          <t>K Schmelzer</t>
        </is>
      </c>
      <c r="C394" t="inlineStr">
        <is>
          <t>2026-03-14_WTTN_at_RVRH</t>
        </is>
      </c>
    </row>
    <row r="395">
      <c r="A395" t="inlineStr">
        <is>
          <t>WTTN</t>
        </is>
      </c>
      <c r="B395" t="inlineStr">
        <is>
          <t>L Avila</t>
        </is>
      </c>
      <c r="C395" t="inlineStr">
        <is>
          <t>2026-03-14_WTTN_at_RVRH</t>
        </is>
      </c>
      <c r="D395" t="inlineStr">
        <is>
          <t>Bats and pitches</t>
        </is>
      </c>
    </row>
    <row r="396">
      <c r="A396" t="inlineStr">
        <is>
          <t>WTTN</t>
        </is>
      </c>
      <c r="B396" t="inlineStr">
        <is>
          <t>L Phillips</t>
        </is>
      </c>
      <c r="C396" t="inlineStr">
        <is>
          <t>2026-03-14_WTTN_at_RVRH</t>
        </is>
      </c>
      <c r="D396" t="inlineStr">
        <is>
          <t>Pitcher only (no batting rows in log)</t>
        </is>
      </c>
    </row>
    <row r="397">
      <c r="A397" t="inlineStr">
        <is>
          <t>WTTN</t>
        </is>
      </c>
      <c r="B397" t="inlineStr">
        <is>
          <t>N Zweig</t>
        </is>
      </c>
      <c r="C397" t="inlineStr">
        <is>
          <t>2026-03-14_WTTN_at_RVRH</t>
        </is>
      </c>
    </row>
    <row r="398">
      <c r="A398" t="inlineStr">
        <is>
          <t>WTTN</t>
        </is>
      </c>
      <c r="B398" t="inlineStr">
        <is>
          <t>T Cornet</t>
        </is>
      </c>
      <c r="C398" t="inlineStr">
        <is>
          <t>2026-03-14_WTTN_at_RVRH</t>
        </is>
      </c>
      <c r="D398" t="inlineStr">
        <is>
          <t>Bats and pitches</t>
        </is>
      </c>
    </row>
    <row r="399">
      <c r="A399" t="inlineStr">
        <is>
          <t>WTTN</t>
        </is>
      </c>
      <c r="B399" t="inlineStr">
        <is>
          <t>WTTN_1B</t>
        </is>
      </c>
      <c r="C399" t="inlineStr">
        <is>
          <t>2026-03-14_WTTN_at_RVRH</t>
        </is>
      </c>
    </row>
    <row r="400">
      <c r="A400" t="inlineStr">
        <is>
          <t>WTTN</t>
        </is>
      </c>
      <c r="B400" t="inlineStr">
        <is>
          <t>WTTN_SS</t>
        </is>
      </c>
      <c r="C400" t="inlineStr">
        <is>
          <t>2026-03-14_WTTN_at_RVRH</t>
        </is>
      </c>
    </row>
    <row r="401">
      <c r="A401" t="inlineStr">
        <is>
          <t>DMSC</t>
        </is>
      </c>
      <c r="B401" t="inlineStr">
        <is>
          <t>Holden</t>
        </is>
      </c>
      <c r="C401" t="inlineStr">
        <is>
          <t>2026-03-31_DMSC_at_HWRD</t>
        </is>
      </c>
      <c r="D401" t="inlineStr">
        <is>
          <t>Single name only visible in box score; last name not captured. Flagged for review.</t>
        </is>
      </c>
    </row>
    <row r="402">
      <c r="A402" t="inlineStr">
        <is>
          <t>DMSC</t>
        </is>
      </c>
      <c r="B402" t="inlineStr">
        <is>
          <t>Colton Dewing</t>
        </is>
      </c>
      <c r="C402" t="inlineStr">
        <is>
          <t>2026-03-31_DMSC_at_HWRD</t>
        </is>
      </c>
    </row>
    <row r="403">
      <c r="A403" t="inlineStr">
        <is>
          <t>DMSC</t>
        </is>
      </c>
      <c r="B403" t="inlineStr">
        <is>
          <t>Ethan Nguyen</t>
        </is>
      </c>
      <c r="C403" t="inlineStr">
        <is>
          <t>2026-03-31_DMSC_at_HWRD</t>
        </is>
      </c>
    </row>
    <row r="404">
      <c r="A404" t="inlineStr">
        <is>
          <t>DMSC</t>
        </is>
      </c>
      <c r="B404" t="inlineStr">
        <is>
          <t>Tyler Luskey</t>
        </is>
      </c>
      <c r="C404" t="inlineStr">
        <is>
          <t>2026-03-31_DMSC_at_HWRD</t>
        </is>
      </c>
    </row>
    <row r="405">
      <c r="A405" t="inlineStr">
        <is>
          <t>DMSC</t>
        </is>
      </c>
      <c r="B405" t="inlineStr">
        <is>
          <t>Zach Westbrooks</t>
        </is>
      </c>
      <c r="C405" t="inlineStr">
        <is>
          <t>2026-03-31_DMSC_at_HWRD</t>
        </is>
      </c>
    </row>
    <row r="406">
      <c r="A406" t="inlineStr">
        <is>
          <t>DMSC</t>
        </is>
      </c>
      <c r="B406" t="inlineStr">
        <is>
          <t>Brady Stewart</t>
        </is>
      </c>
      <c r="C406" t="inlineStr">
        <is>
          <t>2026-03-31_DMSC_at_HWRD</t>
        </is>
      </c>
    </row>
    <row r="407">
      <c r="A407" t="inlineStr">
        <is>
          <t>DMSC</t>
        </is>
      </c>
      <c r="B407" t="inlineStr">
        <is>
          <t>Thomas Malouf</t>
        </is>
      </c>
      <c r="C407" t="inlineStr">
        <is>
          <t>2026-03-31_DMSC_at_HWRD</t>
        </is>
      </c>
      <c r="D407" t="inlineStr">
        <is>
          <t>Pitcher only (no batting rows in log)</t>
        </is>
      </c>
    </row>
    <row r="408">
      <c r="A408" t="inlineStr">
        <is>
          <t>HWRD</t>
        </is>
      </c>
      <c r="B408" t="inlineStr">
        <is>
          <t>Ryan Song</t>
        </is>
      </c>
      <c r="C408" t="inlineStr">
        <is>
          <t>2026-03-31_DMSC_at_HWRD</t>
        </is>
      </c>
    </row>
    <row r="409">
      <c r="A409" t="inlineStr">
        <is>
          <t>HWRD</t>
        </is>
      </c>
      <c r="B409" t="inlineStr">
        <is>
          <t>Nick Davis</t>
        </is>
      </c>
      <c r="C409" t="inlineStr">
        <is>
          <t>2026-03-31_DMSC_at_HWRD</t>
        </is>
      </c>
    </row>
    <row r="410">
      <c r="A410" t="inlineStr">
        <is>
          <t>HWRD</t>
        </is>
      </c>
      <c r="B410" t="inlineStr">
        <is>
          <t>Gibson Martin</t>
        </is>
      </c>
      <c r="C410" t="inlineStr">
        <is>
          <t>2026-03-31_DMSC_at_HWRD</t>
        </is>
      </c>
      <c r="D410" t="inlineStr">
        <is>
          <t>Bats and pitches</t>
        </is>
      </c>
    </row>
    <row r="411">
      <c r="A411" t="inlineStr">
        <is>
          <t>HWRD</t>
        </is>
      </c>
      <c r="B411" t="inlineStr">
        <is>
          <t>Creighton Lombardi-Gerber</t>
        </is>
      </c>
      <c r="C411" t="inlineStr">
        <is>
          <t>2026-03-31_DMSC_at_HWRD</t>
        </is>
      </c>
    </row>
    <row r="412">
      <c r="A412" t="inlineStr">
        <is>
          <t>HWRD</t>
        </is>
      </c>
      <c r="B412" t="inlineStr">
        <is>
          <t>Ryan Su</t>
        </is>
      </c>
      <c r="C412" t="inlineStr">
        <is>
          <t>2026-03-31_DMSC_at_HWRD</t>
        </is>
      </c>
    </row>
    <row r="413">
      <c r="A413" t="inlineStr">
        <is>
          <t>HWRD</t>
        </is>
      </c>
      <c r="B413" t="inlineStr">
        <is>
          <t>Max Parise</t>
        </is>
      </c>
      <c r="C413" t="inlineStr">
        <is>
          <t>2026-03-31_DMSC_at_HWRD</t>
        </is>
      </c>
    </row>
    <row r="414">
      <c r="A414" t="inlineStr">
        <is>
          <t>HWRD</t>
        </is>
      </c>
      <c r="B414" t="inlineStr">
        <is>
          <t>Thomas Estrada</t>
        </is>
      </c>
      <c r="C414" t="inlineStr">
        <is>
          <t>2026-03-31_DMSC_at_HWRD</t>
        </is>
      </c>
      <c r="D414" t="inlineStr">
        <is>
          <t>Pitcher only (no batting rows in log)</t>
        </is>
      </c>
    </row>
    <row r="415">
      <c r="A415" t="inlineStr">
        <is>
          <t>HWRD</t>
        </is>
      </c>
      <c r="B415" t="inlineStr">
        <is>
          <t>Jimmy Spitz</t>
        </is>
      </c>
      <c r="C415" t="inlineStr">
        <is>
          <t>2026-03-21_HWRD_at_HMMN</t>
        </is>
      </c>
    </row>
    <row r="416">
      <c r="A416" t="inlineStr">
        <is>
          <t>HMMN</t>
        </is>
      </c>
      <c r="B416" t="inlineStr">
        <is>
          <t>Darsh Bhatt</t>
        </is>
      </c>
      <c r="C416" t="inlineStr">
        <is>
          <t>2026-03-21_HWRD_at_HMMN</t>
        </is>
      </c>
      <c r="D416" t="inlineStr">
        <is>
          <t>Bats and pitches</t>
        </is>
      </c>
    </row>
    <row r="417">
      <c r="A417" t="inlineStr">
        <is>
          <t>CRFT</t>
        </is>
      </c>
      <c r="B417" t="inlineStr">
        <is>
          <t>Marcell Brown-Mitchell</t>
        </is>
      </c>
      <c r="C417" t="inlineStr">
        <is>
          <t>2026-03-31_HWRD_at_CRFT</t>
        </is>
      </c>
    </row>
    <row r="418">
      <c r="A418" t="inlineStr">
        <is>
          <t>CRFT</t>
        </is>
      </c>
      <c r="B418" t="inlineStr">
        <is>
          <t>Billy White</t>
        </is>
      </c>
      <c r="C418" t="inlineStr">
        <is>
          <t>2026-03-31_HWRD_at_CRFT</t>
        </is>
      </c>
    </row>
    <row r="419">
      <c r="A419" t="inlineStr">
        <is>
          <t>CRFT</t>
        </is>
      </c>
      <c r="B419" t="inlineStr">
        <is>
          <t>Jason Gifford</t>
        </is>
      </c>
      <c r="C419" t="inlineStr">
        <is>
          <t>2026-03-31_HWRD_at_CRFT</t>
        </is>
      </c>
    </row>
    <row r="420">
      <c r="A420" t="inlineStr">
        <is>
          <t>CRFT</t>
        </is>
      </c>
      <c r="B420" t="inlineStr">
        <is>
          <t>Evan Colgan</t>
        </is>
      </c>
      <c r="C420" t="inlineStr">
        <is>
          <t>2026-03-31_HWRD_at_CRFT</t>
        </is>
      </c>
    </row>
    <row r="421">
      <c r="A421" t="inlineStr">
        <is>
          <t>CRFT</t>
        </is>
      </c>
      <c r="B421" t="inlineStr">
        <is>
          <t>Nathan Truman</t>
        </is>
      </c>
      <c r="C421" t="inlineStr">
        <is>
          <t>2026-03-31_HWRD_at_CRFT</t>
        </is>
      </c>
    </row>
    <row r="422">
      <c r="A422" t="inlineStr">
        <is>
          <t>CRFT</t>
        </is>
      </c>
      <c r="B422" t="inlineStr">
        <is>
          <t>Xander Bejar</t>
        </is>
      </c>
      <c r="C422" t="inlineStr">
        <is>
          <t>2026-03-31_HWRD_at_CRFT</t>
        </is>
      </c>
      <c r="D422" t="inlineStr">
        <is>
          <t>Bats and pitches</t>
        </is>
      </c>
    </row>
    <row r="423">
      <c r="A423" t="inlineStr">
        <is>
          <t>CRFT</t>
        </is>
      </c>
      <c r="B423" t="inlineStr">
        <is>
          <t>CRFT_#10</t>
        </is>
      </c>
      <c r="C423" t="inlineStr">
        <is>
          <t>2026-03-31_HWRD_at_CRFT</t>
        </is>
      </c>
      <c r="D423" t="inlineStr">
        <is>
          <t>Bats and pitches</t>
        </is>
      </c>
    </row>
    <row r="424">
      <c r="A424" t="inlineStr">
        <is>
          <t>CRFT</t>
        </is>
      </c>
      <c r="B424" t="inlineStr">
        <is>
          <t>Kaleb Willis</t>
        </is>
      </c>
      <c r="C424" t="inlineStr">
        <is>
          <t>2026-03-31_HWRD_at_CRFT</t>
        </is>
      </c>
    </row>
    <row r="425">
      <c r="A425" t="inlineStr">
        <is>
          <t>CRFT</t>
        </is>
      </c>
      <c r="B425" t="inlineStr">
        <is>
          <t>Logan Davis</t>
        </is>
      </c>
      <c r="C425" t="inlineStr">
        <is>
          <t>2026-03-31_HWRD_at_CRFT</t>
        </is>
      </c>
    </row>
    <row r="426">
      <c r="A426" t="inlineStr">
        <is>
          <t>CRFT</t>
        </is>
      </c>
      <c r="B426" t="inlineStr">
        <is>
          <t>Joe Hammock</t>
        </is>
      </c>
      <c r="C426" t="inlineStr">
        <is>
          <t>2026-03-31_HWRD_at_CRFT</t>
        </is>
      </c>
    </row>
    <row r="427">
      <c r="A427" t="inlineStr">
        <is>
          <t>CRFT</t>
        </is>
      </c>
      <c r="B427" t="inlineStr">
        <is>
          <t>Aaron Weber</t>
        </is>
      </c>
      <c r="C427" t="inlineStr">
        <is>
          <t>2026-03-31_HWRD_at_CRFT</t>
        </is>
      </c>
    </row>
    <row r="428">
      <c r="A428" t="inlineStr">
        <is>
          <t>CRFT</t>
        </is>
      </c>
      <c r="B428" t="inlineStr">
        <is>
          <t>Michael Seery</t>
        </is>
      </c>
      <c r="C428" t="inlineStr">
        <is>
          <t>2026-03-31_HWRD_at_CRFT</t>
        </is>
      </c>
      <c r="D428" t="inlineStr">
        <is>
          <t>Pitcher only (no batting rows in log)</t>
        </is>
      </c>
    </row>
    <row r="429">
      <c r="A429" t="inlineStr">
        <is>
          <t>MRRT</t>
        </is>
      </c>
      <c r="B429" t="inlineStr">
        <is>
          <t>Alex Montgomery</t>
        </is>
      </c>
      <c r="C429" t="inlineStr">
        <is>
          <t>2026-03-30_HWRD_at_MRRT</t>
        </is>
      </c>
    </row>
    <row r="430">
      <c r="A430" t="inlineStr">
        <is>
          <t>CPPN</t>
        </is>
      </c>
      <c r="B430" t="inlineStr">
        <is>
          <t>J Spencer</t>
        </is>
      </c>
      <c r="C430" t="inlineStr">
        <is>
          <t>2026-03-23_CPPN_at_PLYV</t>
        </is>
      </c>
    </row>
    <row r="431">
      <c r="A431" t="inlineStr">
        <is>
          <t>CPPN</t>
        </is>
      </c>
      <c r="B431" t="inlineStr">
        <is>
          <t>K Diggs</t>
        </is>
      </c>
      <c r="C431" t="inlineStr">
        <is>
          <t>2026-03-23_CPPN_at_PLYV</t>
        </is>
      </c>
    </row>
    <row r="432">
      <c r="A432" t="inlineStr">
        <is>
          <t>CPPN</t>
        </is>
      </c>
      <c r="B432" t="inlineStr">
        <is>
          <t>J Whitehead</t>
        </is>
      </c>
      <c r="C432" t="inlineStr">
        <is>
          <t>2026-03-23_CPPN_at_PLYV</t>
        </is>
      </c>
      <c r="D432" t="inlineStr">
        <is>
          <t>Bats and pitches</t>
        </is>
      </c>
    </row>
    <row r="433">
      <c r="A433" t="inlineStr">
        <is>
          <t>CPPN</t>
        </is>
      </c>
      <c r="B433" t="inlineStr">
        <is>
          <t>J Hardy</t>
        </is>
      </c>
      <c r="C433" t="inlineStr">
        <is>
          <t>2026-03-23_CPPN_at_PLYV</t>
        </is>
      </c>
      <c r="D433" t="inlineStr">
        <is>
          <t>Bats and pitches</t>
        </is>
      </c>
    </row>
    <row r="434">
      <c r="A434" t="inlineStr">
        <is>
          <t>CPPN</t>
        </is>
      </c>
      <c r="B434" t="inlineStr">
        <is>
          <t>A Sterrette</t>
        </is>
      </c>
      <c r="C434" t="inlineStr">
        <is>
          <t>2026-03-23_CPPN_at_PLYV</t>
        </is>
      </c>
    </row>
    <row r="435">
      <c r="A435" t="inlineStr">
        <is>
          <t>CPPN</t>
        </is>
      </c>
      <c r="B435" t="inlineStr">
        <is>
          <t>J Trusty</t>
        </is>
      </c>
      <c r="C435" t="inlineStr">
        <is>
          <t>2026-03-23_CPPN_at_PLYV</t>
        </is>
      </c>
    </row>
    <row r="436">
      <c r="A436" t="inlineStr">
        <is>
          <t>CPPN</t>
        </is>
      </c>
      <c r="B436" t="inlineStr">
        <is>
          <t>H Rodwell</t>
        </is>
      </c>
      <c r="C436" t="inlineStr">
        <is>
          <t>2026-03-23_CPPN_at_PLYV</t>
        </is>
      </c>
    </row>
    <row r="437">
      <c r="A437" t="inlineStr">
        <is>
          <t>CPPN</t>
        </is>
      </c>
      <c r="B437" t="inlineStr">
        <is>
          <t>M Garrett</t>
        </is>
      </c>
      <c r="C437" t="inlineStr">
        <is>
          <t>2026-03-23_CPPN_at_PLYV</t>
        </is>
      </c>
    </row>
    <row r="438">
      <c r="A438" t="inlineStr">
        <is>
          <t>CPPN</t>
        </is>
      </c>
      <c r="B438" t="inlineStr">
        <is>
          <t>K Rice</t>
        </is>
      </c>
      <c r="C438" t="inlineStr">
        <is>
          <t>2026-03-23_CPPN_at_PLYV</t>
        </is>
      </c>
      <c r="D438" t="inlineStr">
        <is>
          <t>Bats and pitches</t>
        </is>
      </c>
    </row>
    <row r="439">
      <c r="A439" t="inlineStr">
        <is>
          <t>PLYV</t>
        </is>
      </c>
      <c r="B439" t="inlineStr">
        <is>
          <t>Julian Robin</t>
        </is>
      </c>
      <c r="C439" t="inlineStr">
        <is>
          <t>2026-03-23_CPPN_at_PLYV</t>
        </is>
      </c>
    </row>
    <row r="440">
      <c r="A440" t="inlineStr">
        <is>
          <t>PLYV</t>
        </is>
      </c>
      <c r="B440" t="inlineStr">
        <is>
          <t>Lucas Bryant</t>
        </is>
      </c>
      <c r="C440" t="inlineStr">
        <is>
          <t>2026-03-23_CPPN_at_PLYV</t>
        </is>
      </c>
    </row>
    <row r="441">
      <c r="A441" t="inlineStr">
        <is>
          <t>PLYV</t>
        </is>
      </c>
      <c r="B441" t="inlineStr">
        <is>
          <t>Nathaniel Barry</t>
        </is>
      </c>
      <c r="C441" t="inlineStr">
        <is>
          <t>2026-03-23_CPPN_at_PLYV</t>
        </is>
      </c>
    </row>
    <row r="442">
      <c r="A442" t="inlineStr">
        <is>
          <t>PLYV</t>
        </is>
      </c>
      <c r="B442" t="inlineStr">
        <is>
          <t>Ashton Hill</t>
        </is>
      </c>
      <c r="C442" t="inlineStr">
        <is>
          <t>2026-03-23_CPPN_at_PLYV</t>
        </is>
      </c>
    </row>
    <row r="443">
      <c r="A443" t="inlineStr">
        <is>
          <t>PLYV</t>
        </is>
      </c>
      <c r="B443" t="inlineStr">
        <is>
          <t>Kingston Antonio</t>
        </is>
      </c>
      <c r="C443" t="inlineStr">
        <is>
          <t>2026-03-23_CPPN_at_PLYV</t>
        </is>
      </c>
    </row>
    <row r="444">
      <c r="A444" t="inlineStr">
        <is>
          <t>PLYV</t>
        </is>
      </c>
      <c r="B444" t="inlineStr">
        <is>
          <t>Max Freeman</t>
        </is>
      </c>
      <c r="C444" t="inlineStr">
        <is>
          <t>2026-03-23_CPPN_at_PLYV</t>
        </is>
      </c>
      <c r="D444" t="inlineStr">
        <is>
          <t>Bats and pitches</t>
        </is>
      </c>
    </row>
    <row r="445">
      <c r="A445" t="inlineStr">
        <is>
          <t>PLYV</t>
        </is>
      </c>
      <c r="B445" t="inlineStr">
        <is>
          <t>Jakeem Mcbride</t>
        </is>
      </c>
      <c r="C445" t="inlineStr">
        <is>
          <t>2026-03-23_CPPN_at_PLYV</t>
        </is>
      </c>
    </row>
    <row r="446">
      <c r="A446" t="inlineStr">
        <is>
          <t>PLYV</t>
        </is>
      </c>
      <c r="B446" t="inlineStr">
        <is>
          <t>Ian Dickensheets</t>
        </is>
      </c>
      <c r="C446" t="inlineStr">
        <is>
          <t>2026-03-23_CPPN_at_PLYV</t>
        </is>
      </c>
    </row>
    <row r="447">
      <c r="A447" t="inlineStr">
        <is>
          <t>PLYV</t>
        </is>
      </c>
      <c r="B447" t="inlineStr">
        <is>
          <t>Ikram Khan</t>
        </is>
      </c>
      <c r="C447" t="inlineStr">
        <is>
          <t>2026-03-23_CPPN_at_PLYV</t>
        </is>
      </c>
    </row>
    <row r="448">
      <c r="A448" t="inlineStr">
        <is>
          <t>PLYV</t>
        </is>
      </c>
      <c r="B448" t="inlineStr">
        <is>
          <t>Hayden Flipovitz</t>
        </is>
      </c>
      <c r="C448" t="inlineStr">
        <is>
          <t>2026-03-23_CPPN_at_PLYV</t>
        </is>
      </c>
    </row>
    <row r="449">
      <c r="A449" t="inlineStr">
        <is>
          <t>PLYV</t>
        </is>
      </c>
      <c r="B449" t="inlineStr">
        <is>
          <t>Zachariah Lawrence</t>
        </is>
      </c>
      <c r="C449" t="inlineStr">
        <is>
          <t>2026-03-23_CPPN_at_PLYV</t>
        </is>
      </c>
    </row>
    <row r="450">
      <c r="A450" t="inlineStr">
        <is>
          <t>PLYV</t>
        </is>
      </c>
      <c r="B450" t="inlineStr">
        <is>
          <t>Roman Girardi</t>
        </is>
      </c>
      <c r="C450" t="inlineStr">
        <is>
          <t>2026-03-23_CPPN_at_PLYV</t>
        </is>
      </c>
    </row>
    <row r="451">
      <c r="A451" t="inlineStr">
        <is>
          <t>PLYV</t>
        </is>
      </c>
      <c r="B451" t="inlineStr">
        <is>
          <t>Krishtain Mcleod</t>
        </is>
      </c>
      <c r="C451" t="inlineStr">
        <is>
          <t>2026-03-23_CPPN_at_PLYV</t>
        </is>
      </c>
    </row>
    <row r="452">
      <c r="A452" t="inlineStr">
        <is>
          <t>PLYV</t>
        </is>
      </c>
      <c r="B452" t="inlineStr">
        <is>
          <t>Joshua Tyree</t>
        </is>
      </c>
      <c r="C452" t="inlineStr">
        <is>
          <t>2026-03-23_CPPN_at_PLYV</t>
        </is>
      </c>
    </row>
    <row r="453">
      <c r="A453" t="inlineStr">
        <is>
          <t>PLYV</t>
        </is>
      </c>
      <c r="B453" t="inlineStr">
        <is>
          <t>Shane King</t>
        </is>
      </c>
      <c r="C453" t="inlineStr">
        <is>
          <t>2026-03-25_DGLS_at_PLYV</t>
        </is>
      </c>
    </row>
    <row r="454">
      <c r="A454" t="inlineStr">
        <is>
          <t>PLYV</t>
        </is>
      </c>
      <c r="B454" t="inlineStr">
        <is>
          <t>Kaden Wooden</t>
        </is>
      </c>
      <c r="C454" t="inlineStr">
        <is>
          <t>2026-03-25_DGLS_at_PLYV</t>
        </is>
      </c>
    </row>
    <row r="455">
      <c r="A455" t="inlineStr">
        <is>
          <t>PLYV</t>
        </is>
      </c>
      <c r="B455" t="inlineStr">
        <is>
          <t>Daniel Hong</t>
        </is>
      </c>
      <c r="C455" t="inlineStr">
        <is>
          <t>2026-03-25_DGLS_at_PLYV</t>
        </is>
      </c>
    </row>
    <row r="456">
      <c r="A456" t="inlineStr">
        <is>
          <t>PLYV</t>
        </is>
      </c>
      <c r="B456" t="inlineStr">
        <is>
          <t>Coleman Bryant</t>
        </is>
      </c>
      <c r="C456" t="inlineStr">
        <is>
          <t>2026-03-25_DGLS_at_PLYV</t>
        </is>
      </c>
    </row>
    <row r="457">
      <c r="A457" t="inlineStr">
        <is>
          <t>PLYV</t>
        </is>
      </c>
      <c r="B457" t="inlineStr">
        <is>
          <t>Henry Overton</t>
        </is>
      </c>
      <c r="C457" t="inlineStr">
        <is>
          <t>2026-03-25_DGLS_at_PLYV</t>
        </is>
      </c>
    </row>
    <row r="458">
      <c r="A458" t="inlineStr">
        <is>
          <t>PLYV</t>
        </is>
      </c>
      <c r="B458" t="inlineStr">
        <is>
          <t>Kai Ely</t>
        </is>
      </c>
      <c r="C458" t="inlineStr">
        <is>
          <t>2026-03-25_DGLS_at_PLYV</t>
        </is>
      </c>
    </row>
    <row r="459">
      <c r="A459" t="inlineStr">
        <is>
          <t>DGLS</t>
        </is>
      </c>
      <c r="B459" t="inlineStr">
        <is>
          <t>Shaul Klein</t>
        </is>
      </c>
      <c r="C459" t="inlineStr">
        <is>
          <t>2026-03-25_DGLS_at_PLYV</t>
        </is>
      </c>
    </row>
    <row r="460">
      <c r="A460" t="inlineStr">
        <is>
          <t>DGLS</t>
        </is>
      </c>
      <c r="B460" t="inlineStr">
        <is>
          <t>leonard jones</t>
        </is>
      </c>
      <c r="C460" t="inlineStr">
        <is>
          <t>2026-03-25_DGLS_at_PLYV</t>
        </is>
      </c>
    </row>
    <row r="461">
      <c r="A461" t="inlineStr">
        <is>
          <t>DGLS</t>
        </is>
      </c>
      <c r="B461" t="inlineStr">
        <is>
          <t>Wilner Vergel-Rivero</t>
        </is>
      </c>
      <c r="C461" t="inlineStr">
        <is>
          <t>2026-03-25_DGLS_at_PLYV</t>
        </is>
      </c>
      <c r="D461" t="inlineStr">
        <is>
          <t>Bats and pitches</t>
        </is>
      </c>
    </row>
    <row r="462">
      <c r="A462" t="inlineStr">
        <is>
          <t>DGLS</t>
        </is>
      </c>
      <c r="B462" t="inlineStr">
        <is>
          <t>Nuinner Vergel-Rivero</t>
        </is>
      </c>
      <c r="C462" t="inlineStr">
        <is>
          <t>2026-03-25_DGLS_at_PLYV</t>
        </is>
      </c>
    </row>
    <row r="463">
      <c r="A463" t="inlineStr">
        <is>
          <t>DGLS</t>
        </is>
      </c>
      <c r="B463" t="inlineStr">
        <is>
          <t>Luis Alegria Gonzalez</t>
        </is>
      </c>
      <c r="C463" t="inlineStr">
        <is>
          <t>2026-03-25_DGLS_at_PLYV</t>
        </is>
      </c>
    </row>
    <row r="464">
      <c r="A464" t="inlineStr">
        <is>
          <t>DGLS</t>
        </is>
      </c>
      <c r="B464" t="inlineStr">
        <is>
          <t>Deivid Mendoza</t>
        </is>
      </c>
      <c r="C464" t="inlineStr">
        <is>
          <t>2026-03-25_DGLS_at_PLYV</t>
        </is>
      </c>
      <c r="D464" t="inlineStr">
        <is>
          <t>Bats and pitches</t>
        </is>
      </c>
    </row>
    <row r="465">
      <c r="A465" t="inlineStr">
        <is>
          <t>DGLS</t>
        </is>
      </c>
      <c r="B465" t="inlineStr">
        <is>
          <t>Peyton-Antonio White</t>
        </is>
      </c>
      <c r="C465" t="inlineStr">
        <is>
          <t>2026-03-25_DGLS_at_PLYV</t>
        </is>
      </c>
    </row>
    <row r="466">
      <c r="A466" t="inlineStr">
        <is>
          <t>DGLS</t>
        </is>
      </c>
      <c r="B466" t="inlineStr">
        <is>
          <t>Isaac Montufar Reyes</t>
        </is>
      </c>
      <c r="C466" t="inlineStr">
        <is>
          <t>2026-03-25_DGLS_at_PLYV</t>
        </is>
      </c>
      <c r="D466" t="inlineStr">
        <is>
          <t>Bats and pitches</t>
        </is>
      </c>
    </row>
    <row r="467">
      <c r="A467" t="inlineStr">
        <is>
          <t>DGLS</t>
        </is>
      </c>
      <c r="B467" t="inlineStr">
        <is>
          <t>Marquise Hernandez</t>
        </is>
      </c>
      <c r="C467" t="inlineStr">
        <is>
          <t>2026-03-25_DGLS_at_PLYV</t>
        </is>
      </c>
    </row>
    <row r="468">
      <c r="A468" t="inlineStr">
        <is>
          <t>DGLS</t>
        </is>
      </c>
      <c r="B468" t="inlineStr">
        <is>
          <t>Nehemiah Ford</t>
        </is>
      </c>
      <c r="C468" t="inlineStr">
        <is>
          <t>2026-03-25_DGLS_at_PLYV</t>
        </is>
      </c>
    </row>
    <row r="469">
      <c r="A469" t="inlineStr">
        <is>
          <t>FRST</t>
        </is>
      </c>
      <c r="B469" t="inlineStr">
        <is>
          <t>Timpson</t>
        </is>
      </c>
      <c r="C469" t="inlineStr">
        <is>
          <t>2026-03-27_FRST_at_PLYV</t>
        </is>
      </c>
    </row>
    <row r="470">
      <c r="A470" t="inlineStr">
        <is>
          <t>FRST</t>
        </is>
      </c>
      <c r="B470" t="inlineStr">
        <is>
          <t>Grant</t>
        </is>
      </c>
      <c r="C470" t="inlineStr">
        <is>
          <t>2026-03-27_FRST_at_PLYV</t>
        </is>
      </c>
    </row>
    <row r="471">
      <c r="A471" t="inlineStr">
        <is>
          <t>FRST</t>
        </is>
      </c>
      <c r="B471" t="inlineStr">
        <is>
          <t>Lucas</t>
        </is>
      </c>
      <c r="C471" t="inlineStr">
        <is>
          <t>2026-03-27_FRST_at_PLYV</t>
        </is>
      </c>
    </row>
    <row r="472">
      <c r="A472" t="inlineStr">
        <is>
          <t>FRST</t>
        </is>
      </c>
      <c r="B472" t="inlineStr">
        <is>
          <t>Bostic</t>
        </is>
      </c>
      <c r="C472" t="inlineStr">
        <is>
          <t>2026-03-27_FRST_at_PLYV</t>
        </is>
      </c>
    </row>
    <row r="473">
      <c r="A473" t="inlineStr">
        <is>
          <t>FRST</t>
        </is>
      </c>
      <c r="B473" t="inlineStr">
        <is>
          <t>Riddick</t>
        </is>
      </c>
      <c r="C473" t="inlineStr">
        <is>
          <t>2026-03-27_FRST_at_PLYV</t>
        </is>
      </c>
      <c r="D473" t="inlineStr">
        <is>
          <t>Bats and pitches</t>
        </is>
      </c>
    </row>
    <row r="474">
      <c r="A474" t="inlineStr">
        <is>
          <t>FRST</t>
        </is>
      </c>
      <c r="B474" t="inlineStr">
        <is>
          <t>Jones</t>
        </is>
      </c>
      <c r="C474" t="inlineStr">
        <is>
          <t>2026-03-27_FRST_at_PLYV</t>
        </is>
      </c>
    </row>
    <row r="475">
      <c r="A475" t="inlineStr">
        <is>
          <t>FRST</t>
        </is>
      </c>
      <c r="B475" t="inlineStr">
        <is>
          <t>Wallington</t>
        </is>
      </c>
      <c r="C475" t="inlineStr">
        <is>
          <t>2026-03-27_FRST_at_PLYV</t>
        </is>
      </c>
    </row>
    <row r="476">
      <c r="A476" t="inlineStr">
        <is>
          <t>FRST</t>
        </is>
      </c>
      <c r="B476" t="inlineStr">
        <is>
          <t>Askew</t>
        </is>
      </c>
      <c r="C476" t="inlineStr">
        <is>
          <t>2026-03-27_FRST_at_PLYV</t>
        </is>
      </c>
    </row>
    <row r="477">
      <c r="A477" t="inlineStr">
        <is>
          <t>FRST</t>
        </is>
      </c>
      <c r="B477" t="inlineStr">
        <is>
          <t>Moore</t>
        </is>
      </c>
      <c r="C477" t="inlineStr">
        <is>
          <t>2026-03-27_FRST_at_PLYV</t>
        </is>
      </c>
    </row>
    <row r="478">
      <c r="A478" t="inlineStr">
        <is>
          <t>FRST</t>
        </is>
      </c>
      <c r="B478" t="inlineStr">
        <is>
          <t>Laboo</t>
        </is>
      </c>
      <c r="C478" t="inlineStr">
        <is>
          <t>2026-03-27_FRST_at_PLYV</t>
        </is>
      </c>
      <c r="D478" t="inlineStr">
        <is>
          <t>Bats and pitches</t>
        </is>
      </c>
    </row>
    <row r="479">
      <c r="A479" t="inlineStr">
        <is>
          <t>ESTR</t>
        </is>
      </c>
      <c r="B479" t="inlineStr">
        <is>
          <t>Rob Peterson</t>
        </is>
      </c>
      <c r="C479" t="inlineStr">
        <is>
          <t>2026-04-04_PLYV_at_ESTR</t>
        </is>
      </c>
    </row>
    <row r="480">
      <c r="A480" t="inlineStr">
        <is>
          <t>ESTR</t>
        </is>
      </c>
      <c r="B480" t="inlineStr">
        <is>
          <t>Isaac Strittmatter</t>
        </is>
      </c>
      <c r="C480" t="inlineStr">
        <is>
          <t>2026-04-04_PLYV_at_ESTR</t>
        </is>
      </c>
    </row>
    <row r="481">
      <c r="A481" t="inlineStr">
        <is>
          <t>ESTR</t>
        </is>
      </c>
      <c r="B481" t="inlineStr">
        <is>
          <t>Kingston Lawrence</t>
        </is>
      </c>
      <c r="C481" t="inlineStr">
        <is>
          <t>2026-04-04_PLYV_at_ESTR</t>
        </is>
      </c>
      <c r="D481" t="inlineStr">
        <is>
          <t>Bats and pitches</t>
        </is>
      </c>
    </row>
    <row r="482">
      <c r="A482" t="inlineStr">
        <is>
          <t>ESTR</t>
        </is>
      </c>
      <c r="B482" t="inlineStr">
        <is>
          <t>Nico Smith</t>
        </is>
      </c>
      <c r="C482" t="inlineStr">
        <is>
          <t>2026-04-04_PLYV_at_ESTR</t>
        </is>
      </c>
    </row>
    <row r="483">
      <c r="A483" t="inlineStr">
        <is>
          <t>ESTR</t>
        </is>
      </c>
      <c r="B483" t="inlineStr">
        <is>
          <t>Mason Glatt</t>
        </is>
      </c>
      <c r="C483" t="inlineStr">
        <is>
          <t>2026-04-04_PLYV_at_ESTR</t>
        </is>
      </c>
      <c r="D483" t="inlineStr">
        <is>
          <t>Bats and pitches</t>
        </is>
      </c>
    </row>
    <row r="484">
      <c r="A484" t="inlineStr">
        <is>
          <t>ESTR</t>
        </is>
      </c>
      <c r="B484" t="inlineStr">
        <is>
          <t>Paul Hester</t>
        </is>
      </c>
      <c r="C484" t="inlineStr">
        <is>
          <t>2026-04-04_PLYV_at_ESTR</t>
        </is>
      </c>
    </row>
    <row r="485">
      <c r="A485" t="inlineStr">
        <is>
          <t>ESTR</t>
        </is>
      </c>
      <c r="B485" t="inlineStr">
        <is>
          <t>Brody Evans</t>
        </is>
      </c>
      <c r="C485" t="inlineStr">
        <is>
          <t>2026-04-04_PLYV_at_ESTR</t>
        </is>
      </c>
    </row>
    <row r="486">
      <c r="A486" t="inlineStr">
        <is>
          <t>ESTR</t>
        </is>
      </c>
      <c r="B486" t="inlineStr">
        <is>
          <t>Logan Hickman</t>
        </is>
      </c>
      <c r="C486" t="inlineStr">
        <is>
          <t>2026-04-04_PLYV_at_ESTR</t>
        </is>
      </c>
    </row>
    <row r="487">
      <c r="A487" t="inlineStr">
        <is>
          <t>ESTR</t>
        </is>
      </c>
      <c r="B487" t="inlineStr">
        <is>
          <t>Nate Noyes</t>
        </is>
      </c>
      <c r="C487" t="inlineStr">
        <is>
          <t>2026-04-04_PLYV_at_ESTR</t>
        </is>
      </c>
      <c r="D487" t="inlineStr">
        <is>
          <t>Bats and pitches</t>
        </is>
      </c>
    </row>
    <row r="488">
      <c r="A488" t="inlineStr">
        <is>
          <t>ESTR</t>
        </is>
      </c>
      <c r="B488" t="inlineStr">
        <is>
          <t>Jonah Scott</t>
        </is>
      </c>
      <c r="C488" t="inlineStr">
        <is>
          <t>2026-04-04_PLYV_at_ESTR</t>
        </is>
      </c>
    </row>
    <row r="489">
      <c r="A489" t="inlineStr">
        <is>
          <t>ESTR</t>
        </is>
      </c>
      <c r="B489" t="inlineStr">
        <is>
          <t>Landry Evans</t>
        </is>
      </c>
      <c r="C489" t="inlineStr">
        <is>
          <t>2026-04-04_PLYV_at_ESTR</t>
        </is>
      </c>
    </row>
    <row r="490">
      <c r="A490" t="inlineStr">
        <is>
          <t>PRKS</t>
        </is>
      </c>
      <c r="B490" t="inlineStr">
        <is>
          <t>Dylan Katz</t>
        </is>
      </c>
      <c r="C490" t="inlineStr">
        <is>
          <t>2026-04-04_PRKS_at_PLYV</t>
        </is>
      </c>
      <c r="D490" t="inlineStr">
        <is>
          <t>Bats and pitches</t>
        </is>
      </c>
    </row>
    <row r="491">
      <c r="A491" t="inlineStr">
        <is>
          <t>PRKS</t>
        </is>
      </c>
      <c r="B491" t="inlineStr">
        <is>
          <t>Zach Chait</t>
        </is>
      </c>
      <c r="C491" t="inlineStr">
        <is>
          <t>2026-04-04_PRKS_at_PLYV</t>
        </is>
      </c>
    </row>
    <row r="492">
      <c r="A492" t="inlineStr">
        <is>
          <t>PRKS</t>
        </is>
      </c>
      <c r="B492" t="inlineStr">
        <is>
          <t>I Shapero</t>
        </is>
      </c>
      <c r="C492" t="inlineStr">
        <is>
          <t>2026-04-04_PRKS_at_PLYV</t>
        </is>
      </c>
      <c r="D492" t="inlineStr">
        <is>
          <t>Bats and pitches</t>
        </is>
      </c>
    </row>
    <row r="493">
      <c r="A493" t="inlineStr">
        <is>
          <t>PRKS</t>
        </is>
      </c>
      <c r="B493" t="inlineStr">
        <is>
          <t>Jack Rogers</t>
        </is>
      </c>
      <c r="C493" t="inlineStr">
        <is>
          <t>2026-04-04_PRKS_at_PLYV</t>
        </is>
      </c>
    </row>
    <row r="494">
      <c r="A494" t="inlineStr">
        <is>
          <t>PRKS</t>
        </is>
      </c>
      <c r="B494" t="inlineStr">
        <is>
          <t>True Bridgeford</t>
        </is>
      </c>
      <c r="C494" t="inlineStr">
        <is>
          <t>2026-04-04_PRKS_at_PLYV</t>
        </is>
      </c>
    </row>
    <row r="495">
      <c r="A495" t="inlineStr">
        <is>
          <t>PRKS</t>
        </is>
      </c>
      <c r="B495" t="inlineStr">
        <is>
          <t>Cam Blum</t>
        </is>
      </c>
      <c r="C495" t="inlineStr">
        <is>
          <t>2026-04-04_PRKS_at_PLYV</t>
        </is>
      </c>
      <c r="D495" t="inlineStr">
        <is>
          <t>Bats and pitches</t>
        </is>
      </c>
    </row>
    <row r="496">
      <c r="A496" t="inlineStr">
        <is>
          <t>PRKS</t>
        </is>
      </c>
      <c r="B496" t="inlineStr">
        <is>
          <t>J Pulley</t>
        </is>
      </c>
      <c r="C496" t="inlineStr">
        <is>
          <t>2026-04-04_PRKS_at_PLYV</t>
        </is>
      </c>
    </row>
    <row r="497">
      <c r="A497" t="inlineStr">
        <is>
          <t>PRKS</t>
        </is>
      </c>
      <c r="B497" t="inlineStr">
        <is>
          <t>Isaac Cohen</t>
        </is>
      </c>
      <c r="C497" t="inlineStr">
        <is>
          <t>2026-04-04_PRKS_at_PLYV</t>
        </is>
      </c>
    </row>
    <row r="498">
      <c r="A498" t="inlineStr">
        <is>
          <t>PRKS</t>
        </is>
      </c>
      <c r="B498" t="inlineStr">
        <is>
          <t>Luca Jordan</t>
        </is>
      </c>
      <c r="C498" t="inlineStr">
        <is>
          <t>2026-04-04_PRKS_at_PLYV</t>
        </is>
      </c>
    </row>
    <row r="499">
      <c r="A499" t="inlineStr">
        <is>
          <t>PRKS</t>
        </is>
      </c>
      <c r="B499" t="inlineStr">
        <is>
          <t>Kasra Haerian</t>
        </is>
      </c>
      <c r="C499" t="inlineStr">
        <is>
          <t>2026-04-04_PRKS_at_PLYV</t>
        </is>
      </c>
    </row>
    <row r="500">
      <c r="A500" t="inlineStr">
        <is>
          <t>PRKS</t>
        </is>
      </c>
      <c r="B500" t="inlineStr">
        <is>
          <t>Noah Tomasino</t>
        </is>
      </c>
      <c r="C500" t="inlineStr">
        <is>
          <t>2026-04-04_PRKS_at_PLYV</t>
        </is>
      </c>
    </row>
    <row r="501">
      <c r="A501" t="inlineStr">
        <is>
          <t>PRKS</t>
        </is>
      </c>
      <c r="B501" t="inlineStr">
        <is>
          <t>James Robbins</t>
        </is>
      </c>
      <c r="C501" t="inlineStr">
        <is>
          <t>2026-04-04_PRKS_at_PLYV</t>
        </is>
      </c>
      <c r="D501" t="inlineStr">
        <is>
          <t>Bats and pitches</t>
        </is>
      </c>
    </row>
    <row r="502">
      <c r="A502" t="inlineStr">
        <is>
          <t>MRRT</t>
        </is>
      </c>
      <c r="B502" t="inlineStr">
        <is>
          <t>A Montgomery</t>
        </is>
      </c>
      <c r="C502" t="inlineStr">
        <is>
          <t>2026-03-26_MRRT_at_CNTN</t>
        </is>
      </c>
      <c r="D502" t="inlineStr">
        <is>
          <t>Catcher. May be same player as "Alex Montgomery" (first seen 2026-03-30_HWRD_at_MRRT); player key follows first-initial+last-name format consistent with this game log.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2" customWidth="1" min="3" max="3"/>
  </cols>
  <sheetData>
    <row r="1" ht="20" customHeight="1">
      <c r="A1" s="5" t="inlineStr">
        <is>
          <t>RIVERHILL HAWKS — SCOUTING REPOSITORY: DERIVATION RULES</t>
        </is>
      </c>
      <c r="B1" s="6" t="inlineStr"/>
      <c r="C1" s="6" t="inlineStr"/>
    </row>
    <row r="2" ht="14" customHeight="1">
      <c r="A2" s="6" t="inlineStr"/>
      <c r="B2" s="6" t="inlineStr"/>
      <c r="C2" s="6" t="inlineStr"/>
    </row>
    <row r="3" ht="14" customHeight="1">
      <c r="A3" s="7" t="inlineStr">
        <is>
          <t>Rule</t>
        </is>
      </c>
      <c r="B3" s="7" t="inlineStr">
        <is>
          <t>Definition</t>
        </is>
      </c>
      <c r="C3" s="7" t="inlineStr">
        <is>
          <t>Source / Notes</t>
        </is>
      </c>
    </row>
    <row r="4" ht="14" customHeight="1">
      <c r="A4" s="8" t="inlineStr">
        <is>
          <t>AB</t>
        </is>
      </c>
      <c r="B4" s="6" t="inlineStr">
        <is>
          <t>PA − BB − HBP − SAC</t>
        </is>
      </c>
      <c r="C4" s="6" t="inlineStr">
        <is>
          <t>Reached-on-error and FC count as AB. Dropped 3rd strike counts as AB + K.</t>
        </is>
      </c>
    </row>
    <row r="5" ht="14" customHeight="1">
      <c r="A5" s="8" t="inlineStr">
        <is>
          <t>H</t>
        </is>
      </c>
      <c r="B5" s="6" t="inlineStr">
        <is>
          <t>1B + 2B + 3B + HR</t>
        </is>
      </c>
      <c r="C5" s="6" t="inlineStr">
        <is>
          <t>Reached-on-error does NOT count as H (counted as AB only).</t>
        </is>
      </c>
    </row>
    <row r="6" ht="14" customHeight="1">
      <c r="A6" s="8" t="inlineStr">
        <is>
          <t>R (batter)</t>
        </is>
      </c>
      <c r="B6" s="6" t="inlineStr">
        <is>
          <t>Runs scored by that player</t>
        </is>
      </c>
      <c r="C6" s="6" t="inlineStr">
        <is>
          <t>COURTESY RUNNER RULE: run credited to original player, not the CR. E.g. T1 play #3: B Bixby (CR for R Walsh) scores → R Walsh R+1, B Bixby R unchanged.</t>
        </is>
      </c>
    </row>
    <row r="7" ht="14" customHeight="1">
      <c r="A7" s="8" t="inlineStr">
        <is>
          <t>RBI</t>
        </is>
      </c>
      <c r="B7" s="6" t="inlineStr">
        <is>
          <t>Runs that score as a direct result of the batter's PA</t>
        </is>
      </c>
      <c r="C7" s="6" t="inlineStr">
        <is>
          <t>Productive out RBI counted (e.g. C Naecker T1 GO, J Norwood scores = 1 RBI).</t>
        </is>
      </c>
    </row>
    <row r="8" ht="14" customHeight="1">
      <c r="A8" s="8" t="inlineStr">
        <is>
          <t>SB / CS</t>
        </is>
      </c>
      <c r="B8" s="6" t="inlineStr">
        <is>
          <t>Stolen bases and caught stealing per player</t>
        </is>
      </c>
      <c r="C8" s="6" t="inlineStr">
        <is>
          <t>Often embedded within pitch sequences (Section 4) rather than logged as discrete plays. Extract from mid-AB notations in Section 4.</t>
        </is>
      </c>
    </row>
    <row r="9" ht="14" customHeight="1">
      <c r="A9" s="8" t="inlineStr">
        <is>
          <t>Outs_Recorded (pitcher)</t>
        </is>
      </c>
      <c r="B9" s="6" t="inlineStr">
        <is>
          <t>Count of outs attributed to pitcher's tenure</t>
        </is>
      </c>
      <c r="C9" s="6" t="inlineStr">
        <is>
          <t>Derive from Section 3 'Outs (End of Play)' column during pitcher's active innings. DO NOT use inning count. Handles partial innings cleanly. IP = Outs_Recorded/3 via formula.</t>
        </is>
      </c>
    </row>
    <row r="10" ht="14" customHeight="1">
      <c r="A10" s="8" t="inlineStr">
        <is>
          <t>R_Allowed (pitcher)</t>
        </is>
      </c>
      <c r="B10" s="6" t="inlineStr">
        <is>
          <t>Runs that score while the pitcher is on the mound</t>
        </is>
      </c>
      <c r="C10" s="6" t="inlineStr">
        <is>
          <t>Charged to the pitcher active when the run scores, regardless of who put the runner on base.</t>
        </is>
      </c>
    </row>
    <row r="11" ht="14" customHeight="1">
      <c r="A11" s="8" t="inlineStr">
        <is>
          <t>WP</t>
        </is>
      </c>
      <c r="B11" s="6" t="inlineStr">
        <is>
          <t>Wild pitches — embedded in Section 4 pitch sequences</t>
        </is>
      </c>
      <c r="C11" s="6" t="inlineStr">
        <is>
          <t>E.g. play #40 pitch seq includes '#6 advances to 3rd on wild pitch' → J Jenkins WP+1.</t>
        </is>
      </c>
    </row>
    <row r="12" ht="14" customHeight="1">
      <c r="A12" s="8" t="inlineStr">
        <is>
          <t>PB</t>
        </is>
      </c>
      <c r="B12" s="6" t="inlineStr">
        <is>
          <t>Passed ball — embedded in Section 4 pitch sequences</t>
        </is>
      </c>
      <c r="C12" s="6" t="inlineStr">
        <is>
          <t>E.g. play #61 pitch seq: 'R Miller advances to 2nd on passed ball'. NOT currently tracked in Pitching schema — note in pitcher Notes column.</t>
        </is>
      </c>
    </row>
    <row r="13" ht="14" customHeight="1">
      <c r="A13" s="8" t="inlineStr">
        <is>
          <t>Player key (opponent)</t>
        </is>
      </c>
      <c r="B13" s="6" t="inlineStr">
        <is>
          <t>Format: [OPP_CODE]_#[NUMBER] — no spaces</t>
        </is>
      </c>
      <c r="C13" s="6" t="inlineStr">
        <is>
          <t>Example: WSTF_#4. Consistent format required for SUMIF/COUNTIF across games.</t>
        </is>
      </c>
    </row>
    <row r="14" ht="14" customHeight="1">
      <c r="A14" s="8" t="inlineStr">
        <is>
          <t>SAC</t>
        </is>
      </c>
      <c r="B14" s="6" t="inlineStr">
        <is>
          <t>Sacrifice bunt or fly — default 0 unless Outcome field explicitly states 'sacrifice'</t>
        </is>
      </c>
      <c r="C14" s="6" t="inlineStr">
        <is>
          <t>Productive groundouts are NOT sacrifices. This game: SAC = 0 for all players (no explicit sacrifice coded in log).</t>
        </is>
      </c>
    </row>
    <row r="15" ht="14" customHeight="1">
      <c r="A15" s="8" t="inlineStr">
        <is>
          <t>GDP</t>
        </is>
      </c>
      <c r="B15" s="6" t="inlineStr">
        <is>
          <t>Grounded into double play</t>
        </is>
      </c>
      <c r="C15" s="6" t="inlineStr">
        <is>
          <t>Outcome field contains 'double play'. E.g. WSTF_#1 play #64.</t>
        </is>
      </c>
    </row>
    <row r="16" ht="14" customHeight="1">
      <c r="A16" s="8" t="inlineStr">
        <is>
          <t>FC</t>
        </is>
      </c>
      <c r="B16" s="6" t="inlineStr">
        <is>
          <t>Fielder's Choice — counts as AB, not a hit</t>
        </is>
      </c>
      <c r="C16" s="6" t="inlineStr">
        <is>
          <t>Tracked separately to support clean AB derivation and avoid ambiguity.</t>
        </is>
      </c>
    </row>
    <row r="17" ht="14" customHeight="1">
      <c r="A17" s="8" t="inlineStr">
        <is>
          <t>QA_Flag_Count</t>
        </is>
      </c>
      <c r="B17" s="6" t="inlineStr">
        <is>
          <t>Count of checked [x] flags in Section 5 of source markdown</t>
        </is>
      </c>
      <c r="C17" s="6" t="inlineStr">
        <is>
          <t>Game_01.md has 10 active flags. Review Notes columns for flag references.</t>
        </is>
      </c>
    </row>
    <row r="18" ht="14" customHeight="1">
      <c r="A18" s="8" t="inlineStr"/>
      <c r="B18" s="6" t="inlineStr"/>
      <c r="C18" s="6" t="inlineStr"/>
    </row>
    <row r="19" ht="14" customHeight="1">
      <c r="A19" s="8" t="inlineStr">
        <is>
          <t>FORMULAS TO BUILD IN EXCEL (examples)</t>
        </is>
      </c>
      <c r="B19" s="6" t="inlineStr"/>
      <c r="C19" s="6" t="inlineStr"/>
    </row>
    <row r="20" ht="14" customHeight="1">
      <c r="A20" s="6" t="inlineStr">
        <is>
          <t>AVG</t>
        </is>
      </c>
      <c r="B20" s="6">
        <f>H/AB</f>
        <v/>
      </c>
      <c r="C20" s="6" t="inlineStr">
        <is>
          <t>Batting average</t>
        </is>
      </c>
    </row>
    <row r="21" ht="14" customHeight="1">
      <c r="A21" s="9" t="inlineStr">
        <is>
          <t>OBP</t>
        </is>
      </c>
      <c r="B21" s="9">
        <f>(H+BB+HBP)/(AB+BB+HBP+SAC)</f>
        <v/>
      </c>
      <c r="C21" s="9" t="inlineStr">
        <is>
          <t>On-base percentage</t>
        </is>
      </c>
    </row>
    <row r="22" ht="14" customHeight="1">
      <c r="A22" s="8" t="inlineStr">
        <is>
          <t>SLG</t>
        </is>
      </c>
      <c r="B22" s="6">
        <f>(1B + 2*2B + 3*3B + 4*HR)/AB</f>
        <v/>
      </c>
      <c r="C22" s="6" t="inlineStr">
        <is>
          <t>Slugging percentage</t>
        </is>
      </c>
    </row>
    <row r="23" ht="14" customHeight="1">
      <c r="A23" s="8" t="inlineStr">
        <is>
          <t>OPS</t>
        </is>
      </c>
      <c r="B23" s="6">
        <f>OBP+SLG</f>
        <v/>
      </c>
      <c r="C23" s="6" t="inlineStr">
        <is>
          <t>On-base plus slugging</t>
        </is>
      </c>
    </row>
    <row r="24" ht="14" customHeight="1">
      <c r="A24" s="8" t="inlineStr">
        <is>
          <t>TB</t>
        </is>
      </c>
      <c r="B24" s="6">
        <f>1B + 2*2B + 3*3B + 4*HR</f>
        <v/>
      </c>
      <c r="C24" s="6" t="inlineStr">
        <is>
          <t>Total bases</t>
        </is>
      </c>
    </row>
    <row r="25" ht="14" customHeight="1">
      <c r="A25" s="8" t="inlineStr">
        <is>
          <t>IP</t>
        </is>
      </c>
      <c r="B25" s="6">
        <f>Outs_Recorded/3</f>
        <v/>
      </c>
      <c r="C25" s="6" t="inlineStr">
        <is>
          <t>Innings pitched</t>
        </is>
      </c>
    </row>
    <row r="26" ht="14" customHeight="1">
      <c r="A26" s="8" t="inlineStr">
        <is>
          <t>WHIP</t>
        </is>
      </c>
      <c r="B26" s="6">
        <f>(BB_Allowed+H_Allowed)/IP</f>
        <v/>
      </c>
      <c r="C26" s="6" t="inlineStr">
        <is>
          <t>Walks + hits per inning pitched</t>
        </is>
      </c>
    </row>
    <row r="27" ht="14" customHeight="1">
      <c r="A27" s="8" t="inlineStr">
        <is>
          <t>K/BB</t>
        </is>
      </c>
      <c r="B27" s="6">
        <f>K/BB_Allowed</f>
        <v/>
      </c>
      <c r="C27" s="6" t="inlineStr">
        <is>
          <t>Strikeout-to-walk ratio</t>
        </is>
      </c>
    </row>
    <row r="28" ht="14" customHeight="1">
      <c r="A28" s="8" t="inlineStr">
        <is>
          <t>BB%</t>
        </is>
      </c>
      <c r="B28" s="6">
        <f>BB/PA</f>
        <v/>
      </c>
      <c r="C28" s="6" t="inlineStr">
        <is>
          <t>Walk rate (batter)</t>
        </is>
      </c>
    </row>
    <row r="29" ht="14" customHeight="1">
      <c r="A29" s="8" t="inlineStr">
        <is>
          <t>K%</t>
        </is>
      </c>
      <c r="B29" s="6">
        <f>K/PA</f>
        <v/>
      </c>
      <c r="C29" s="6" t="inlineStr">
        <is>
          <t>Strikeout rate (batter)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  <col width="14" customWidth="1" min="9" max="9"/>
  </cols>
  <sheetData>
    <row r="1">
      <c r="A1" s="18" t="inlineStr">
        <is>
          <t>CLASS 2A PLAYOFF THREAT ASSESSMENT</t>
        </is>
      </c>
    </row>
    <row r="2">
      <c r="A2" s="19" t="inlineStr">
        <is>
          <t>Auto-updates as new games are added to Game_Log</t>
        </is>
      </c>
    </row>
    <row r="4">
      <c r="A4" s="20" t="inlineStr">
        <is>
          <t>Team</t>
        </is>
      </c>
      <c r="B4" s="20" t="inlineStr">
        <is>
          <t>Games_Played</t>
        </is>
      </c>
      <c r="C4" s="20" t="inlineStr">
        <is>
          <t>Est_Record</t>
        </is>
      </c>
      <c r="D4" s="20" t="inlineStr">
        <is>
          <t>Runs_Per_Game</t>
        </is>
      </c>
      <c r="E4" s="20" t="inlineStr">
        <is>
          <t>Team_AVG</t>
        </is>
      </c>
      <c r="F4" s="20" t="inlineStr">
        <is>
          <t>Team_ERA</t>
        </is>
      </c>
      <c r="G4" s="20" t="inlineStr">
        <is>
          <t>Errors_Per_Game</t>
        </is>
      </c>
      <c r="H4" s="20" t="inlineStr">
        <is>
          <t>Threat_Score</t>
        </is>
      </c>
      <c r="I4" s="20" t="inlineStr">
        <is>
          <t>Threat_Level</t>
        </is>
      </c>
    </row>
    <row r="5">
      <c r="A5" s="21" t="inlineStr">
        <is>
          <t>HNTN</t>
        </is>
      </c>
      <c r="B5" s="21">
        <f>COUNTIF(Game_Log!$D$2:$D$5000,A5)</f>
        <v/>
      </c>
      <c r="C5" s="21" t="inlineStr">
        <is>
          <t>See Game_Log</t>
        </is>
      </c>
      <c r="D5" s="21">
        <f>IFERROR(SUMIFS(Batting!$M$2:$M$5000,Batting!$D$2:$D$5000,A5)/B5,"Insufficient Data")</f>
        <v/>
      </c>
      <c r="E5" s="22">
        <f>IFERROR(SUMIFS(Batting!$H$2:$H$5000,Batting!$D$2:$D$5000,A5)/SUMIFS(Batting!$G$2:$G$5000,Batting!$D$2:$D$5000,A5),"Insufficient Data")</f>
        <v/>
      </c>
      <c r="F5" s="23">
        <f>IFERROR((SUMIFS(Pitching!$Q$2:$Q$5000,Pitching!$D$2:$D$5000,A5)*7)/(SUMIFS(Pitching!$F$2:$F$5000,Pitching!$D$2:$D$5000,A5)/3),"Insufficient Data")</f>
        <v/>
      </c>
      <c r="G5" s="24">
        <f>IFERROR(COUNTIFS(Fielding!$D$2:$D$5000,A5)/B5,"Insufficient Data")</f>
        <v/>
      </c>
      <c r="H5" s="24">
        <f>IFERROR((D5/1.5)*0.4+(10-(F5/1.5))*0.4+(10-G5*2)*0.2,0)</f>
        <v/>
      </c>
      <c r="I5" s="21">
        <f>IF(H5&gt;=7.5,"EXTREME",IF(H5&gt;=6,"HIGH",IF(H5&gt;=4,"MEDIUM","LOW")))</f>
        <v/>
      </c>
    </row>
    <row r="6">
      <c r="A6" s="21" t="inlineStr">
        <is>
          <t>NRTH</t>
        </is>
      </c>
      <c r="B6" s="21">
        <f>COUNTIF(Game_Log!$D$2:$D$5000,A6)</f>
        <v/>
      </c>
      <c r="C6" s="21" t="inlineStr">
        <is>
          <t>See Game_Log</t>
        </is>
      </c>
      <c r="D6" s="21">
        <f>IFERROR(SUMIFS(Batting!$M$2:$M$5000,Batting!$D$2:$D$5000,A6)/B6,"Insufficient Data")</f>
        <v/>
      </c>
      <c r="E6" s="22">
        <f>IFERROR(SUMIFS(Batting!$H$2:$H$5000,Batting!$D$2:$D$5000,A6)/SUMIFS(Batting!$G$2:$G$5000,Batting!$D$2:$D$5000,A6),"Insufficient Data")</f>
        <v/>
      </c>
      <c r="F6" s="23">
        <f>IFERROR((SUMIFS(Pitching!$Q$2:$Q$5000,Pitching!$D$2:$D$5000,A6)*7)/(SUMIFS(Pitching!$F$2:$F$5000,Pitching!$D$2:$D$5000,A6)/3),"Insufficient Data")</f>
        <v/>
      </c>
      <c r="G6" s="24">
        <f>IFERROR(COUNTIFS(Fielding!$D$2:$D$5000,A6)/B6,"Insufficient Data")</f>
        <v/>
      </c>
      <c r="H6" s="24">
        <f>IFERROR((D6/1.5)*0.4+(10-(F6/1.5))*0.4+(10-G6*2)*0.2,0)</f>
        <v/>
      </c>
      <c r="I6" s="21">
        <f>IF(H6&gt;=7.5,"EXTREME",IF(H6&gt;=6,"HIGH",IF(H6&gt;=4,"MEDIUM","LOW")))</f>
        <v/>
      </c>
    </row>
    <row r="7">
      <c r="A7" s="21" t="inlineStr">
        <is>
          <t>GLNL</t>
        </is>
      </c>
      <c r="B7" s="21">
        <f>COUNTIF(Game_Log!$D$2:$D$5000,A7)</f>
        <v/>
      </c>
      <c r="C7" s="21" t="inlineStr">
        <is>
          <t>See Game_Log</t>
        </is>
      </c>
      <c r="D7" s="21">
        <f>IFERROR(SUMIFS(Batting!$M$2:$M$5000,Batting!$D$2:$D$5000,A7)/B7,"Insufficient Data")</f>
        <v/>
      </c>
      <c r="E7" s="22">
        <f>IFERROR(SUMIFS(Batting!$H$2:$H$5000,Batting!$D$2:$D$5000,A7)/SUMIFS(Batting!$G$2:$G$5000,Batting!$D$2:$D$5000,A7),"Insufficient Data")</f>
        <v/>
      </c>
      <c r="F7" s="23">
        <f>IFERROR((SUMIFS(Pitching!$Q$2:$Q$5000,Pitching!$D$2:$D$5000,A7)*7)/(SUMIFS(Pitching!$F$2:$F$5000,Pitching!$D$2:$D$5000,A7)/3),"Insufficient Data")</f>
        <v/>
      </c>
      <c r="G7" s="24">
        <f>IFERROR(COUNTIFS(Fielding!$D$2:$D$5000,A7)/B7,"Insufficient Data")</f>
        <v/>
      </c>
      <c r="H7" s="24">
        <f>IFERROR((D7/1.5)*0.4+(10-(F7/1.5))*0.4+(10-G7*2)*0.2,0)</f>
        <v/>
      </c>
      <c r="I7" s="21">
        <f>IF(H7&gt;=7.5,"EXTREME",IF(H7&gt;=6,"HIGH",IF(H7&gt;=4,"MEDIUM","LOW")))</f>
        <v/>
      </c>
    </row>
    <row r="8">
      <c r="A8" s="21" t="inlineStr">
        <is>
          <t>CNTN</t>
        </is>
      </c>
      <c r="B8" s="21">
        <f>COUNTIF(Game_Log!$D$2:$D$5000,A8)</f>
        <v/>
      </c>
      <c r="C8" s="21" t="inlineStr">
        <is>
          <t>See Game_Log</t>
        </is>
      </c>
      <c r="D8" s="21">
        <f>IFERROR(SUMIFS(Batting!$M$2:$M$5000,Batting!$D$2:$D$5000,A8)/B8,"Insufficient Data")</f>
        <v/>
      </c>
      <c r="E8" s="22">
        <f>IFERROR(SUMIFS(Batting!$H$2:$H$5000,Batting!$D$2:$D$5000,A8)/SUMIFS(Batting!$G$2:$G$5000,Batting!$D$2:$D$5000,A8),"Insufficient Data")</f>
        <v/>
      </c>
      <c r="F8" s="23">
        <f>IFERROR((SUMIFS(Pitching!$Q$2:$Q$5000,Pitching!$D$2:$D$5000,A8)*7)/(SUMIFS(Pitching!$F$2:$F$5000,Pitching!$D$2:$D$5000,A8)/3),"Insufficient Data")</f>
        <v/>
      </c>
      <c r="G8" s="24">
        <f>IFERROR(COUNTIFS(Fielding!$D$2:$D$5000,A8)/B8,"Insufficient Data")</f>
        <v/>
      </c>
      <c r="H8" s="24">
        <f>IFERROR((D8/1.5)*0.4+(10-(F8/1.5))*0.4+(10-G8*2)*0.2,0)</f>
        <v/>
      </c>
      <c r="I8" s="21">
        <f>IF(H8&gt;=7.5,"EXTREME",IF(H8&gt;=6,"HIGH",IF(H8&gt;=4,"MEDIUM","LOW")))</f>
        <v/>
      </c>
    </row>
    <row r="9">
      <c r="A9" s="21" t="inlineStr">
        <is>
          <t>PLYV</t>
        </is>
      </c>
      <c r="B9" s="21">
        <f>COUNTIF(Game_Log!$D$2:$D$5000,A9)</f>
        <v/>
      </c>
      <c r="C9" s="21" t="inlineStr">
        <is>
          <t>See Game_Log</t>
        </is>
      </c>
      <c r="D9" s="21">
        <f>IFERROR(SUMIFS(Batting!$M$2:$M$5000,Batting!$D$2:$D$5000,A9)/B9,"Insufficient Data")</f>
        <v/>
      </c>
      <c r="E9" s="22">
        <f>IFERROR(SUMIFS(Batting!$H$2:$H$5000,Batting!$D$2:$D$5000,A9)/SUMIFS(Batting!$G$2:$G$5000,Batting!$D$2:$D$5000,A9),"Insufficient Data")</f>
        <v/>
      </c>
      <c r="F9" s="23">
        <f>IFERROR((SUMIFS(Pitching!$Q$2:$Q$5000,Pitching!$D$2:$D$5000,A9)*7)/(SUMIFS(Pitching!$F$2:$F$5000,Pitching!$D$2:$D$5000,A9)/3),"Insufficient Data")</f>
        <v/>
      </c>
      <c r="G9" s="24">
        <f>IFERROR(COUNTIFS(Fielding!$D$2:$D$5000,A9)/B9,"Insufficient Data")</f>
        <v/>
      </c>
      <c r="H9" s="24">
        <f>IFERROR((D9/1.5)*0.4+(10-(F9/1.5))*0.4+(10-G9*2)*0.2,0)</f>
        <v/>
      </c>
      <c r="I9" s="21">
        <f>IF(H9&gt;=7.5,"EXTREME",IF(H9&gt;=6,"HIGH",IF(H9&gt;=4,"MEDIUM","LOW")))</f>
        <v/>
      </c>
    </row>
    <row r="10">
      <c r="A10" s="21" t="inlineStr">
        <is>
          <t>HWRD</t>
        </is>
      </c>
      <c r="B10" s="21">
        <f>COUNTIF(Game_Log!$D$2:$D$5000,A10)</f>
        <v/>
      </c>
      <c r="C10" s="21" t="inlineStr">
        <is>
          <t>See Game_Log</t>
        </is>
      </c>
      <c r="D10" s="21">
        <f>IFERROR(SUMIFS(Batting!$M$2:$M$5000,Batting!$D$2:$D$5000,A10)/B10,"Insufficient Data")</f>
        <v/>
      </c>
      <c r="E10" s="22">
        <f>IFERROR(SUMIFS(Batting!$H$2:$H$5000,Batting!$D$2:$D$5000,A10)/SUMIFS(Batting!$G$2:$G$5000,Batting!$D$2:$D$5000,A10),"Insufficient Data")</f>
        <v/>
      </c>
      <c r="F10" s="23">
        <f>IFERROR((SUMIFS(Pitching!$Q$2:$Q$5000,Pitching!$D$2:$D$5000,A10)*7)/(SUMIFS(Pitching!$F$2:$F$5000,Pitching!$D$2:$D$5000,A10)/3),"Insufficient Data")</f>
        <v/>
      </c>
      <c r="G10" s="24">
        <f>IFERROR(COUNTIFS(Fielding!$D$2:$D$5000,A10)/B10,"Insufficient Data")</f>
        <v/>
      </c>
      <c r="H10" s="24">
        <f>IFERROR((D10/1.5)*0.4+(10-(F10/1.5))*0.4+(10-G10*2)*0.2,0)</f>
        <v/>
      </c>
      <c r="I10" s="21">
        <f>IF(H10&gt;=7.5,"EXTREME",IF(H10&gt;=6,"HIGH",IF(H10&gt;=4,"MEDIUM","LOW")))</f>
        <v/>
      </c>
    </row>
  </sheetData>
  <conditionalFormatting sqref="I5:I10">
    <cfRule type="cellIs" priority="1" operator="equal" dxfId="0">
      <formula>"EXTREME"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9" max="9"/>
  </cols>
  <sheetData>
    <row r="1">
      <c r="A1" s="18" t="inlineStr">
        <is>
          <t>OPPONENT PITCHING ROTATIONS</t>
        </is>
      </c>
    </row>
    <row r="2">
      <c r="A2" s="19" t="inlineStr">
        <is>
          <t>Tracks starting pitchers and predicts next start based on rest patterns</t>
        </is>
      </c>
    </row>
    <row r="4">
      <c r="A4" s="25" t="inlineStr">
        <is>
          <t>Team</t>
        </is>
      </c>
      <c r="B4" s="25" t="inlineStr">
        <is>
          <t>Pitcher</t>
        </is>
      </c>
      <c r="C4" s="25" t="inlineStr">
        <is>
          <t>Total_Starts</t>
        </is>
      </c>
      <c r="D4" s="25" t="inlineStr">
        <is>
          <t>Avg_IP_Per_Start</t>
        </is>
      </c>
      <c r="E4" s="25" t="inlineStr">
        <is>
          <t>ERA</t>
        </is>
      </c>
      <c r="F4" s="25" t="inlineStr">
        <is>
          <t>Total_BF</t>
        </is>
      </c>
      <c r="G4" s="25" t="inlineStr">
        <is>
          <t>Strikeouts</t>
        </is>
      </c>
      <c r="H4" s="25" t="inlineStr">
        <is>
          <t>Last_Start_Date</t>
        </is>
      </c>
      <c r="I4" s="25" t="inlineStr">
        <is>
          <t>Rotation_Notes</t>
        </is>
      </c>
    </row>
    <row r="5">
      <c r="A5" s="19" t="inlineStr">
        <is>
          <t>Use Pitching sheet to track opponent starters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" customWidth="1" min="3" max="3"/>
    <col width="8" customWidth="1" min="4" max="4"/>
    <col width="8" customWidth="1" min="5" max="5"/>
    <col width="10" customWidth="1" min="6" max="6"/>
    <col width="8" customWidth="1" min="7" max="7"/>
    <col width="6" customWidth="1" min="8" max="8"/>
    <col width="10" customWidth="1" min="9" max="9"/>
    <col width="14" customWidth="1" min="10" max="10"/>
    <col width="35" customWidth="1" min="11" max="11"/>
    <col width="12" customWidth="1" min="12" max="12"/>
  </cols>
  <sheetData>
    <row r="1">
      <c r="A1" s="18" t="inlineStr">
        <is>
          <t>HITTER THREAT ASSESSMENT - Most Dangerous Batters</t>
        </is>
      </c>
    </row>
    <row r="2">
      <c r="A2" s="19" t="inlineStr">
        <is>
          <t>Scouts: Focus on HIGH THREAT or above when game planning</t>
        </is>
      </c>
    </row>
    <row r="4">
      <c r="A4" s="32" t="inlineStr">
        <is>
          <t>Player</t>
        </is>
      </c>
      <c r="B4" s="32" t="inlineStr">
        <is>
          <t>Team</t>
        </is>
      </c>
      <c r="C4" s="32" t="inlineStr">
        <is>
          <t>PA</t>
        </is>
      </c>
      <c r="D4" s="32" t="inlineStr">
        <is>
          <t>OBP</t>
        </is>
      </c>
      <c r="E4" s="32" t="inlineStr">
        <is>
          <t>SLG</t>
        </is>
      </c>
      <c r="F4" s="32" t="inlineStr">
        <is>
          <t>RBI_Per_Hit</t>
        </is>
      </c>
      <c r="G4" s="32" t="inlineStr">
        <is>
          <t>K_Rate</t>
        </is>
      </c>
      <c r="H4" s="32" t="inlineStr">
        <is>
          <t>XBH</t>
        </is>
      </c>
      <c r="I4" s="32" t="inlineStr">
        <is>
          <t>Threat_Score</t>
        </is>
      </c>
      <c r="J4" s="32" t="inlineStr">
        <is>
          <t>Threat_Tier</t>
        </is>
      </c>
      <c r="K4" s="32" t="inlineStr">
        <is>
          <t>Scouting_Notes</t>
        </is>
      </c>
      <c r="L4" s="32" t="inlineStr">
        <is>
          <t>Lineup_Slot</t>
        </is>
      </c>
    </row>
    <row r="5">
      <c r="A5" s="33" t="inlineStr">
        <is>
          <t>FORMULA: Threat_Score = (OBP×40%) + (SLG×30%) + (RBI/H×15%) + (Contact×15%)</t>
        </is>
      </c>
    </row>
    <row r="6">
      <c r="A6" s="26" t="inlineStr">
        <is>
          <t>J Norwood</t>
        </is>
      </c>
      <c r="B6" s="26" t="inlineStr">
        <is>
          <t>RVRH</t>
        </is>
      </c>
      <c r="C6">
        <f>SUMIFS(Batting!$F$2:$F$5000,Batting!$E$2:$E$5000,A6,Batting!$D$2:$D$5000,B6)</f>
        <v/>
      </c>
      <c r="D6" s="34">
        <f>IFERROR((SUMIFS(Batting!$H$2:$H$5000,Batting!$E$2:$E$5000,A6,Batting!$D$2:$D$5000,B6)+SUMIFS(Batting!$L$2:$L$5000,Batting!$E$2:$E$5000,A6,Batting!$D$2:$D$5000,B6)+SUMIFS(Batting!$M$2:$M$5000,Batting!$E$2:$E$5000,A6,Batting!$D$2:$D$5000,B6))/C6,"Insufficient Data")</f>
        <v/>
      </c>
      <c r="E6" s="34">
        <f>IFERROR((SUMIFS(Batting!$I$2:$I$5000,Batting!$E$2:$E$5000,A6,Batting!$D$2:$D$5000,B6)+SUMIFS(Batting!$J$2:$J$5000,Batting!$E$2:$E$5000,A6,Batting!$D$2:$D$5000,B6)*2+SUMIFS(Batting!$K$2:$K$5000,Batting!$E$2:$E$5000,A6,Batting!$D$2:$D$5000,B6)*3+SUMIFS(Batting!$L$2:$L$5000,Batting!$E$2:$E$5000,A6,Batting!$D$2:$D$5000,B6)*4)/SUMIFS(Batting!$G$2:$G$5000,Batting!$E$2:$E$5000,A6,Batting!$D$2:$D$5000,B6),"Insufficient Data")</f>
        <v/>
      </c>
      <c r="F6" s="27">
        <f>IFERROR(SUMIFS(Batting!$N$2:$N$5000,Batting!$E$2:$E$5000,A6,Batting!$D$2:$D$5000,B6)/SUMIFS(Batting!$H$2:$H$5000,Batting!$E$2:$E$5000,A6,Batting!$D$2:$D$5000,B6),"Insufficient Data")</f>
        <v/>
      </c>
      <c r="G6" s="35">
        <f>IFERROR(SUMIFS(Batting!$O$2:$O$5000,Batting!$E$2:$E$5000,A6,Batting!$D$2:$D$5000,B6)/C6,"Insufficient Data")</f>
        <v/>
      </c>
      <c r="H6">
        <f>SUMIFS(Batting!$J$2:$J$5000,Batting!$E$2:$E$5000,A6,Batting!$D$2:$D$5000,B6)+SUMIFS(Batting!$K$2:$K$5000,Batting!$E$2:$E$5000,A6,Batting!$D$2:$D$5000,B6)+SUMIFS(Batting!$L$2:$L$5000,Batting!$E$2:$E$5000,A6,Batting!$D$2:$D$5000,B6)</f>
        <v/>
      </c>
      <c r="I6" s="29">
        <f>IFERROR((D6*0.4+E6*0.3+F6*0.15+(1-G6)*0.15)*10,"Insufficient Data")</f>
        <v/>
      </c>
      <c r="J6">
        <f>IF(I6="Insufficient Data","Insufficient Data",IF(I6&gt;=8,"🔴 ELITE",IF(I6&gt;=6.5,"🟠 HIGH",IF(I6&gt;=5,"🟡 MEDIUM","⚪ ROLE PLAYER"))))</f>
        <v/>
      </c>
      <c r="K6">
        <f>IF(C6&lt;15,"Insufficient PA",CONCAT(IF(D6&gt;=0.45,"ELITE OBP | ",""),IF(H6&gt;=3,"POWER | ",""),IF(F6&gt;=1.15,"ELITE Clutch | ",""),IF(G6&lt;=0.15,"Elite Contact","")))</f>
        <v/>
      </c>
      <c r="L6">
        <f>IF(I6="Insufficient Data","",IF(D6&gt;=0.55,"1-2",IF(F6&gt;=1.1,"3-5",IF(D6&gt;=0.40,"6-7","8-9"))))</f>
        <v/>
      </c>
    </row>
    <row r="7">
      <c r="A7" s="26" t="inlineStr">
        <is>
          <t>C Reis</t>
        </is>
      </c>
      <c r="B7" s="26" t="inlineStr">
        <is>
          <t>RVRH</t>
        </is>
      </c>
      <c r="C7">
        <f>SUMIFS(Batting!$F$2:$F$5000,Batting!$E$2:$E$5000,A7,Batting!$D$2:$D$5000,B7)</f>
        <v/>
      </c>
      <c r="D7" s="34">
        <f>IFERROR((SUMIFS(Batting!$H$2:$H$5000,Batting!$E$2:$E$5000,A7,Batting!$D$2:$D$5000,B7)+SUMIFS(Batting!$L$2:$L$5000,Batting!$E$2:$E$5000,A7,Batting!$D$2:$D$5000,B7)+SUMIFS(Batting!$M$2:$M$5000,Batting!$E$2:$E$5000,A7,Batting!$D$2:$D$5000,B7))/C7,"Insufficient Data")</f>
        <v/>
      </c>
      <c r="E7" s="34">
        <f>IFERROR((SUMIFS(Batting!$I$2:$I$5000,Batting!$E$2:$E$5000,A7,Batting!$D$2:$D$5000,B7)+SUMIFS(Batting!$J$2:$J$5000,Batting!$E$2:$E$5000,A7,Batting!$D$2:$D$5000,B7)*2+SUMIFS(Batting!$K$2:$K$5000,Batting!$E$2:$E$5000,A7,Batting!$D$2:$D$5000,B7)*3+SUMIFS(Batting!$L$2:$L$5000,Batting!$E$2:$E$5000,A7,Batting!$D$2:$D$5000,B7)*4)/SUMIFS(Batting!$G$2:$G$5000,Batting!$E$2:$E$5000,A7,Batting!$D$2:$D$5000,B7),"Insufficient Data")</f>
        <v/>
      </c>
      <c r="F7" s="27">
        <f>IFERROR(SUMIFS(Batting!$N$2:$N$5000,Batting!$E$2:$E$5000,A7,Batting!$D$2:$D$5000,B7)/SUMIFS(Batting!$H$2:$H$5000,Batting!$E$2:$E$5000,A7,Batting!$D$2:$D$5000,B7),"Insufficient Data")</f>
        <v/>
      </c>
      <c r="G7" s="35">
        <f>IFERROR(SUMIFS(Batting!$O$2:$O$5000,Batting!$E$2:$E$5000,A7,Batting!$D$2:$D$5000,B7)/C7,"Insufficient Data")</f>
        <v/>
      </c>
      <c r="H7">
        <f>SUMIFS(Batting!$J$2:$J$5000,Batting!$E$2:$E$5000,A7,Batting!$D$2:$D$5000,B7)+SUMIFS(Batting!$K$2:$K$5000,Batting!$E$2:$E$5000,A7,Batting!$D$2:$D$5000,B7)+SUMIFS(Batting!$L$2:$L$5000,Batting!$E$2:$E$5000,A7,Batting!$D$2:$D$5000,B7)</f>
        <v/>
      </c>
      <c r="I7" s="29">
        <f>IFERROR((D7*0.4+E7*0.3+F7*0.15+(1-G7)*0.15)*10,"Insufficient Data")</f>
        <v/>
      </c>
      <c r="J7">
        <f>IF(I7="Insufficient Data","Insufficient Data",IF(I7&gt;=8,"🔴 ELITE",IF(I7&gt;=6.5,"🟠 HIGH",IF(I7&gt;=5,"🟡 MEDIUM","⚪ ROLE PLAYER"))))</f>
        <v/>
      </c>
      <c r="K7">
        <f>IF(C7&lt;15,"Insufficient PA",CONCAT(IF(D7&gt;=0.45,"ELITE OBP | ",""),IF(H7&gt;=3,"POWER | ",""),IF(F7&gt;=1.15,"ELITE Clutch | ",""),IF(G7&lt;=0.15,"Elite Contact","")))</f>
        <v/>
      </c>
      <c r="L7">
        <f>IF(I7="Insufficient Data","",IF(D7&gt;=0.55,"1-2",IF(F7&gt;=1.1,"3-5",IF(D7&gt;=0.40,"6-7","8-9"))))</f>
        <v/>
      </c>
    </row>
    <row r="8">
      <c r="A8" s="26" t="inlineStr">
        <is>
          <t>H Zhang</t>
        </is>
      </c>
      <c r="B8" s="26" t="inlineStr">
        <is>
          <t>RVRH</t>
        </is>
      </c>
      <c r="C8">
        <f>SUMIFS(Batting!$F$2:$F$5000,Batting!$E$2:$E$5000,A8,Batting!$D$2:$D$5000,B8)</f>
        <v/>
      </c>
      <c r="D8" s="34">
        <f>IFERROR((SUMIFS(Batting!$H$2:$H$5000,Batting!$E$2:$E$5000,A8,Batting!$D$2:$D$5000,B8)+SUMIFS(Batting!$L$2:$L$5000,Batting!$E$2:$E$5000,A8,Batting!$D$2:$D$5000,B8)+SUMIFS(Batting!$M$2:$M$5000,Batting!$E$2:$E$5000,A8,Batting!$D$2:$D$5000,B8))/C8,"Insufficient Data")</f>
        <v/>
      </c>
      <c r="E8" s="34">
        <f>IFERROR((SUMIFS(Batting!$I$2:$I$5000,Batting!$E$2:$E$5000,A8,Batting!$D$2:$D$5000,B8)+SUMIFS(Batting!$J$2:$J$5000,Batting!$E$2:$E$5000,A8,Batting!$D$2:$D$5000,B8)*2+SUMIFS(Batting!$K$2:$K$5000,Batting!$E$2:$E$5000,A8,Batting!$D$2:$D$5000,B8)*3+SUMIFS(Batting!$L$2:$L$5000,Batting!$E$2:$E$5000,A8,Batting!$D$2:$D$5000,B8)*4)/SUMIFS(Batting!$G$2:$G$5000,Batting!$E$2:$E$5000,A8,Batting!$D$2:$D$5000,B8),"Insufficient Data")</f>
        <v/>
      </c>
      <c r="F8" s="27">
        <f>IFERROR(SUMIFS(Batting!$N$2:$N$5000,Batting!$E$2:$E$5000,A8,Batting!$D$2:$D$5000,B8)/SUMIFS(Batting!$H$2:$H$5000,Batting!$E$2:$E$5000,A8,Batting!$D$2:$D$5000,B8),"Insufficient Data")</f>
        <v/>
      </c>
      <c r="G8" s="35">
        <f>IFERROR(SUMIFS(Batting!$O$2:$O$5000,Batting!$E$2:$E$5000,A8,Batting!$D$2:$D$5000,B8)/C8,"Insufficient Data")</f>
        <v/>
      </c>
      <c r="H8">
        <f>SUMIFS(Batting!$J$2:$J$5000,Batting!$E$2:$E$5000,A8,Batting!$D$2:$D$5000,B8)+SUMIFS(Batting!$K$2:$K$5000,Batting!$E$2:$E$5000,A8,Batting!$D$2:$D$5000,B8)+SUMIFS(Batting!$L$2:$L$5000,Batting!$E$2:$E$5000,A8,Batting!$D$2:$D$5000,B8)</f>
        <v/>
      </c>
      <c r="I8" s="29">
        <f>IFERROR((D8*0.4+E8*0.3+F8*0.15+(1-G8)*0.15)*10,"Insufficient Data")</f>
        <v/>
      </c>
      <c r="J8">
        <f>IF(I8="Insufficient Data","Insufficient Data",IF(I8&gt;=8,"🔴 ELITE",IF(I8&gt;=6.5,"🟠 HIGH",IF(I8&gt;=5,"🟡 MEDIUM","⚪ ROLE PLAYER"))))</f>
        <v/>
      </c>
      <c r="K8">
        <f>IF(C8&lt;15,"Insufficient PA",CONCAT(IF(D8&gt;=0.45,"ELITE OBP | ",""),IF(H8&gt;=3,"POWER | ",""),IF(F8&gt;=1.15,"ELITE Clutch | ",""),IF(G8&lt;=0.15,"Elite Contact","")))</f>
        <v/>
      </c>
      <c r="L8">
        <f>IF(I8="Insufficient Data","",IF(D8&gt;=0.55,"1-2",IF(F8&gt;=1.1,"3-5",IF(D8&gt;=0.40,"6-7","8-9"))))</f>
        <v/>
      </c>
    </row>
    <row r="9">
      <c r="A9" s="26" t="inlineStr">
        <is>
          <t>C Naecker</t>
        </is>
      </c>
      <c r="B9" s="26" t="inlineStr">
        <is>
          <t>RVRH</t>
        </is>
      </c>
      <c r="C9">
        <f>SUMIFS(Batting!$F$2:$F$5000,Batting!$E$2:$E$5000,A9,Batting!$D$2:$D$5000,B9)</f>
        <v/>
      </c>
      <c r="D9" s="34">
        <f>IFERROR((SUMIFS(Batting!$H$2:$H$5000,Batting!$E$2:$E$5000,A9,Batting!$D$2:$D$5000,B9)+SUMIFS(Batting!$L$2:$L$5000,Batting!$E$2:$E$5000,A9,Batting!$D$2:$D$5000,B9)+SUMIFS(Batting!$M$2:$M$5000,Batting!$E$2:$E$5000,A9,Batting!$D$2:$D$5000,B9))/C9,"Insufficient Data")</f>
        <v/>
      </c>
      <c r="E9" s="34">
        <f>IFERROR((SUMIFS(Batting!$I$2:$I$5000,Batting!$E$2:$E$5000,A9,Batting!$D$2:$D$5000,B9)+SUMIFS(Batting!$J$2:$J$5000,Batting!$E$2:$E$5000,A9,Batting!$D$2:$D$5000,B9)*2+SUMIFS(Batting!$K$2:$K$5000,Batting!$E$2:$E$5000,A9,Batting!$D$2:$D$5000,B9)*3+SUMIFS(Batting!$L$2:$L$5000,Batting!$E$2:$E$5000,A9,Batting!$D$2:$D$5000,B9)*4)/SUMIFS(Batting!$G$2:$G$5000,Batting!$E$2:$E$5000,A9,Batting!$D$2:$D$5000,B9),"Insufficient Data")</f>
        <v/>
      </c>
      <c r="F9" s="27">
        <f>IFERROR(SUMIFS(Batting!$N$2:$N$5000,Batting!$E$2:$E$5000,A9,Batting!$D$2:$D$5000,B9)/SUMIFS(Batting!$H$2:$H$5000,Batting!$E$2:$E$5000,A9,Batting!$D$2:$D$5000,B9),"Insufficient Data")</f>
        <v/>
      </c>
      <c r="G9" s="35">
        <f>IFERROR(SUMIFS(Batting!$O$2:$O$5000,Batting!$E$2:$E$5000,A9,Batting!$D$2:$D$5000,B9)/C9,"Insufficient Data")</f>
        <v/>
      </c>
      <c r="H9">
        <f>SUMIFS(Batting!$J$2:$J$5000,Batting!$E$2:$E$5000,A9,Batting!$D$2:$D$5000,B9)+SUMIFS(Batting!$K$2:$K$5000,Batting!$E$2:$E$5000,A9,Batting!$D$2:$D$5000,B9)+SUMIFS(Batting!$L$2:$L$5000,Batting!$E$2:$E$5000,A9,Batting!$D$2:$D$5000,B9)</f>
        <v/>
      </c>
      <c r="I9" s="29">
        <f>IFERROR((D9*0.4+E9*0.3+F9*0.15+(1-G9)*0.15)*10,"Insufficient Data")</f>
        <v/>
      </c>
      <c r="J9">
        <f>IF(I9="Insufficient Data","Insufficient Data",IF(I9&gt;=8,"🔴 ELITE",IF(I9&gt;=6.5,"🟠 HIGH",IF(I9&gt;=5,"🟡 MEDIUM","⚪ ROLE PLAYER"))))</f>
        <v/>
      </c>
      <c r="K9">
        <f>IF(C9&lt;15,"Insufficient PA",CONCAT(IF(D9&gt;=0.45,"ELITE OBP | ",""),IF(H9&gt;=3,"POWER | ",""),IF(F9&gt;=1.15,"ELITE Clutch | ",""),IF(G9&lt;=0.15,"Elite Contact","")))</f>
        <v/>
      </c>
      <c r="L9">
        <f>IF(I9="Insufficient Data","",IF(D9&gt;=0.55,"1-2",IF(F9&gt;=1.1,"3-5",IF(D9&gt;=0.40,"6-7","8-9"))))</f>
        <v/>
      </c>
    </row>
    <row r="10">
      <c r="A10" s="26" t="inlineStr">
        <is>
          <t>R Walsh</t>
        </is>
      </c>
      <c r="B10" s="26" t="inlineStr">
        <is>
          <t>RVRH</t>
        </is>
      </c>
      <c r="C10">
        <f>SUMIFS(Batting!$F$2:$F$5000,Batting!$E$2:$E$5000,A10,Batting!$D$2:$D$5000,B10)</f>
        <v/>
      </c>
      <c r="D10" s="34">
        <f>IFERROR((SUMIFS(Batting!$H$2:$H$5000,Batting!$E$2:$E$5000,A10,Batting!$D$2:$D$5000,B10)+SUMIFS(Batting!$L$2:$L$5000,Batting!$E$2:$E$5000,A10,Batting!$D$2:$D$5000,B10)+SUMIFS(Batting!$M$2:$M$5000,Batting!$E$2:$E$5000,A10,Batting!$D$2:$D$5000,B10))/C10,"Insufficient Data")</f>
        <v/>
      </c>
      <c r="E10" s="34">
        <f>IFERROR((SUMIFS(Batting!$I$2:$I$5000,Batting!$E$2:$E$5000,A10,Batting!$D$2:$D$5000,B10)+SUMIFS(Batting!$J$2:$J$5000,Batting!$E$2:$E$5000,A10,Batting!$D$2:$D$5000,B10)*2+SUMIFS(Batting!$K$2:$K$5000,Batting!$E$2:$E$5000,A10,Batting!$D$2:$D$5000,B10)*3+SUMIFS(Batting!$L$2:$L$5000,Batting!$E$2:$E$5000,A10,Batting!$D$2:$D$5000,B10)*4)/SUMIFS(Batting!$G$2:$G$5000,Batting!$E$2:$E$5000,A10,Batting!$D$2:$D$5000,B10),"Insufficient Data")</f>
        <v/>
      </c>
      <c r="F10" s="27">
        <f>IFERROR(SUMIFS(Batting!$N$2:$N$5000,Batting!$E$2:$E$5000,A10,Batting!$D$2:$D$5000,B10)/SUMIFS(Batting!$H$2:$H$5000,Batting!$E$2:$E$5000,A10,Batting!$D$2:$D$5000,B10),"Insufficient Data")</f>
        <v/>
      </c>
      <c r="G10" s="35">
        <f>IFERROR(SUMIFS(Batting!$O$2:$O$5000,Batting!$E$2:$E$5000,A10,Batting!$D$2:$D$5000,B10)/C10,"Insufficient Data")</f>
        <v/>
      </c>
      <c r="H10">
        <f>SUMIFS(Batting!$J$2:$J$5000,Batting!$E$2:$E$5000,A10,Batting!$D$2:$D$5000,B10)+SUMIFS(Batting!$K$2:$K$5000,Batting!$E$2:$E$5000,A10,Batting!$D$2:$D$5000,B10)+SUMIFS(Batting!$L$2:$L$5000,Batting!$E$2:$E$5000,A10,Batting!$D$2:$D$5000,B10)</f>
        <v/>
      </c>
      <c r="I10" s="29">
        <f>IFERROR((D10*0.4+E10*0.3+F10*0.15+(1-G10)*0.15)*10,"Insufficient Data")</f>
        <v/>
      </c>
      <c r="J10">
        <f>IF(I10="Insufficient Data","Insufficient Data",IF(I10&gt;=8,"🔴 ELITE",IF(I10&gt;=6.5,"🟠 HIGH",IF(I10&gt;=5,"🟡 MEDIUM","⚪ ROLE PLAYER"))))</f>
        <v/>
      </c>
      <c r="K10">
        <f>IF(C10&lt;15,"Insufficient PA",CONCAT(IF(D10&gt;=0.45,"ELITE OBP | ",""),IF(H10&gt;=3,"POWER | ",""),IF(F10&gt;=1.15,"ELITE Clutch | ",""),IF(G10&lt;=0.15,"Elite Contact","")))</f>
        <v/>
      </c>
      <c r="L10">
        <f>IF(I10="Insufficient Data","",IF(D10&gt;=0.55,"1-2",IF(F10&gt;=1.1,"3-5",IF(D10&gt;=0.40,"6-7","8-9"))))</f>
        <v/>
      </c>
    </row>
    <row r="11">
      <c r="A11" s="26" t="inlineStr">
        <is>
          <t>G Dang</t>
        </is>
      </c>
      <c r="B11" s="26" t="inlineStr">
        <is>
          <t>RVRH</t>
        </is>
      </c>
      <c r="C11">
        <f>SUMIFS(Batting!$F$2:$F$5000,Batting!$E$2:$E$5000,A11,Batting!$D$2:$D$5000,B11)</f>
        <v/>
      </c>
      <c r="D11" s="34">
        <f>IFERROR((SUMIFS(Batting!$H$2:$H$5000,Batting!$E$2:$E$5000,A11,Batting!$D$2:$D$5000,B11)+SUMIFS(Batting!$L$2:$L$5000,Batting!$E$2:$E$5000,A11,Batting!$D$2:$D$5000,B11)+SUMIFS(Batting!$M$2:$M$5000,Batting!$E$2:$E$5000,A11,Batting!$D$2:$D$5000,B11))/C11,"Insufficient Data")</f>
        <v/>
      </c>
      <c r="E11" s="34">
        <f>IFERROR((SUMIFS(Batting!$I$2:$I$5000,Batting!$E$2:$E$5000,A11,Batting!$D$2:$D$5000,B11)+SUMIFS(Batting!$J$2:$J$5000,Batting!$E$2:$E$5000,A11,Batting!$D$2:$D$5000,B11)*2+SUMIFS(Batting!$K$2:$K$5000,Batting!$E$2:$E$5000,A11,Batting!$D$2:$D$5000,B11)*3+SUMIFS(Batting!$L$2:$L$5000,Batting!$E$2:$E$5000,A11,Batting!$D$2:$D$5000,B11)*4)/SUMIFS(Batting!$G$2:$G$5000,Batting!$E$2:$E$5000,A11,Batting!$D$2:$D$5000,B11),"Insufficient Data")</f>
        <v/>
      </c>
      <c r="F11" s="27">
        <f>IFERROR(SUMIFS(Batting!$N$2:$N$5000,Batting!$E$2:$E$5000,A11,Batting!$D$2:$D$5000,B11)/SUMIFS(Batting!$H$2:$H$5000,Batting!$E$2:$E$5000,A11,Batting!$D$2:$D$5000,B11),"Insufficient Data")</f>
        <v/>
      </c>
      <c r="G11" s="35">
        <f>IFERROR(SUMIFS(Batting!$O$2:$O$5000,Batting!$E$2:$E$5000,A11,Batting!$D$2:$D$5000,B11)/C11,"Insufficient Data")</f>
        <v/>
      </c>
      <c r="H11">
        <f>SUMIFS(Batting!$J$2:$J$5000,Batting!$E$2:$E$5000,A11,Batting!$D$2:$D$5000,B11)+SUMIFS(Batting!$K$2:$K$5000,Batting!$E$2:$E$5000,A11,Batting!$D$2:$D$5000,B11)+SUMIFS(Batting!$L$2:$L$5000,Batting!$E$2:$E$5000,A11,Batting!$D$2:$D$5000,B11)</f>
        <v/>
      </c>
      <c r="I11" s="29">
        <f>IFERROR((D11*0.4+E11*0.3+F11*0.15+(1-G11)*0.15)*10,"Insufficient Data")</f>
        <v/>
      </c>
      <c r="J11">
        <f>IF(I11="Insufficient Data","Insufficient Data",IF(I11&gt;=8,"🔴 ELITE",IF(I11&gt;=6.5,"🟠 HIGH",IF(I11&gt;=5,"🟡 MEDIUM","⚪ ROLE PLAYER"))))</f>
        <v/>
      </c>
      <c r="K11">
        <f>IF(C11&lt;15,"Insufficient PA",CONCAT(IF(D11&gt;=0.45,"ELITE OBP | ",""),IF(H11&gt;=3,"POWER | ",""),IF(F11&gt;=1.15,"ELITE Clutch | ",""),IF(G11&lt;=0.15,"Elite Contact","")))</f>
        <v/>
      </c>
      <c r="L11">
        <f>IF(I11="Insufficient Data","",IF(D11&gt;=0.55,"1-2",IF(F11&gt;=1.1,"3-5",IF(D11&gt;=0.40,"6-7","8-9"))))</f>
        <v/>
      </c>
    </row>
    <row r="12">
      <c r="A12" s="26" t="inlineStr">
        <is>
          <t>A Fields</t>
        </is>
      </c>
      <c r="B12" s="26" t="inlineStr">
        <is>
          <t>RVRH</t>
        </is>
      </c>
      <c r="C12">
        <f>SUMIFS(Batting!$F$2:$F$5000,Batting!$E$2:$E$5000,A12,Batting!$D$2:$D$5000,B12)</f>
        <v/>
      </c>
      <c r="D12" s="34">
        <f>IFERROR((SUMIFS(Batting!$H$2:$H$5000,Batting!$E$2:$E$5000,A12,Batting!$D$2:$D$5000,B12)+SUMIFS(Batting!$L$2:$L$5000,Batting!$E$2:$E$5000,A12,Batting!$D$2:$D$5000,B12)+SUMIFS(Batting!$M$2:$M$5000,Batting!$E$2:$E$5000,A12,Batting!$D$2:$D$5000,B12))/C12,"Insufficient Data")</f>
        <v/>
      </c>
      <c r="E12" s="34">
        <f>IFERROR((SUMIFS(Batting!$I$2:$I$5000,Batting!$E$2:$E$5000,A12,Batting!$D$2:$D$5000,B12)+SUMIFS(Batting!$J$2:$J$5000,Batting!$E$2:$E$5000,A12,Batting!$D$2:$D$5000,B12)*2+SUMIFS(Batting!$K$2:$K$5000,Batting!$E$2:$E$5000,A12,Batting!$D$2:$D$5000,B12)*3+SUMIFS(Batting!$L$2:$L$5000,Batting!$E$2:$E$5000,A12,Batting!$D$2:$D$5000,B12)*4)/SUMIFS(Batting!$G$2:$G$5000,Batting!$E$2:$E$5000,A12,Batting!$D$2:$D$5000,B12),"Insufficient Data")</f>
        <v/>
      </c>
      <c r="F12" s="27">
        <f>IFERROR(SUMIFS(Batting!$N$2:$N$5000,Batting!$E$2:$E$5000,A12,Batting!$D$2:$D$5000,B12)/SUMIFS(Batting!$H$2:$H$5000,Batting!$E$2:$E$5000,A12,Batting!$D$2:$D$5000,B12),"Insufficient Data")</f>
        <v/>
      </c>
      <c r="G12" s="35">
        <f>IFERROR(SUMIFS(Batting!$O$2:$O$5000,Batting!$E$2:$E$5000,A12,Batting!$D$2:$D$5000,B12)/C12,"Insufficient Data")</f>
        <v/>
      </c>
      <c r="H12">
        <f>SUMIFS(Batting!$J$2:$J$5000,Batting!$E$2:$E$5000,A12,Batting!$D$2:$D$5000,B12)+SUMIFS(Batting!$K$2:$K$5000,Batting!$E$2:$E$5000,A12,Batting!$D$2:$D$5000,B12)+SUMIFS(Batting!$L$2:$L$5000,Batting!$E$2:$E$5000,A12,Batting!$D$2:$D$5000,B12)</f>
        <v/>
      </c>
      <c r="I12" s="29">
        <f>IFERROR((D12*0.4+E12*0.3+F12*0.15+(1-G12)*0.15)*10,"Insufficient Data")</f>
        <v/>
      </c>
      <c r="J12">
        <f>IF(I12="Insufficient Data","Insufficient Data",IF(I12&gt;=8,"🔴 ELITE",IF(I12&gt;=6.5,"🟠 HIGH",IF(I12&gt;=5,"🟡 MEDIUM","⚪ ROLE PLAYER"))))</f>
        <v/>
      </c>
      <c r="K12">
        <f>IF(C12&lt;15,"Insufficient PA",CONCAT(IF(D12&gt;=0.45,"ELITE OBP | ",""),IF(H12&gt;=3,"POWER | ",""),IF(F12&gt;=1.15,"ELITE Clutch | ",""),IF(G12&lt;=0.15,"Elite Contact","")))</f>
        <v/>
      </c>
      <c r="L12">
        <f>IF(I12="Insufficient Data","",IF(D12&gt;=0.55,"1-2",IF(F12&gt;=1.1,"3-5",IF(D12&gt;=0.40,"6-7","8-9"))))</f>
        <v/>
      </c>
    </row>
    <row r="13">
      <c r="A13" s="26" t="inlineStr">
        <is>
          <t>A Contreras</t>
        </is>
      </c>
      <c r="B13" s="26" t="inlineStr">
        <is>
          <t>RVRH</t>
        </is>
      </c>
      <c r="C13">
        <f>SUMIFS(Batting!$F$2:$F$5000,Batting!$E$2:$E$5000,A13,Batting!$D$2:$D$5000,B13)</f>
        <v/>
      </c>
      <c r="D13" s="34">
        <f>IFERROR((SUMIFS(Batting!$H$2:$H$5000,Batting!$E$2:$E$5000,A13,Batting!$D$2:$D$5000,B13)+SUMIFS(Batting!$L$2:$L$5000,Batting!$E$2:$E$5000,A13,Batting!$D$2:$D$5000,B13)+SUMIFS(Batting!$M$2:$M$5000,Batting!$E$2:$E$5000,A13,Batting!$D$2:$D$5000,B13))/C13,"Insufficient Data")</f>
        <v/>
      </c>
      <c r="E13" s="34">
        <f>IFERROR((SUMIFS(Batting!$I$2:$I$5000,Batting!$E$2:$E$5000,A13,Batting!$D$2:$D$5000,B13)+SUMIFS(Batting!$J$2:$J$5000,Batting!$E$2:$E$5000,A13,Batting!$D$2:$D$5000,B13)*2+SUMIFS(Batting!$K$2:$K$5000,Batting!$E$2:$E$5000,A13,Batting!$D$2:$D$5000,B13)*3+SUMIFS(Batting!$L$2:$L$5000,Batting!$E$2:$E$5000,A13,Batting!$D$2:$D$5000,B13)*4)/SUMIFS(Batting!$G$2:$G$5000,Batting!$E$2:$E$5000,A13,Batting!$D$2:$D$5000,B13),"Insufficient Data")</f>
        <v/>
      </c>
      <c r="F13" s="27">
        <f>IFERROR(SUMIFS(Batting!$N$2:$N$5000,Batting!$E$2:$E$5000,A13,Batting!$D$2:$D$5000,B13)/SUMIFS(Batting!$H$2:$H$5000,Batting!$E$2:$E$5000,A13,Batting!$D$2:$D$5000,B13),"Insufficient Data")</f>
        <v/>
      </c>
      <c r="G13" s="35">
        <f>IFERROR(SUMIFS(Batting!$O$2:$O$5000,Batting!$E$2:$E$5000,A13,Batting!$D$2:$D$5000,B13)/C13,"Insufficient Data")</f>
        <v/>
      </c>
      <c r="H13">
        <f>SUMIFS(Batting!$J$2:$J$5000,Batting!$E$2:$E$5000,A13,Batting!$D$2:$D$5000,B13)+SUMIFS(Batting!$K$2:$K$5000,Batting!$E$2:$E$5000,A13,Batting!$D$2:$D$5000,B13)+SUMIFS(Batting!$L$2:$L$5000,Batting!$E$2:$E$5000,A13,Batting!$D$2:$D$5000,B13)</f>
        <v/>
      </c>
      <c r="I13" s="29">
        <f>IFERROR((D13*0.4+E13*0.3+F13*0.15+(1-G13)*0.15)*10,"Insufficient Data")</f>
        <v/>
      </c>
      <c r="J13">
        <f>IF(I13="Insufficient Data","Insufficient Data",IF(I13&gt;=8,"🔴 ELITE",IF(I13&gt;=6.5,"🟠 HIGH",IF(I13&gt;=5,"🟡 MEDIUM","⚪ ROLE PLAYER"))))</f>
        <v/>
      </c>
      <c r="K13">
        <f>IF(C13&lt;15,"Insufficient PA",CONCAT(IF(D13&gt;=0.45,"ELITE OBP | ",""),IF(H13&gt;=3,"POWER | ",""),IF(F13&gt;=1.15,"ELITE Clutch | ",""),IF(G13&lt;=0.15,"Elite Contact","")))</f>
        <v/>
      </c>
      <c r="L13">
        <f>IF(I13="Insufficient Data","",IF(D13&gt;=0.55,"1-2",IF(F13&gt;=1.1,"3-5",IF(D13&gt;=0.40,"6-7","8-9"))))</f>
        <v/>
      </c>
    </row>
    <row r="14">
      <c r="A14" s="26" t="inlineStr">
        <is>
          <t>E McCoy</t>
        </is>
      </c>
      <c r="B14" s="26" t="inlineStr">
        <is>
          <t>RVRH</t>
        </is>
      </c>
      <c r="C14">
        <f>SUMIFS(Batting!$F$2:$F$5000,Batting!$E$2:$E$5000,A14,Batting!$D$2:$D$5000,B14)</f>
        <v/>
      </c>
      <c r="D14" s="34">
        <f>IFERROR((SUMIFS(Batting!$H$2:$H$5000,Batting!$E$2:$E$5000,A14,Batting!$D$2:$D$5000,B14)+SUMIFS(Batting!$L$2:$L$5000,Batting!$E$2:$E$5000,A14,Batting!$D$2:$D$5000,B14)+SUMIFS(Batting!$M$2:$M$5000,Batting!$E$2:$E$5000,A14,Batting!$D$2:$D$5000,B14))/C14,"Insufficient Data")</f>
        <v/>
      </c>
      <c r="E14" s="34">
        <f>IFERROR((SUMIFS(Batting!$I$2:$I$5000,Batting!$E$2:$E$5000,A14,Batting!$D$2:$D$5000,B14)+SUMIFS(Batting!$J$2:$J$5000,Batting!$E$2:$E$5000,A14,Batting!$D$2:$D$5000,B14)*2+SUMIFS(Batting!$K$2:$K$5000,Batting!$E$2:$E$5000,A14,Batting!$D$2:$D$5000,B14)*3+SUMIFS(Batting!$L$2:$L$5000,Batting!$E$2:$E$5000,A14,Batting!$D$2:$D$5000,B14)*4)/SUMIFS(Batting!$G$2:$G$5000,Batting!$E$2:$E$5000,A14,Batting!$D$2:$D$5000,B14),"Insufficient Data")</f>
        <v/>
      </c>
      <c r="F14" s="27">
        <f>IFERROR(SUMIFS(Batting!$N$2:$N$5000,Batting!$E$2:$E$5000,A14,Batting!$D$2:$D$5000,B14)/SUMIFS(Batting!$H$2:$H$5000,Batting!$E$2:$E$5000,A14,Batting!$D$2:$D$5000,B14),"Insufficient Data")</f>
        <v/>
      </c>
      <c r="G14" s="35">
        <f>IFERROR(SUMIFS(Batting!$O$2:$O$5000,Batting!$E$2:$E$5000,A14,Batting!$D$2:$D$5000,B14)/C14,"Insufficient Data")</f>
        <v/>
      </c>
      <c r="H14">
        <f>SUMIFS(Batting!$J$2:$J$5000,Batting!$E$2:$E$5000,A14,Batting!$D$2:$D$5000,B14)+SUMIFS(Batting!$K$2:$K$5000,Batting!$E$2:$E$5000,A14,Batting!$D$2:$D$5000,B14)+SUMIFS(Batting!$L$2:$L$5000,Batting!$E$2:$E$5000,A14,Batting!$D$2:$D$5000,B14)</f>
        <v/>
      </c>
      <c r="I14" s="29">
        <f>IFERROR((D14*0.4+E14*0.3+F14*0.15+(1-G14)*0.15)*10,"Insufficient Data")</f>
        <v/>
      </c>
      <c r="J14">
        <f>IF(I14="Insufficient Data","Insufficient Data",IF(I14&gt;=8,"🔴 ELITE",IF(I14&gt;=6.5,"🟠 HIGH",IF(I14&gt;=5,"🟡 MEDIUM","⚪ ROLE PLAYER"))))</f>
        <v/>
      </c>
      <c r="K14">
        <f>IF(C14&lt;15,"Insufficient PA",CONCAT(IF(D14&gt;=0.45,"ELITE OBP | ",""),IF(H14&gt;=3,"POWER | ",""),IF(F14&gt;=1.15,"ELITE Clutch | ",""),IF(G14&lt;=0.15,"Elite Contact","")))</f>
        <v/>
      </c>
      <c r="L14">
        <f>IF(I14="Insufficient Data","",IF(D14&gt;=0.55,"1-2",IF(F14&gt;=1.1,"3-5",IF(D14&gt;=0.40,"6-7","8-9"))))</f>
        <v/>
      </c>
    </row>
    <row r="15">
      <c r="A15" s="26" t="inlineStr">
        <is>
          <t>C Nichols</t>
        </is>
      </c>
      <c r="B15" s="26" t="inlineStr">
        <is>
          <t>RVRH</t>
        </is>
      </c>
      <c r="C15">
        <f>SUMIFS(Batting!$F$2:$F$5000,Batting!$E$2:$E$5000,A15,Batting!$D$2:$D$5000,B15)</f>
        <v/>
      </c>
      <c r="D15" s="34">
        <f>IFERROR((SUMIFS(Batting!$H$2:$H$5000,Batting!$E$2:$E$5000,A15,Batting!$D$2:$D$5000,B15)+SUMIFS(Batting!$L$2:$L$5000,Batting!$E$2:$E$5000,A15,Batting!$D$2:$D$5000,B15)+SUMIFS(Batting!$M$2:$M$5000,Batting!$E$2:$E$5000,A15,Batting!$D$2:$D$5000,B15))/C15,"Insufficient Data")</f>
        <v/>
      </c>
      <c r="E15" s="34">
        <f>IFERROR((SUMIFS(Batting!$I$2:$I$5000,Batting!$E$2:$E$5000,A15,Batting!$D$2:$D$5000,B15)+SUMIFS(Batting!$J$2:$J$5000,Batting!$E$2:$E$5000,A15,Batting!$D$2:$D$5000,B15)*2+SUMIFS(Batting!$K$2:$K$5000,Batting!$E$2:$E$5000,A15,Batting!$D$2:$D$5000,B15)*3+SUMIFS(Batting!$L$2:$L$5000,Batting!$E$2:$E$5000,A15,Batting!$D$2:$D$5000,B15)*4)/SUMIFS(Batting!$G$2:$G$5000,Batting!$E$2:$E$5000,A15,Batting!$D$2:$D$5000,B15),"Insufficient Data")</f>
        <v/>
      </c>
      <c r="F15" s="27">
        <f>IFERROR(SUMIFS(Batting!$N$2:$N$5000,Batting!$E$2:$E$5000,A15,Batting!$D$2:$D$5000,B15)/SUMIFS(Batting!$H$2:$H$5000,Batting!$E$2:$E$5000,A15,Batting!$D$2:$D$5000,B15),"Insufficient Data")</f>
        <v/>
      </c>
      <c r="G15" s="35">
        <f>IFERROR(SUMIFS(Batting!$O$2:$O$5000,Batting!$E$2:$E$5000,A15,Batting!$D$2:$D$5000,B15)/C15,"Insufficient Data")</f>
        <v/>
      </c>
      <c r="H15">
        <f>SUMIFS(Batting!$J$2:$J$5000,Batting!$E$2:$E$5000,A15,Batting!$D$2:$D$5000,B15)+SUMIFS(Batting!$K$2:$K$5000,Batting!$E$2:$E$5000,A15,Batting!$D$2:$D$5000,B15)+SUMIFS(Batting!$L$2:$L$5000,Batting!$E$2:$E$5000,A15,Batting!$D$2:$D$5000,B15)</f>
        <v/>
      </c>
      <c r="I15" s="29">
        <f>IFERROR((D15*0.4+E15*0.3+F15*0.15+(1-G15)*0.15)*10,"Insufficient Data")</f>
        <v/>
      </c>
      <c r="J15">
        <f>IF(I15="Insufficient Data","Insufficient Data",IF(I15&gt;=8,"🔴 ELITE",IF(I15&gt;=6.5,"🟠 HIGH",IF(I15&gt;=5,"🟡 MEDIUM","⚪ ROLE PLAYER"))))</f>
        <v/>
      </c>
      <c r="K15">
        <f>IF(C15&lt;15,"Insufficient PA",CONCAT(IF(D15&gt;=0.45,"ELITE OBP | ",""),IF(H15&gt;=3,"POWER | ",""),IF(F15&gt;=1.15,"ELITE Clutch | ",""),IF(G15&lt;=0.15,"Elite Contact","")))</f>
        <v/>
      </c>
      <c r="L15">
        <f>IF(I15="Insufficient Data","",IF(D15&gt;=0.55,"1-2",IF(F15&gt;=1.1,"3-5",IF(D15&gt;=0.40,"6-7","8-9"))))</f>
        <v/>
      </c>
    </row>
    <row r="16">
      <c r="A16" s="26" t="inlineStr">
        <is>
          <t>R Ronayne</t>
        </is>
      </c>
      <c r="B16" s="26" t="inlineStr">
        <is>
          <t>RVRH</t>
        </is>
      </c>
      <c r="C16">
        <f>SUMIFS(Batting!$F$2:$F$5000,Batting!$E$2:$E$5000,A16,Batting!$D$2:$D$5000,B16)</f>
        <v/>
      </c>
      <c r="D16" s="34">
        <f>IFERROR((SUMIFS(Batting!$H$2:$H$5000,Batting!$E$2:$E$5000,A16,Batting!$D$2:$D$5000,B16)+SUMIFS(Batting!$L$2:$L$5000,Batting!$E$2:$E$5000,A16,Batting!$D$2:$D$5000,B16)+SUMIFS(Batting!$M$2:$M$5000,Batting!$E$2:$E$5000,A16,Batting!$D$2:$D$5000,B16))/C16,"Insufficient Data")</f>
        <v/>
      </c>
      <c r="E16" s="34">
        <f>IFERROR((SUMIFS(Batting!$I$2:$I$5000,Batting!$E$2:$E$5000,A16,Batting!$D$2:$D$5000,B16)+SUMIFS(Batting!$J$2:$J$5000,Batting!$E$2:$E$5000,A16,Batting!$D$2:$D$5000,B16)*2+SUMIFS(Batting!$K$2:$K$5000,Batting!$E$2:$E$5000,A16,Batting!$D$2:$D$5000,B16)*3+SUMIFS(Batting!$L$2:$L$5000,Batting!$E$2:$E$5000,A16,Batting!$D$2:$D$5000,B16)*4)/SUMIFS(Batting!$G$2:$G$5000,Batting!$E$2:$E$5000,A16,Batting!$D$2:$D$5000,B16),"Insufficient Data")</f>
        <v/>
      </c>
      <c r="F16" s="27">
        <f>IFERROR(SUMIFS(Batting!$N$2:$N$5000,Batting!$E$2:$E$5000,A16,Batting!$D$2:$D$5000,B16)/SUMIFS(Batting!$H$2:$H$5000,Batting!$E$2:$E$5000,A16,Batting!$D$2:$D$5000,B16),"Insufficient Data")</f>
        <v/>
      </c>
      <c r="G16" s="35">
        <f>IFERROR(SUMIFS(Batting!$O$2:$O$5000,Batting!$E$2:$E$5000,A16,Batting!$D$2:$D$5000,B16)/C16,"Insufficient Data")</f>
        <v/>
      </c>
      <c r="H16">
        <f>SUMIFS(Batting!$J$2:$J$5000,Batting!$E$2:$E$5000,A16,Batting!$D$2:$D$5000,B16)+SUMIFS(Batting!$K$2:$K$5000,Batting!$E$2:$E$5000,A16,Batting!$D$2:$D$5000,B16)+SUMIFS(Batting!$L$2:$L$5000,Batting!$E$2:$E$5000,A16,Batting!$D$2:$D$5000,B16)</f>
        <v/>
      </c>
      <c r="I16" s="29">
        <f>IFERROR((D16*0.4+E16*0.3+F16*0.15+(1-G16)*0.15)*10,"Insufficient Data")</f>
        <v/>
      </c>
      <c r="J16">
        <f>IF(I16="Insufficient Data","Insufficient Data",IF(I16&gt;=8,"🔴 ELITE",IF(I16&gt;=6.5,"🟠 HIGH",IF(I16&gt;=5,"🟡 MEDIUM","⚪ ROLE PLAYER"))))</f>
        <v/>
      </c>
      <c r="K16">
        <f>IF(C16&lt;15,"Insufficient PA",CONCAT(IF(D16&gt;=0.45,"ELITE OBP | ",""),IF(H16&gt;=3,"POWER | ",""),IF(F16&gt;=1.15,"ELITE Clutch | ",""),IF(G16&lt;=0.15,"Elite Contact","")))</f>
        <v/>
      </c>
      <c r="L16">
        <f>IF(I16="Insufficient Data","",IF(D16&gt;=0.55,"1-2",IF(F16&gt;=1.1,"3-5",IF(D16&gt;=0.40,"6-7","8-9"))))</f>
        <v/>
      </c>
    </row>
    <row r="17">
      <c r="A17" s="26" t="inlineStr">
        <is>
          <t>J Jenkins</t>
        </is>
      </c>
      <c r="B17" s="26" t="inlineStr">
        <is>
          <t>RVRH</t>
        </is>
      </c>
      <c r="C17">
        <f>SUMIFS(Batting!$F$2:$F$5000,Batting!$E$2:$E$5000,A17,Batting!$D$2:$D$5000,B17)</f>
        <v/>
      </c>
      <c r="D17" s="34">
        <f>IFERROR((SUMIFS(Batting!$H$2:$H$5000,Batting!$E$2:$E$5000,A17,Batting!$D$2:$D$5000,B17)+SUMIFS(Batting!$L$2:$L$5000,Batting!$E$2:$E$5000,A17,Batting!$D$2:$D$5000,B17)+SUMIFS(Batting!$M$2:$M$5000,Batting!$E$2:$E$5000,A17,Batting!$D$2:$D$5000,B17))/C17,"Insufficient Data")</f>
        <v/>
      </c>
      <c r="E17" s="34">
        <f>IFERROR((SUMIFS(Batting!$I$2:$I$5000,Batting!$E$2:$E$5000,A17,Batting!$D$2:$D$5000,B17)+SUMIFS(Batting!$J$2:$J$5000,Batting!$E$2:$E$5000,A17,Batting!$D$2:$D$5000,B17)*2+SUMIFS(Batting!$K$2:$K$5000,Batting!$E$2:$E$5000,A17,Batting!$D$2:$D$5000,B17)*3+SUMIFS(Batting!$L$2:$L$5000,Batting!$E$2:$E$5000,A17,Batting!$D$2:$D$5000,B17)*4)/SUMIFS(Batting!$G$2:$G$5000,Batting!$E$2:$E$5000,A17,Batting!$D$2:$D$5000,B17),"Insufficient Data")</f>
        <v/>
      </c>
      <c r="F17" s="27">
        <f>IFERROR(SUMIFS(Batting!$N$2:$N$5000,Batting!$E$2:$E$5000,A17,Batting!$D$2:$D$5000,B17)/SUMIFS(Batting!$H$2:$H$5000,Batting!$E$2:$E$5000,A17,Batting!$D$2:$D$5000,B17),"Insufficient Data")</f>
        <v/>
      </c>
      <c r="G17" s="35">
        <f>IFERROR(SUMIFS(Batting!$O$2:$O$5000,Batting!$E$2:$E$5000,A17,Batting!$D$2:$D$5000,B17)/C17,"Insufficient Data")</f>
        <v/>
      </c>
      <c r="H17">
        <f>SUMIFS(Batting!$J$2:$J$5000,Batting!$E$2:$E$5000,A17,Batting!$D$2:$D$5000,B17)+SUMIFS(Batting!$K$2:$K$5000,Batting!$E$2:$E$5000,A17,Batting!$D$2:$D$5000,B17)+SUMIFS(Batting!$L$2:$L$5000,Batting!$E$2:$E$5000,A17,Batting!$D$2:$D$5000,B17)</f>
        <v/>
      </c>
      <c r="I17" s="29">
        <f>IFERROR((D17*0.4+E17*0.3+F17*0.15+(1-G17)*0.15)*10,"Insufficient Data")</f>
        <v/>
      </c>
      <c r="J17">
        <f>IF(I17="Insufficient Data","Insufficient Data",IF(I17&gt;=8,"🔴 ELITE",IF(I17&gt;=6.5,"🟠 HIGH",IF(I17&gt;=5,"🟡 MEDIUM","⚪ ROLE PLAYER"))))</f>
        <v/>
      </c>
      <c r="K17">
        <f>IF(C17&lt;15,"Insufficient PA",CONCAT(IF(D17&gt;=0.45,"ELITE OBP | ",""),IF(H17&gt;=3,"POWER | ",""),IF(F17&gt;=1.15,"ELITE Clutch | ",""),IF(G17&lt;=0.15,"Elite Contact","")))</f>
        <v/>
      </c>
      <c r="L17">
        <f>IF(I17="Insufficient Data","",IF(D17&gt;=0.55,"1-2",IF(F17&gt;=1.1,"3-5",IF(D17&gt;=0.40,"6-7","8-9"))))</f>
        <v/>
      </c>
    </row>
    <row r="18">
      <c r="A18" s="26" t="inlineStr">
        <is>
          <t>B Bixby</t>
        </is>
      </c>
      <c r="B18" s="26" t="inlineStr">
        <is>
          <t>RVRH</t>
        </is>
      </c>
      <c r="C18">
        <f>SUMIFS(Batting!$F$2:$F$5000,Batting!$E$2:$E$5000,A18,Batting!$D$2:$D$5000,B18)</f>
        <v/>
      </c>
      <c r="D18" s="34">
        <f>IFERROR((SUMIFS(Batting!$H$2:$H$5000,Batting!$E$2:$E$5000,A18,Batting!$D$2:$D$5000,B18)+SUMIFS(Batting!$L$2:$L$5000,Batting!$E$2:$E$5000,A18,Batting!$D$2:$D$5000,B18)+SUMIFS(Batting!$M$2:$M$5000,Batting!$E$2:$E$5000,A18,Batting!$D$2:$D$5000,B18))/C18,"Insufficient Data")</f>
        <v/>
      </c>
      <c r="E18" s="34">
        <f>IFERROR((SUMIFS(Batting!$I$2:$I$5000,Batting!$E$2:$E$5000,A18,Batting!$D$2:$D$5000,B18)+SUMIFS(Batting!$J$2:$J$5000,Batting!$E$2:$E$5000,A18,Batting!$D$2:$D$5000,B18)*2+SUMIFS(Batting!$K$2:$K$5000,Batting!$E$2:$E$5000,A18,Batting!$D$2:$D$5000,B18)*3+SUMIFS(Batting!$L$2:$L$5000,Batting!$E$2:$E$5000,A18,Batting!$D$2:$D$5000,B18)*4)/SUMIFS(Batting!$G$2:$G$5000,Batting!$E$2:$E$5000,A18,Batting!$D$2:$D$5000,B18),"Insufficient Data")</f>
        <v/>
      </c>
      <c r="F18" s="27">
        <f>IFERROR(SUMIFS(Batting!$N$2:$N$5000,Batting!$E$2:$E$5000,A18,Batting!$D$2:$D$5000,B18)/SUMIFS(Batting!$H$2:$H$5000,Batting!$E$2:$E$5000,A18,Batting!$D$2:$D$5000,B18),"Insufficient Data")</f>
        <v/>
      </c>
      <c r="G18" s="35">
        <f>IFERROR(SUMIFS(Batting!$O$2:$O$5000,Batting!$E$2:$E$5000,A18,Batting!$D$2:$D$5000,B18)/C18,"Insufficient Data")</f>
        <v/>
      </c>
      <c r="H18">
        <f>SUMIFS(Batting!$J$2:$J$5000,Batting!$E$2:$E$5000,A18,Batting!$D$2:$D$5000,B18)+SUMIFS(Batting!$K$2:$K$5000,Batting!$E$2:$E$5000,A18,Batting!$D$2:$D$5000,B18)+SUMIFS(Batting!$L$2:$L$5000,Batting!$E$2:$E$5000,A18,Batting!$D$2:$D$5000,B18)</f>
        <v/>
      </c>
      <c r="I18" s="29">
        <f>IFERROR((D18*0.4+E18*0.3+F18*0.15+(1-G18)*0.15)*10,"Insufficient Data")</f>
        <v/>
      </c>
      <c r="J18">
        <f>IF(I18="Insufficient Data","Insufficient Data",IF(I18&gt;=8,"🔴 ELITE",IF(I18&gt;=6.5,"🟠 HIGH",IF(I18&gt;=5,"🟡 MEDIUM","⚪ ROLE PLAYER"))))</f>
        <v/>
      </c>
      <c r="K18">
        <f>IF(C18&lt;15,"Insufficient PA",CONCAT(IF(D18&gt;=0.45,"ELITE OBP | ",""),IF(H18&gt;=3,"POWER | ",""),IF(F18&gt;=1.15,"ELITE Clutch | ",""),IF(G18&lt;=0.15,"Elite Contact","")))</f>
        <v/>
      </c>
      <c r="L18">
        <f>IF(I18="Insufficient Data","",IF(D18&gt;=0.55,"1-2",IF(F18&gt;=1.1,"3-5",IF(D18&gt;=0.40,"6-7","8-9"))))</f>
        <v/>
      </c>
    </row>
    <row r="19">
      <c r="A19" s="26" t="inlineStr">
        <is>
          <t>E Skolkin</t>
        </is>
      </c>
      <c r="B19" s="26" t="inlineStr">
        <is>
          <t>RVRH</t>
        </is>
      </c>
      <c r="C19">
        <f>SUMIFS(Batting!$F$2:$F$5000,Batting!$E$2:$E$5000,A19,Batting!$D$2:$D$5000,B19)</f>
        <v/>
      </c>
      <c r="D19" s="34">
        <f>IFERROR((SUMIFS(Batting!$H$2:$H$5000,Batting!$E$2:$E$5000,A19,Batting!$D$2:$D$5000,B19)+SUMIFS(Batting!$L$2:$L$5000,Batting!$E$2:$E$5000,A19,Batting!$D$2:$D$5000,B19)+SUMIFS(Batting!$M$2:$M$5000,Batting!$E$2:$E$5000,A19,Batting!$D$2:$D$5000,B19))/C19,"Insufficient Data")</f>
        <v/>
      </c>
      <c r="E19" s="34">
        <f>IFERROR((SUMIFS(Batting!$I$2:$I$5000,Batting!$E$2:$E$5000,A19,Batting!$D$2:$D$5000,B19)+SUMIFS(Batting!$J$2:$J$5000,Batting!$E$2:$E$5000,A19,Batting!$D$2:$D$5000,B19)*2+SUMIFS(Batting!$K$2:$K$5000,Batting!$E$2:$E$5000,A19,Batting!$D$2:$D$5000,B19)*3+SUMIFS(Batting!$L$2:$L$5000,Batting!$E$2:$E$5000,A19,Batting!$D$2:$D$5000,B19)*4)/SUMIFS(Batting!$G$2:$G$5000,Batting!$E$2:$E$5000,A19,Batting!$D$2:$D$5000,B19),"Insufficient Data")</f>
        <v/>
      </c>
      <c r="F19" s="27">
        <f>IFERROR(SUMIFS(Batting!$N$2:$N$5000,Batting!$E$2:$E$5000,A19,Batting!$D$2:$D$5000,B19)/SUMIFS(Batting!$H$2:$H$5000,Batting!$E$2:$E$5000,A19,Batting!$D$2:$D$5000,B19),"Insufficient Data")</f>
        <v/>
      </c>
      <c r="G19" s="35">
        <f>IFERROR(SUMIFS(Batting!$O$2:$O$5000,Batting!$E$2:$E$5000,A19,Batting!$D$2:$D$5000,B19)/C19,"Insufficient Data")</f>
        <v/>
      </c>
      <c r="H19">
        <f>SUMIFS(Batting!$J$2:$J$5000,Batting!$E$2:$E$5000,A19,Batting!$D$2:$D$5000,B19)+SUMIFS(Batting!$K$2:$K$5000,Batting!$E$2:$E$5000,A19,Batting!$D$2:$D$5000,B19)+SUMIFS(Batting!$L$2:$L$5000,Batting!$E$2:$E$5000,A19,Batting!$D$2:$D$5000,B19)</f>
        <v/>
      </c>
      <c r="I19" s="29">
        <f>IFERROR((D19*0.4+E19*0.3+F19*0.15+(1-G19)*0.15)*10,"Insufficient Data")</f>
        <v/>
      </c>
      <c r="J19">
        <f>IF(I19="Insufficient Data","Insufficient Data",IF(I19&gt;=8,"🔴 ELITE",IF(I19&gt;=6.5,"🟠 HIGH",IF(I19&gt;=5,"🟡 MEDIUM","⚪ ROLE PLAYER"))))</f>
        <v/>
      </c>
      <c r="K19">
        <f>IF(C19&lt;15,"Insufficient PA",CONCAT(IF(D19&gt;=0.45,"ELITE OBP | ",""),IF(H19&gt;=3,"POWER | ",""),IF(F19&gt;=1.15,"ELITE Clutch | ",""),IF(G19&lt;=0.15,"Elite Contact","")))</f>
        <v/>
      </c>
      <c r="L19">
        <f>IF(I19="Insufficient Data","",IF(D19&gt;=0.55,"1-2",IF(F19&gt;=1.1,"3-5",IF(D19&gt;=0.40,"6-7","8-9"))))</f>
        <v/>
      </c>
    </row>
    <row r="20">
      <c r="A20" s="26" t="inlineStr">
        <is>
          <t>L Tordella</t>
        </is>
      </c>
      <c r="B20" s="26" t="inlineStr">
        <is>
          <t>RVRH</t>
        </is>
      </c>
      <c r="C20">
        <f>SUMIFS(Batting!$F$2:$F$5000,Batting!$E$2:$E$5000,A20,Batting!$D$2:$D$5000,B20)</f>
        <v/>
      </c>
      <c r="D20" s="34">
        <f>IFERROR((SUMIFS(Batting!$H$2:$H$5000,Batting!$E$2:$E$5000,A20,Batting!$D$2:$D$5000,B20)+SUMIFS(Batting!$L$2:$L$5000,Batting!$E$2:$E$5000,A20,Batting!$D$2:$D$5000,B20)+SUMIFS(Batting!$M$2:$M$5000,Batting!$E$2:$E$5000,A20,Batting!$D$2:$D$5000,B20))/C20,"Insufficient Data")</f>
        <v/>
      </c>
      <c r="E20" s="34">
        <f>IFERROR((SUMIFS(Batting!$I$2:$I$5000,Batting!$E$2:$E$5000,A20,Batting!$D$2:$D$5000,B20)+SUMIFS(Batting!$J$2:$J$5000,Batting!$E$2:$E$5000,A20,Batting!$D$2:$D$5000,B20)*2+SUMIFS(Batting!$K$2:$K$5000,Batting!$E$2:$E$5000,A20,Batting!$D$2:$D$5000,B20)*3+SUMIFS(Batting!$L$2:$L$5000,Batting!$E$2:$E$5000,A20,Batting!$D$2:$D$5000,B20)*4)/SUMIFS(Batting!$G$2:$G$5000,Batting!$E$2:$E$5000,A20,Batting!$D$2:$D$5000,B20),"Insufficient Data")</f>
        <v/>
      </c>
      <c r="F20" s="27">
        <f>IFERROR(SUMIFS(Batting!$N$2:$N$5000,Batting!$E$2:$E$5000,A20,Batting!$D$2:$D$5000,B20)/SUMIFS(Batting!$H$2:$H$5000,Batting!$E$2:$E$5000,A20,Batting!$D$2:$D$5000,B20),"Insufficient Data")</f>
        <v/>
      </c>
      <c r="G20" s="35">
        <f>IFERROR(SUMIFS(Batting!$O$2:$O$5000,Batting!$E$2:$E$5000,A20,Batting!$D$2:$D$5000,B20)/C20,"Insufficient Data")</f>
        <v/>
      </c>
      <c r="H20">
        <f>SUMIFS(Batting!$J$2:$J$5000,Batting!$E$2:$E$5000,A20,Batting!$D$2:$D$5000,B20)+SUMIFS(Batting!$K$2:$K$5000,Batting!$E$2:$E$5000,A20,Batting!$D$2:$D$5000,B20)+SUMIFS(Batting!$L$2:$L$5000,Batting!$E$2:$E$5000,A20,Batting!$D$2:$D$5000,B20)</f>
        <v/>
      </c>
      <c r="I20" s="29">
        <f>IFERROR((D20*0.4+E20*0.3+F20*0.15+(1-G20)*0.15)*10,"Insufficient Data")</f>
        <v/>
      </c>
      <c r="J20">
        <f>IF(I20="Insufficient Data","Insufficient Data",IF(I20&gt;=8,"🔴 ELITE",IF(I20&gt;=6.5,"🟠 HIGH",IF(I20&gt;=5,"🟡 MEDIUM","⚪ ROLE PLAYER"))))</f>
        <v/>
      </c>
      <c r="K20">
        <f>IF(C20&lt;15,"Insufficient PA",CONCAT(IF(D20&gt;=0.45,"ELITE OBP | ",""),IF(H20&gt;=3,"POWER | ",""),IF(F20&gt;=1.15,"ELITE Clutch | ",""),IF(G20&lt;=0.15,"Elite Contact","")))</f>
        <v/>
      </c>
      <c r="L20">
        <f>IF(I20="Insufficient Data","",IF(D20&gt;=0.55,"1-2",IF(F20&gt;=1.1,"3-5",IF(D20&gt;=0.40,"6-7","8-9"))))</f>
        <v/>
      </c>
    </row>
    <row r="25">
      <c r="A25" s="36" t="inlineStr">
        <is>
          <t>OPPONENT THREATS (Top 3 per team)</t>
        </is>
      </c>
    </row>
  </sheetData>
  <mergeCells count="3">
    <mergeCell ref="A2:L2"/>
    <mergeCell ref="A1:L1"/>
    <mergeCell ref="A5:L5"/>
  </mergeCells>
  <conditionalFormatting sqref="J6:J24">
    <cfRule type="cellIs" priority="1" operator="containsText" dxfId="0">
      <formula>"ELITE"</formula>
    </cfRule>
    <cfRule type="cellIs" priority="2" operator="containsText" dxfId="1">
      <formula>"HIGH"</formula>
    </cfRule>
    <cfRule type="cellIs" priority="3" operator="containsText" dxfId="4">
      <formula>"MEDIUM"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8" customWidth="1" min="5" max="5"/>
    <col width="8" customWidth="1" min="6" max="6"/>
    <col width="7" customWidth="1" min="7" max="7"/>
    <col width="7" customWidth="1" min="8" max="8"/>
    <col width="10" customWidth="1" min="9" max="9"/>
    <col width="10" customWidth="1" min="10" max="10"/>
    <col width="16" customWidth="1" min="11" max="11"/>
    <col width="38" customWidth="1" min="12" max="12"/>
    <col width="12" customWidth="1" min="13" max="13"/>
  </cols>
  <sheetData>
    <row r="1">
      <c r="A1" s="18" t="inlineStr">
        <is>
          <t>PITCHER IMPACT ASSESSMENT - Who Can Shut You Down?</t>
        </is>
      </c>
    </row>
    <row r="2">
      <c r="A2" s="19" t="inlineStr">
        <is>
          <t>Scouts: Focus on ACE (🔴) and QUALITY (🟠) pitchers in game planning</t>
        </is>
      </c>
    </row>
    <row r="4">
      <c r="A4" s="32" t="inlineStr">
        <is>
          <t>Pitcher</t>
        </is>
      </c>
      <c r="B4" s="32" t="inlineStr">
        <is>
          <t>Team</t>
        </is>
      </c>
      <c r="C4" s="32" t="inlineStr">
        <is>
          <t>IP</t>
        </is>
      </c>
      <c r="D4" s="32" t="inlineStr">
        <is>
          <t>Apps</t>
        </is>
      </c>
      <c r="E4" s="32" t="inlineStr">
        <is>
          <t>K_per_9</t>
        </is>
      </c>
      <c r="F4" s="32" t="inlineStr">
        <is>
          <t>BB_per_9</t>
        </is>
      </c>
      <c r="G4" s="32" t="inlineStr">
        <is>
          <t>ERA</t>
        </is>
      </c>
      <c r="H4" s="32" t="inlineStr">
        <is>
          <t>WHIP</t>
        </is>
      </c>
      <c r="I4" s="32" t="inlineStr">
        <is>
          <t>IP_per_App</t>
        </is>
      </c>
      <c r="J4" s="32" t="inlineStr">
        <is>
          <t>Impact_Score</t>
        </is>
      </c>
      <c r="K4" s="32" t="inlineStr">
        <is>
          <t>Impact_Tier</t>
        </is>
      </c>
      <c r="L4" s="32" t="inlineStr">
        <is>
          <t>Scouting_Notes</t>
        </is>
      </c>
      <c r="M4" s="32" t="inlineStr">
        <is>
          <t>Role</t>
        </is>
      </c>
    </row>
    <row r="5">
      <c r="A5" s="33" t="inlineStr">
        <is>
          <t>FORMULA: Impact = (K/9×30%) + (Control×25%) + (ERA×25%) + (WHIP×20%)</t>
        </is>
      </c>
    </row>
    <row r="6">
      <c r="A6" s="26" t="inlineStr">
        <is>
          <t>R Walsh</t>
        </is>
      </c>
      <c r="B6" s="26" t="inlineStr">
        <is>
          <t>RVRH</t>
        </is>
      </c>
      <c r="C6" s="29">
        <f>SUMIFS(Pitching!$F$2:$F$5000,Pitching!$E$2:$E$5000,A6,Pitching!$D$2:$D$5000,B6)/3</f>
        <v/>
      </c>
      <c r="D6">
        <f>COUNTIFS(Pitching!$E$2:$E$5000,A6,Pitching!$D$2:$D$5000,B6)</f>
        <v/>
      </c>
      <c r="E6" s="27">
        <f>IFERROR((SUMIFS(Pitching!$P$2:$P$5000,Pitching!$E$2:$E$5000,A6,Pitching!$D$2:$D$5000,B6)/C6)*7,"Insufficient Data")</f>
        <v/>
      </c>
      <c r="F6" s="27">
        <f>IFERROR((SUMIFS(Pitching!$L$2:$L$5000,Pitching!$E$2:$E$5000,A6,Pitching!$D$2:$D$5000,B6)/C6)*7,"Insufficient Data")</f>
        <v/>
      </c>
      <c r="G6" s="27">
        <f>IFERROR((SUMIFS(Pitching!$Q$2:$Q$5000,Pitching!$E$2:$E$5000,A6,Pitching!$D$2:$D$5000,B6)*7)/C6,"Insufficient Data")</f>
        <v/>
      </c>
      <c r="H6" s="27">
        <f>IFERROR((SUMIFS(Pitching!$H$2:$H$5000,Pitching!$E$2:$E$5000,A6,Pitching!$D$2:$D$5000,B6)+SUMIFS(Pitching!$L$2:$L$5000,Pitching!$E$2:$E$5000,A6,Pitching!$D$2:$D$5000,B6))/C6,"Insufficient Data")</f>
        <v/>
      </c>
      <c r="I6" s="29">
        <f>IFERROR(C6/D6,"Insufficient Data")</f>
        <v/>
      </c>
      <c r="J6" s="29">
        <f>IFERROR((MIN(E6/15,1)*0.3+(1-MIN(F6/10,1))*0.25+(1-MIN(G6/15,1))*0.25+(1-MIN(H6/3,1))*0.2)*10,"Insufficient Data")</f>
        <v/>
      </c>
      <c r="K6">
        <f>IF(J6="Insufficient Data","Insufficient Data",IF(J6&gt;=8,"🔴 ACE",IF(J6&gt;=6.5,"🟠 QUALITY",IF(J6&gt;=5,"🟡 AVERAGE",IF(J6&gt;=3.5,"⚪ HITTABLE","🟢 BATTING PRACTICE")))))</f>
        <v/>
      </c>
      <c r="L6">
        <f>IF(C6&lt;3,"Insufficient IP",CONCAT(IF(E6&gt;=9,"POWER | ",""),IF(E6&gt;=7,IF(E6&lt;9,"Good K | ",""),""),IF(E6&lt;4,"Contact | ",""),IF(F6&lt;=2,"Elite cmd | ",""),IF(F6&lt;=3.5,IF(F6&gt;2,"Good ctrl | ",""),""),IF(F6&gt;=5,"⚠️ Control | ",""),IF(G6&lt;=2,"ELITE | ",""),IF(G6&lt;=3.5,IF(G6&gt;2,"Quality | ",""),""),IF(G6&gt;=6,"Hittable | ",""),IF(I6&gt;=4,"Workhorse","Short")))</f>
        <v/>
      </c>
      <c r="M6">
        <f>IF(I6="Insufficient Data","",IF(I6&gt;=3.5,"Starter",IF(I6&gt;=1.5,"Reliever","Setup/Closer")))</f>
        <v/>
      </c>
    </row>
    <row r="7">
      <c r="A7" s="26" t="inlineStr">
        <is>
          <t>H Zhang</t>
        </is>
      </c>
      <c r="B7" s="26" t="inlineStr">
        <is>
          <t>RVRH</t>
        </is>
      </c>
      <c r="C7" s="29">
        <f>SUMIFS(Pitching!$F$2:$F$5000,Pitching!$E$2:$E$5000,A7,Pitching!$D$2:$D$5000,B7)/3</f>
        <v/>
      </c>
      <c r="D7">
        <f>COUNTIFS(Pitching!$E$2:$E$5000,A7,Pitching!$D$2:$D$5000,B7)</f>
        <v/>
      </c>
      <c r="E7" s="27">
        <f>IFERROR((SUMIFS(Pitching!$P$2:$P$5000,Pitching!$E$2:$E$5000,A7,Pitching!$D$2:$D$5000,B7)/C7)*7,"Insufficient Data")</f>
        <v/>
      </c>
      <c r="F7" s="27">
        <f>IFERROR((SUMIFS(Pitching!$L$2:$L$5000,Pitching!$E$2:$E$5000,A7,Pitching!$D$2:$D$5000,B7)/C7)*7,"Insufficient Data")</f>
        <v/>
      </c>
      <c r="G7" s="27">
        <f>IFERROR((SUMIFS(Pitching!$Q$2:$Q$5000,Pitching!$E$2:$E$5000,A7,Pitching!$D$2:$D$5000,B7)*7)/C7,"Insufficient Data")</f>
        <v/>
      </c>
      <c r="H7" s="27">
        <f>IFERROR((SUMIFS(Pitching!$H$2:$H$5000,Pitching!$E$2:$E$5000,A7,Pitching!$D$2:$D$5000,B7)+SUMIFS(Pitching!$L$2:$L$5000,Pitching!$E$2:$E$5000,A7,Pitching!$D$2:$D$5000,B7))/C7,"Insufficient Data")</f>
        <v/>
      </c>
      <c r="I7" s="29">
        <f>IFERROR(C7/D7,"Insufficient Data")</f>
        <v/>
      </c>
      <c r="J7" s="29">
        <f>IFERROR((MIN(E7/15,1)*0.3+(1-MIN(F7/10,1))*0.25+(1-MIN(G7/15,1))*0.25+(1-MIN(H7/3,1))*0.2)*10,"Insufficient Data")</f>
        <v/>
      </c>
      <c r="K7">
        <f>IF(J7="Insufficient Data","Insufficient Data",IF(J7&gt;=8,"🔴 ACE",IF(J7&gt;=6.5,"🟠 QUALITY",IF(J7&gt;=5,"🟡 AVERAGE",IF(J7&gt;=3.5,"⚪ HITTABLE","🟢 BATTING PRACTICE")))))</f>
        <v/>
      </c>
      <c r="L7">
        <f>IF(C7&lt;3,"Insufficient IP",CONCAT(IF(E7&gt;=9,"POWER | ",""),IF(E7&gt;=7,IF(E7&lt;9,"Good K | ",""),""),IF(E7&lt;4,"Contact | ",""),IF(F7&lt;=2,"Elite cmd | ",""),IF(F7&lt;=3.5,IF(F7&gt;2,"Good ctrl | ",""),""),IF(F7&gt;=5,"⚠️ Control | ",""),IF(G7&lt;=2,"ELITE | ",""),IF(G7&lt;=3.5,IF(G7&gt;2,"Quality | ",""),""),IF(G7&gt;=6,"Hittable | ",""),IF(I7&gt;=4,"Workhorse","Short")))</f>
        <v/>
      </c>
      <c r="M7">
        <f>IF(I7="Insufficient Data","",IF(I7&gt;=3.5,"Starter",IF(I7&gt;=1.5,"Reliever","Setup/Closer")))</f>
        <v/>
      </c>
    </row>
    <row r="8">
      <c r="A8" s="26" t="inlineStr">
        <is>
          <t>J Jenkins</t>
        </is>
      </c>
      <c r="B8" s="26" t="inlineStr">
        <is>
          <t>RVRH</t>
        </is>
      </c>
      <c r="C8" s="29">
        <f>SUMIFS(Pitching!$F$2:$F$5000,Pitching!$E$2:$E$5000,A8,Pitching!$D$2:$D$5000,B8)/3</f>
        <v/>
      </c>
      <c r="D8">
        <f>COUNTIFS(Pitching!$E$2:$E$5000,A8,Pitching!$D$2:$D$5000,B8)</f>
        <v/>
      </c>
      <c r="E8" s="27">
        <f>IFERROR((SUMIFS(Pitching!$P$2:$P$5000,Pitching!$E$2:$E$5000,A8,Pitching!$D$2:$D$5000,B8)/C8)*7,"Insufficient Data")</f>
        <v/>
      </c>
      <c r="F8" s="27">
        <f>IFERROR((SUMIFS(Pitching!$L$2:$L$5000,Pitching!$E$2:$E$5000,A8,Pitching!$D$2:$D$5000,B8)/C8)*7,"Insufficient Data")</f>
        <v/>
      </c>
      <c r="G8" s="27">
        <f>IFERROR((SUMIFS(Pitching!$Q$2:$Q$5000,Pitching!$E$2:$E$5000,A8,Pitching!$D$2:$D$5000,B8)*7)/C8,"Insufficient Data")</f>
        <v/>
      </c>
      <c r="H8" s="27">
        <f>IFERROR((SUMIFS(Pitching!$H$2:$H$5000,Pitching!$E$2:$E$5000,A8,Pitching!$D$2:$D$5000,B8)+SUMIFS(Pitching!$L$2:$L$5000,Pitching!$E$2:$E$5000,A8,Pitching!$D$2:$D$5000,B8))/C8,"Insufficient Data")</f>
        <v/>
      </c>
      <c r="I8" s="29">
        <f>IFERROR(C8/D8,"Insufficient Data")</f>
        <v/>
      </c>
      <c r="J8" s="29">
        <f>IFERROR((MIN(E8/15,1)*0.3+(1-MIN(F8/10,1))*0.25+(1-MIN(G8/15,1))*0.25+(1-MIN(H8/3,1))*0.2)*10,"Insufficient Data")</f>
        <v/>
      </c>
      <c r="K8">
        <f>IF(J8="Insufficient Data","Insufficient Data",IF(J8&gt;=8,"🔴 ACE",IF(J8&gt;=6.5,"🟠 QUALITY",IF(J8&gt;=5,"🟡 AVERAGE",IF(J8&gt;=3.5,"⚪ HITTABLE","🟢 BATTING PRACTICE")))))</f>
        <v/>
      </c>
      <c r="L8">
        <f>IF(C8&lt;3,"Insufficient IP",CONCAT(IF(E8&gt;=9,"POWER | ",""),IF(E8&gt;=7,IF(E8&lt;9,"Good K | ",""),""),IF(E8&lt;4,"Contact | ",""),IF(F8&lt;=2,"Elite cmd | ",""),IF(F8&lt;=3.5,IF(F8&gt;2,"Good ctrl | ",""),""),IF(F8&gt;=5,"⚠️ Control | ",""),IF(G8&lt;=2,"ELITE | ",""),IF(G8&lt;=3.5,IF(G8&gt;2,"Quality | ",""),""),IF(G8&gt;=6,"Hittable | ",""),IF(I8&gt;=4,"Workhorse","Short")))</f>
        <v/>
      </c>
      <c r="M8">
        <f>IF(I8="Insufficient Data","",IF(I8&gt;=3.5,"Starter",IF(I8&gt;=1.5,"Reliever","Setup/Closer")))</f>
        <v/>
      </c>
    </row>
    <row r="9">
      <c r="A9" s="26" t="inlineStr">
        <is>
          <t>E McCoy</t>
        </is>
      </c>
      <c r="B9" s="26" t="inlineStr">
        <is>
          <t>RVRH</t>
        </is>
      </c>
      <c r="C9" s="29">
        <f>SUMIFS(Pitching!$F$2:$F$5000,Pitching!$E$2:$E$5000,A9,Pitching!$D$2:$D$5000,B9)/3</f>
        <v/>
      </c>
      <c r="D9">
        <f>COUNTIFS(Pitching!$E$2:$E$5000,A9,Pitching!$D$2:$D$5000,B9)</f>
        <v/>
      </c>
      <c r="E9" s="27">
        <f>IFERROR((SUMIFS(Pitching!$P$2:$P$5000,Pitching!$E$2:$E$5000,A9,Pitching!$D$2:$D$5000,B9)/C9)*7,"Insufficient Data")</f>
        <v/>
      </c>
      <c r="F9" s="27">
        <f>IFERROR((SUMIFS(Pitching!$L$2:$L$5000,Pitching!$E$2:$E$5000,A9,Pitching!$D$2:$D$5000,B9)/C9)*7,"Insufficient Data")</f>
        <v/>
      </c>
      <c r="G9" s="27">
        <f>IFERROR((SUMIFS(Pitching!$Q$2:$Q$5000,Pitching!$E$2:$E$5000,A9,Pitching!$D$2:$D$5000,B9)*7)/C9,"Insufficient Data")</f>
        <v/>
      </c>
      <c r="H9" s="27">
        <f>IFERROR((SUMIFS(Pitching!$H$2:$H$5000,Pitching!$E$2:$E$5000,A9,Pitching!$D$2:$D$5000,B9)+SUMIFS(Pitching!$L$2:$L$5000,Pitching!$E$2:$E$5000,A9,Pitching!$D$2:$D$5000,B9))/C9,"Insufficient Data")</f>
        <v/>
      </c>
      <c r="I9" s="29">
        <f>IFERROR(C9/D9,"Insufficient Data")</f>
        <v/>
      </c>
      <c r="J9" s="29">
        <f>IFERROR((MIN(E9/15,1)*0.3+(1-MIN(F9/10,1))*0.25+(1-MIN(G9/15,1))*0.25+(1-MIN(H9/3,1))*0.2)*10,"Insufficient Data")</f>
        <v/>
      </c>
      <c r="K9">
        <f>IF(J9="Insufficient Data","Insufficient Data",IF(J9&gt;=8,"🔴 ACE",IF(J9&gt;=6.5,"🟠 QUALITY",IF(J9&gt;=5,"🟡 AVERAGE",IF(J9&gt;=3.5,"⚪ HITTABLE","🟢 BATTING PRACTICE")))))</f>
        <v/>
      </c>
      <c r="L9">
        <f>IF(C9&lt;3,"Insufficient IP",CONCAT(IF(E9&gt;=9,"POWER | ",""),IF(E9&gt;=7,IF(E9&lt;9,"Good K | ",""),""),IF(E9&lt;4,"Contact | ",""),IF(F9&lt;=2,"Elite cmd | ",""),IF(F9&lt;=3.5,IF(F9&gt;2,"Good ctrl | ",""),""),IF(F9&gt;=5,"⚠️ Control | ",""),IF(G9&lt;=2,"ELITE | ",""),IF(G9&lt;=3.5,IF(G9&gt;2,"Quality | ",""),""),IF(G9&gt;=6,"Hittable | ",""),IF(I9&gt;=4,"Workhorse","Short")))</f>
        <v/>
      </c>
      <c r="M9">
        <f>IF(I9="Insufficient Data","",IF(I9&gt;=3.5,"Starter",IF(I9&gt;=1.5,"Reliever","Setup/Closer")))</f>
        <v/>
      </c>
    </row>
    <row r="10">
      <c r="A10" s="26" t="inlineStr">
        <is>
          <t>C Reis</t>
        </is>
      </c>
      <c r="B10" s="26" t="inlineStr">
        <is>
          <t>RVRH</t>
        </is>
      </c>
      <c r="C10" s="29">
        <f>SUMIFS(Pitching!$F$2:$F$5000,Pitching!$E$2:$E$5000,A10,Pitching!$D$2:$D$5000,B10)/3</f>
        <v/>
      </c>
      <c r="D10">
        <f>COUNTIFS(Pitching!$E$2:$E$5000,A10,Pitching!$D$2:$D$5000,B10)</f>
        <v/>
      </c>
      <c r="E10" s="27">
        <f>IFERROR((SUMIFS(Pitching!$P$2:$P$5000,Pitching!$E$2:$E$5000,A10,Pitching!$D$2:$D$5000,B10)/C10)*7,"Insufficient Data")</f>
        <v/>
      </c>
      <c r="F10" s="27">
        <f>IFERROR((SUMIFS(Pitching!$L$2:$L$5000,Pitching!$E$2:$E$5000,A10,Pitching!$D$2:$D$5000,B10)/C10)*7,"Insufficient Data")</f>
        <v/>
      </c>
      <c r="G10" s="27">
        <f>IFERROR((SUMIFS(Pitching!$Q$2:$Q$5000,Pitching!$E$2:$E$5000,A10,Pitching!$D$2:$D$5000,B10)*7)/C10,"Insufficient Data")</f>
        <v/>
      </c>
      <c r="H10" s="27">
        <f>IFERROR((SUMIFS(Pitching!$H$2:$H$5000,Pitching!$E$2:$E$5000,A10,Pitching!$D$2:$D$5000,B10)+SUMIFS(Pitching!$L$2:$L$5000,Pitching!$E$2:$E$5000,A10,Pitching!$D$2:$D$5000,B10))/C10,"Insufficient Data")</f>
        <v/>
      </c>
      <c r="I10" s="29">
        <f>IFERROR(C10/D10,"Insufficient Data")</f>
        <v/>
      </c>
      <c r="J10" s="29">
        <f>IFERROR((MIN(E10/15,1)*0.3+(1-MIN(F10/10,1))*0.25+(1-MIN(G10/15,1))*0.25+(1-MIN(H10/3,1))*0.2)*10,"Insufficient Data")</f>
        <v/>
      </c>
      <c r="K10">
        <f>IF(J10="Insufficient Data","Insufficient Data",IF(J10&gt;=8,"🔴 ACE",IF(J10&gt;=6.5,"🟠 QUALITY",IF(J10&gt;=5,"🟡 AVERAGE",IF(J10&gt;=3.5,"⚪ HITTABLE","🟢 BATTING PRACTICE")))))</f>
        <v/>
      </c>
      <c r="L10">
        <f>IF(C10&lt;3,"Insufficient IP",CONCAT(IF(E10&gt;=9,"POWER | ",""),IF(E10&gt;=7,IF(E10&lt;9,"Good K | ",""),""),IF(E10&lt;4,"Contact | ",""),IF(F10&lt;=2,"Elite cmd | ",""),IF(F10&lt;=3.5,IF(F10&gt;2,"Good ctrl | ",""),""),IF(F10&gt;=5,"⚠️ Control | ",""),IF(G10&lt;=2,"ELITE | ",""),IF(G10&lt;=3.5,IF(G10&gt;2,"Quality | ",""),""),IF(G10&gt;=6,"Hittable | ",""),IF(I10&gt;=4,"Workhorse","Short")))</f>
        <v/>
      </c>
      <c r="M10">
        <f>IF(I10="Insufficient Data","",IF(I10&gt;=3.5,"Starter",IF(I10&gt;=1.5,"Reliever","Setup/Closer")))</f>
        <v/>
      </c>
    </row>
    <row r="11">
      <c r="A11" s="26" t="inlineStr">
        <is>
          <t>J Norwood</t>
        </is>
      </c>
      <c r="B11" s="26" t="inlineStr">
        <is>
          <t>RVRH</t>
        </is>
      </c>
      <c r="C11" s="29">
        <f>SUMIFS(Pitching!$F$2:$F$5000,Pitching!$E$2:$E$5000,A11,Pitching!$D$2:$D$5000,B11)/3</f>
        <v/>
      </c>
      <c r="D11">
        <f>COUNTIFS(Pitching!$E$2:$E$5000,A11,Pitching!$D$2:$D$5000,B11)</f>
        <v/>
      </c>
      <c r="E11" s="27">
        <f>IFERROR((SUMIFS(Pitching!$P$2:$P$5000,Pitching!$E$2:$E$5000,A11,Pitching!$D$2:$D$5000,B11)/C11)*7,"Insufficient Data")</f>
        <v/>
      </c>
      <c r="F11" s="27">
        <f>IFERROR((SUMIFS(Pitching!$L$2:$L$5000,Pitching!$E$2:$E$5000,A11,Pitching!$D$2:$D$5000,B11)/C11)*7,"Insufficient Data")</f>
        <v/>
      </c>
      <c r="G11" s="27">
        <f>IFERROR((SUMIFS(Pitching!$Q$2:$Q$5000,Pitching!$E$2:$E$5000,A11,Pitching!$D$2:$D$5000,B11)*7)/C11,"Insufficient Data")</f>
        <v/>
      </c>
      <c r="H11" s="27">
        <f>IFERROR((SUMIFS(Pitching!$H$2:$H$5000,Pitching!$E$2:$E$5000,A11,Pitching!$D$2:$D$5000,B11)+SUMIFS(Pitching!$L$2:$L$5000,Pitching!$E$2:$E$5000,A11,Pitching!$D$2:$D$5000,B11))/C11,"Insufficient Data")</f>
        <v/>
      </c>
      <c r="I11" s="29">
        <f>IFERROR(C11/D11,"Insufficient Data")</f>
        <v/>
      </c>
      <c r="J11" s="29">
        <f>IFERROR((MIN(E11/15,1)*0.3+(1-MIN(F11/10,1))*0.25+(1-MIN(G11/15,1))*0.25+(1-MIN(H11/3,1))*0.2)*10,"Insufficient Data")</f>
        <v/>
      </c>
      <c r="K11">
        <f>IF(J11="Insufficient Data","Insufficient Data",IF(J11&gt;=8,"🔴 ACE",IF(J11&gt;=6.5,"🟠 QUALITY",IF(J11&gt;=5,"🟡 AVERAGE",IF(J11&gt;=3.5,"⚪ HITTABLE","🟢 BATTING PRACTICE")))))</f>
        <v/>
      </c>
      <c r="L11">
        <f>IF(C11&lt;3,"Insufficient IP",CONCAT(IF(E11&gt;=9,"POWER | ",""),IF(E11&gt;=7,IF(E11&lt;9,"Good K | ",""),""),IF(E11&lt;4,"Contact | ",""),IF(F11&lt;=2,"Elite cmd | ",""),IF(F11&lt;=3.5,IF(F11&gt;2,"Good ctrl | ",""),""),IF(F11&gt;=5,"⚠️ Control | ",""),IF(G11&lt;=2,"ELITE | ",""),IF(G11&lt;=3.5,IF(G11&gt;2,"Quality | ",""),""),IF(G11&gt;=6,"Hittable | ",""),IF(I11&gt;=4,"Workhorse","Short")))</f>
        <v/>
      </c>
      <c r="M11">
        <f>IF(I11="Insufficient Data","",IF(I11&gt;=3.5,"Starter",IF(I11&gt;=1.5,"Reliever","Setup/Closer")))</f>
        <v/>
      </c>
    </row>
    <row r="12">
      <c r="A12" s="26" t="inlineStr">
        <is>
          <t>C Nichols</t>
        </is>
      </c>
      <c r="B12" s="26" t="inlineStr">
        <is>
          <t>RVRH</t>
        </is>
      </c>
      <c r="C12" s="29">
        <f>SUMIFS(Pitching!$F$2:$F$5000,Pitching!$E$2:$E$5000,A12,Pitching!$D$2:$D$5000,B12)/3</f>
        <v/>
      </c>
      <c r="D12">
        <f>COUNTIFS(Pitching!$E$2:$E$5000,A12,Pitching!$D$2:$D$5000,B12)</f>
        <v/>
      </c>
      <c r="E12" s="27">
        <f>IFERROR((SUMIFS(Pitching!$P$2:$P$5000,Pitching!$E$2:$E$5000,A12,Pitching!$D$2:$D$5000,B12)/C12)*7,"Insufficient Data")</f>
        <v/>
      </c>
      <c r="F12" s="27">
        <f>IFERROR((SUMIFS(Pitching!$L$2:$L$5000,Pitching!$E$2:$E$5000,A12,Pitching!$D$2:$D$5000,B12)/C12)*7,"Insufficient Data")</f>
        <v/>
      </c>
      <c r="G12" s="27">
        <f>IFERROR((SUMIFS(Pitching!$Q$2:$Q$5000,Pitching!$E$2:$E$5000,A12,Pitching!$D$2:$D$5000,B12)*7)/C12,"Insufficient Data")</f>
        <v/>
      </c>
      <c r="H12" s="27">
        <f>IFERROR((SUMIFS(Pitching!$H$2:$H$5000,Pitching!$E$2:$E$5000,A12,Pitching!$D$2:$D$5000,B12)+SUMIFS(Pitching!$L$2:$L$5000,Pitching!$E$2:$E$5000,A12,Pitching!$D$2:$D$5000,B12))/C12,"Insufficient Data")</f>
        <v/>
      </c>
      <c r="I12" s="29">
        <f>IFERROR(C12/D12,"Insufficient Data")</f>
        <v/>
      </c>
      <c r="J12" s="29">
        <f>IFERROR((MIN(E12/15,1)*0.3+(1-MIN(F12/10,1))*0.25+(1-MIN(G12/15,1))*0.25+(1-MIN(H12/3,1))*0.2)*10,"Insufficient Data")</f>
        <v/>
      </c>
      <c r="K12">
        <f>IF(J12="Insufficient Data","Insufficient Data",IF(J12&gt;=8,"🔴 ACE",IF(J12&gt;=6.5,"🟠 QUALITY",IF(J12&gt;=5,"🟡 AVERAGE",IF(J12&gt;=3.5,"⚪ HITTABLE","🟢 BATTING PRACTICE")))))</f>
        <v/>
      </c>
      <c r="L12">
        <f>IF(C12&lt;3,"Insufficient IP",CONCAT(IF(E12&gt;=9,"POWER | ",""),IF(E12&gt;=7,IF(E12&lt;9,"Good K | ",""),""),IF(E12&lt;4,"Contact | ",""),IF(F12&lt;=2,"Elite cmd | ",""),IF(F12&lt;=3.5,IF(F12&gt;2,"Good ctrl | ",""),""),IF(F12&gt;=5,"⚠️ Control | ",""),IF(G12&lt;=2,"ELITE | ",""),IF(G12&lt;=3.5,IF(G12&gt;2,"Quality | ",""),""),IF(G12&gt;=6,"Hittable | ",""),IF(I12&gt;=4,"Workhorse","Short")))</f>
        <v/>
      </c>
      <c r="M12">
        <f>IF(I12="Insufficient Data","",IF(I12&gt;=3.5,"Starter",IF(I12&gt;=1.5,"Reliever","Setup/Closer")))</f>
        <v/>
      </c>
    </row>
    <row r="13">
      <c r="A13" s="26" t="inlineStr">
        <is>
          <t>R Ronayne</t>
        </is>
      </c>
      <c r="B13" s="26" t="inlineStr">
        <is>
          <t>RVRH</t>
        </is>
      </c>
      <c r="C13" s="29">
        <f>SUMIFS(Pitching!$F$2:$F$5000,Pitching!$E$2:$E$5000,A13,Pitching!$D$2:$D$5000,B13)/3</f>
        <v/>
      </c>
      <c r="D13">
        <f>COUNTIFS(Pitching!$E$2:$E$5000,A13,Pitching!$D$2:$D$5000,B13)</f>
        <v/>
      </c>
      <c r="E13" s="27">
        <f>IFERROR((SUMIFS(Pitching!$P$2:$P$5000,Pitching!$E$2:$E$5000,A13,Pitching!$D$2:$D$5000,B13)/C13)*7,"Insufficient Data")</f>
        <v/>
      </c>
      <c r="F13" s="27">
        <f>IFERROR((SUMIFS(Pitching!$L$2:$L$5000,Pitching!$E$2:$E$5000,A13,Pitching!$D$2:$D$5000,B13)/C13)*7,"Insufficient Data")</f>
        <v/>
      </c>
      <c r="G13" s="27">
        <f>IFERROR((SUMIFS(Pitching!$Q$2:$Q$5000,Pitching!$E$2:$E$5000,A13,Pitching!$D$2:$D$5000,B13)*7)/C13,"Insufficient Data")</f>
        <v/>
      </c>
      <c r="H13" s="27">
        <f>IFERROR((SUMIFS(Pitching!$H$2:$H$5000,Pitching!$E$2:$E$5000,A13,Pitching!$D$2:$D$5000,B13)+SUMIFS(Pitching!$L$2:$L$5000,Pitching!$E$2:$E$5000,A13,Pitching!$D$2:$D$5000,B13))/C13,"Insufficient Data")</f>
        <v/>
      </c>
      <c r="I13" s="29">
        <f>IFERROR(C13/D13,"Insufficient Data")</f>
        <v/>
      </c>
      <c r="J13" s="29">
        <f>IFERROR((MIN(E13/15,1)*0.3+(1-MIN(F13/10,1))*0.25+(1-MIN(G13/15,1))*0.25+(1-MIN(H13/3,1))*0.2)*10,"Insufficient Data")</f>
        <v/>
      </c>
      <c r="K13">
        <f>IF(J13="Insufficient Data","Insufficient Data",IF(J13&gt;=8,"🔴 ACE",IF(J13&gt;=6.5,"🟠 QUALITY",IF(J13&gt;=5,"🟡 AVERAGE",IF(J13&gt;=3.5,"⚪ HITTABLE","🟢 BATTING PRACTICE")))))</f>
        <v/>
      </c>
      <c r="L13">
        <f>IF(C13&lt;3,"Insufficient IP",CONCAT(IF(E13&gt;=9,"POWER | ",""),IF(E13&gt;=7,IF(E13&lt;9,"Good K | ",""),""),IF(E13&lt;4,"Contact | ",""),IF(F13&lt;=2,"Elite cmd | ",""),IF(F13&lt;=3.5,IF(F13&gt;2,"Good ctrl | ",""),""),IF(F13&gt;=5,"⚠️ Control | ",""),IF(G13&lt;=2,"ELITE | ",""),IF(G13&lt;=3.5,IF(G13&gt;2,"Quality | ",""),""),IF(G13&gt;=6,"Hittable | ",""),IF(I13&gt;=4,"Workhorse","Short")))</f>
        <v/>
      </c>
      <c r="M13">
        <f>IF(I13="Insufficient Data","",IF(I13&gt;=3.5,"Starter",IF(I13&gt;=1.5,"Reliever","Setup/Closer")))</f>
        <v/>
      </c>
    </row>
    <row r="14">
      <c r="A14" s="26" t="inlineStr">
        <is>
          <t>E Skolkin</t>
        </is>
      </c>
      <c r="B14" s="26" t="inlineStr">
        <is>
          <t>RVRH</t>
        </is>
      </c>
      <c r="C14" s="29">
        <f>SUMIFS(Pitching!$F$2:$F$5000,Pitching!$E$2:$E$5000,A14,Pitching!$D$2:$D$5000,B14)/3</f>
        <v/>
      </c>
      <c r="D14">
        <f>COUNTIFS(Pitching!$E$2:$E$5000,A14,Pitching!$D$2:$D$5000,B14)</f>
        <v/>
      </c>
      <c r="E14" s="27">
        <f>IFERROR((SUMIFS(Pitching!$P$2:$P$5000,Pitching!$E$2:$E$5000,A14,Pitching!$D$2:$D$5000,B14)/C14)*7,"Insufficient Data")</f>
        <v/>
      </c>
      <c r="F14" s="27">
        <f>IFERROR((SUMIFS(Pitching!$L$2:$L$5000,Pitching!$E$2:$E$5000,A14,Pitching!$D$2:$D$5000,B14)/C14)*7,"Insufficient Data")</f>
        <v/>
      </c>
      <c r="G14" s="27">
        <f>IFERROR((SUMIFS(Pitching!$Q$2:$Q$5000,Pitching!$E$2:$E$5000,A14,Pitching!$D$2:$D$5000,B14)*7)/C14,"Insufficient Data")</f>
        <v/>
      </c>
      <c r="H14" s="27">
        <f>IFERROR((SUMIFS(Pitching!$H$2:$H$5000,Pitching!$E$2:$E$5000,A14,Pitching!$D$2:$D$5000,B14)+SUMIFS(Pitching!$L$2:$L$5000,Pitching!$E$2:$E$5000,A14,Pitching!$D$2:$D$5000,B14))/C14,"Insufficient Data")</f>
        <v/>
      </c>
      <c r="I14" s="29">
        <f>IFERROR(C14/D14,"Insufficient Data")</f>
        <v/>
      </c>
      <c r="J14" s="29">
        <f>IFERROR((MIN(E14/15,1)*0.3+(1-MIN(F14/10,1))*0.25+(1-MIN(G14/15,1))*0.25+(1-MIN(H14/3,1))*0.2)*10,"Insufficient Data")</f>
        <v/>
      </c>
      <c r="K14">
        <f>IF(J14="Insufficient Data","Insufficient Data",IF(J14&gt;=8,"🔴 ACE",IF(J14&gt;=6.5,"🟠 QUALITY",IF(J14&gt;=5,"🟡 AVERAGE",IF(J14&gt;=3.5,"⚪ HITTABLE","🟢 BATTING PRACTICE")))))</f>
        <v/>
      </c>
      <c r="L14">
        <f>IF(C14&lt;3,"Insufficient IP",CONCAT(IF(E14&gt;=9,"POWER | ",""),IF(E14&gt;=7,IF(E14&lt;9,"Good K | ",""),""),IF(E14&lt;4,"Contact | ",""),IF(F14&lt;=2,"Elite cmd | ",""),IF(F14&lt;=3.5,IF(F14&gt;2,"Good ctrl | ",""),""),IF(F14&gt;=5,"⚠️ Control | ",""),IF(G14&lt;=2,"ELITE | ",""),IF(G14&lt;=3.5,IF(G14&gt;2,"Quality | ",""),""),IF(G14&gt;=6,"Hittable | ",""),IF(I14&gt;=4,"Workhorse","Short")))</f>
        <v/>
      </c>
      <c r="M14">
        <f>IF(I14="Insufficient Data","",IF(I14&gt;=3.5,"Starter",IF(I14&gt;=1.5,"Reliever","Setup/Closer")))</f>
        <v/>
      </c>
    </row>
    <row r="15">
      <c r="A15" s="26" t="inlineStr">
        <is>
          <t>A Wu</t>
        </is>
      </c>
      <c r="B15" s="26" t="inlineStr">
        <is>
          <t>RVRH</t>
        </is>
      </c>
      <c r="C15" s="29">
        <f>SUMIFS(Pitching!$F$2:$F$5000,Pitching!$E$2:$E$5000,A15,Pitching!$D$2:$D$5000,B15)/3</f>
        <v/>
      </c>
      <c r="D15">
        <f>COUNTIFS(Pitching!$E$2:$E$5000,A15,Pitching!$D$2:$D$5000,B15)</f>
        <v/>
      </c>
      <c r="E15" s="27">
        <f>IFERROR((SUMIFS(Pitching!$P$2:$P$5000,Pitching!$E$2:$E$5000,A15,Pitching!$D$2:$D$5000,B15)/C15)*7,"Insufficient Data")</f>
        <v/>
      </c>
      <c r="F15" s="27">
        <f>IFERROR((SUMIFS(Pitching!$L$2:$L$5000,Pitching!$E$2:$E$5000,A15,Pitching!$D$2:$D$5000,B15)/C15)*7,"Insufficient Data")</f>
        <v/>
      </c>
      <c r="G15" s="27">
        <f>IFERROR((SUMIFS(Pitching!$Q$2:$Q$5000,Pitching!$E$2:$E$5000,A15,Pitching!$D$2:$D$5000,B15)*7)/C15,"Insufficient Data")</f>
        <v/>
      </c>
      <c r="H15" s="27">
        <f>IFERROR((SUMIFS(Pitching!$H$2:$H$5000,Pitching!$E$2:$E$5000,A15,Pitching!$D$2:$D$5000,B15)+SUMIFS(Pitching!$L$2:$L$5000,Pitching!$E$2:$E$5000,A15,Pitching!$D$2:$D$5000,B15))/C15,"Insufficient Data")</f>
        <v/>
      </c>
      <c r="I15" s="29">
        <f>IFERROR(C15/D15,"Insufficient Data")</f>
        <v/>
      </c>
      <c r="J15" s="29">
        <f>IFERROR((MIN(E15/15,1)*0.3+(1-MIN(F15/10,1))*0.25+(1-MIN(G15/15,1))*0.25+(1-MIN(H15/3,1))*0.2)*10,"Insufficient Data")</f>
        <v/>
      </c>
      <c r="K15">
        <f>IF(J15="Insufficient Data","Insufficient Data",IF(J15&gt;=8,"🔴 ACE",IF(J15&gt;=6.5,"🟠 QUALITY",IF(J15&gt;=5,"🟡 AVERAGE",IF(J15&gt;=3.5,"⚪ HITTABLE","🟢 BATTING PRACTICE")))))</f>
        <v/>
      </c>
      <c r="L15">
        <f>IF(C15&lt;3,"Insufficient IP",CONCAT(IF(E15&gt;=9,"POWER | ",""),IF(E15&gt;=7,IF(E15&lt;9,"Good K | ",""),""),IF(E15&lt;4,"Contact | ",""),IF(F15&lt;=2,"Elite cmd | ",""),IF(F15&lt;=3.5,IF(F15&gt;2,"Good ctrl | ",""),""),IF(F15&gt;=5,"⚠️ Control | ",""),IF(G15&lt;=2,"ELITE | ",""),IF(G15&lt;=3.5,IF(G15&gt;2,"Quality | ",""),""),IF(G15&gt;=6,"Hittable | ",""),IF(I15&gt;=4,"Workhorse","Short")))</f>
        <v/>
      </c>
      <c r="M15">
        <f>IF(I15="Insufficient Data","",IF(I15&gt;=3.5,"Starter",IF(I15&gt;=1.5,"Reliever","Setup/Closer")))</f>
        <v/>
      </c>
    </row>
    <row r="20">
      <c r="A20" s="37" t="inlineStr">
        <is>
          <t>OPPONENT PITCHERS (High Threat)</t>
        </is>
      </c>
    </row>
    <row r="25">
      <c r="A25" s="38" t="inlineStr">
        <is>
          <t>OPPONENTS TO ATTACK (Low Impact)</t>
        </is>
      </c>
    </row>
  </sheetData>
  <mergeCells count="3">
    <mergeCell ref="A2:M2"/>
    <mergeCell ref="A1:M1"/>
    <mergeCell ref="A5:M5"/>
  </mergeCells>
  <conditionalFormatting sqref="K6:K19">
    <cfRule type="cellIs" priority="1" operator="containsText" dxfId="0">
      <formula>"ACE"</formula>
    </cfRule>
    <cfRule type="cellIs" priority="2" operator="containsText" dxfId="1">
      <formula>"QUALITY"</formula>
    </cfRule>
    <cfRule type="cellIs" priority="3" operator="containsText" dxfId="4">
      <formula>"AVERAGE"</formula>
    </cfRule>
    <cfRule type="cellIs" priority="4" operator="containsText" dxfId="3">
      <formula>"BATTING PRACTICE"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2" max="2"/>
    <col width="50" customWidth="1" min="6" max="6"/>
  </cols>
  <sheetData>
    <row r="1">
      <c r="A1" s="18" t="inlineStr">
        <is>
          <t>DEFENSIVE WEAKNESS MAP</t>
        </is>
      </c>
    </row>
    <row r="2">
      <c r="A2" s="19" t="inlineStr">
        <is>
          <t>Identifies error-prone opponents to exploit with aggressive baserunning</t>
        </is>
      </c>
    </row>
    <row r="4">
      <c r="A4" s="25" t="inlineStr">
        <is>
          <t>Team</t>
        </is>
      </c>
      <c r="B4" s="25" t="inlineStr">
        <is>
          <t>Player</t>
        </is>
      </c>
      <c r="C4" s="25" t="inlineStr">
        <is>
          <t>Total_Errors</t>
        </is>
      </c>
      <c r="D4" s="25" t="inlineStr">
        <is>
          <t>Games_Played</t>
        </is>
      </c>
      <c r="E4" s="25" t="inlineStr">
        <is>
          <t>Errors_Per_Game</t>
        </is>
      </c>
      <c r="F4" s="25" t="inlineStr">
        <is>
          <t>Attack_Strategy</t>
        </is>
      </c>
    </row>
    <row r="5">
      <c r="A5" s="19" t="inlineStr">
        <is>
          <t>See Fielding sheet for opponent error details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5" max="5"/>
  </cols>
  <sheetData>
    <row r="1">
      <c r="A1" s="18" t="inlineStr">
        <is>
          <t>MATCHUP EXPLOITS &amp; STRATEGIES</t>
        </is>
      </c>
    </row>
    <row r="3">
      <c r="A3" s="28" t="inlineStr">
        <is>
          <t>HIGH ERA OPPONENTS (Attack Early)</t>
        </is>
      </c>
    </row>
    <row r="4">
      <c r="A4" s="25" t="inlineStr">
        <is>
          <t>Team</t>
        </is>
      </c>
      <c r="B4" s="25" t="inlineStr">
        <is>
          <t>Team_ERA</t>
        </is>
      </c>
      <c r="C4" s="25" t="inlineStr">
        <is>
          <t>Team_WHIP</t>
        </is>
      </c>
      <c r="D4" s="25" t="inlineStr">
        <is>
          <t>Walks_Per_Game</t>
        </is>
      </c>
      <c r="E4" s="25" t="inlineStr">
        <is>
          <t>Strategy</t>
        </is>
      </c>
    </row>
    <row r="5">
      <c r="A5" s="26" t="inlineStr">
        <is>
          <t>HNTN</t>
        </is>
      </c>
      <c r="B5" s="27">
        <f>IFERROR((SUMIFS(Pitching!$Q$2:$Q$5000,Pitching!$D$2:$D$5000,A5)*7)/(SUMIFS(Pitching!$F$2:$F$5000,Pitching!$D$2:$D$5000,A5)/3),"Insufficient Data")</f>
        <v/>
      </c>
      <c r="C5" s="27">
        <f>IFERROR((SUMIFS(Pitching!$H$2:$H$5000,Pitching!$D$2:$D$5000,A5)+SUMIFS(Pitching!$L$2:$L$5000,Pitching!$D$2:$D$5000,A5))/(SUMIFS(Pitching!$F$2:$F$5000,Pitching!$D$2:$D$5000,A5)/3),"Insufficient Data")</f>
        <v/>
      </c>
      <c r="D5" s="29">
        <f>IFERROR(SUMIFS(Pitching!$L$2:$L$5000,Pitching!$D$2:$D$5000,A5)/COUNTIFS(Game_Log!$D$2:$D$5000,A5),"Insufficient Data")</f>
        <v/>
      </c>
      <c r="E5">
        <f>IF(B5="Insufficient Data","Insufficient Data",IF(B5&gt;=6,"ATTACK EARLY - First pitch hitters",IF(C5&gt;=1.8,"WORK COUNTS - Take pitches",IF(D5&gt;=3,"PATIENCE - Wait for walks","Balanced approach"))))</f>
        <v/>
      </c>
    </row>
    <row r="6">
      <c r="A6" s="26" t="inlineStr">
        <is>
          <t>NRTH</t>
        </is>
      </c>
      <c r="B6" s="27">
        <f>IFERROR((SUMIFS(Pitching!$Q$2:$Q$5000,Pitching!$D$2:$D$5000,A6)*7)/(SUMIFS(Pitching!$F$2:$F$5000,Pitching!$D$2:$D$5000,A6)/3),"Insufficient Data")</f>
        <v/>
      </c>
      <c r="C6" s="27">
        <f>IFERROR((SUMIFS(Pitching!$H$2:$H$5000,Pitching!$D$2:$D$5000,A6)+SUMIFS(Pitching!$L$2:$L$5000,Pitching!$D$2:$D$5000,A6))/(SUMIFS(Pitching!$F$2:$F$5000,Pitching!$D$2:$D$5000,A6)/3),"Insufficient Data")</f>
        <v/>
      </c>
      <c r="D6" s="29">
        <f>IFERROR(SUMIFS(Pitching!$L$2:$L$5000,Pitching!$D$2:$D$5000,A6)/COUNTIFS(Game_Log!$D$2:$D$5000,A6),"Insufficient Data")</f>
        <v/>
      </c>
      <c r="E6">
        <f>IF(B6="Insufficient Data","Insufficient Data",IF(B6&gt;=6,"ATTACK EARLY - First pitch hitters",IF(C6&gt;=1.8,"WORK COUNTS - Take pitches",IF(D6&gt;=3,"PATIENCE - Wait for walks","Balanced approach"))))</f>
        <v/>
      </c>
    </row>
    <row r="7">
      <c r="A7" s="26" t="inlineStr">
        <is>
          <t>GLNL</t>
        </is>
      </c>
      <c r="B7" s="27">
        <f>IFERROR((SUMIFS(Pitching!$Q$2:$Q$5000,Pitching!$D$2:$D$5000,A7)*7)/(SUMIFS(Pitching!$F$2:$F$5000,Pitching!$D$2:$D$5000,A7)/3),"Insufficient Data")</f>
        <v/>
      </c>
      <c r="C7" s="27">
        <f>IFERROR((SUMIFS(Pitching!$H$2:$H$5000,Pitching!$D$2:$D$5000,A7)+SUMIFS(Pitching!$L$2:$L$5000,Pitching!$D$2:$D$5000,A7))/(SUMIFS(Pitching!$F$2:$F$5000,Pitching!$D$2:$D$5000,A7)/3),"Insufficient Data")</f>
        <v/>
      </c>
      <c r="D7" s="29">
        <f>IFERROR(SUMIFS(Pitching!$L$2:$L$5000,Pitching!$D$2:$D$5000,A7)/COUNTIFS(Game_Log!$D$2:$D$5000,A7),"Insufficient Data")</f>
        <v/>
      </c>
      <c r="E7">
        <f>IF(B7="Insufficient Data","Insufficient Data",IF(B7&gt;=6,"ATTACK EARLY - First pitch hitters",IF(C7&gt;=1.8,"WORK COUNTS - Take pitches",IF(D7&gt;=3,"PATIENCE - Wait for walks","Balanced approach"))))</f>
        <v/>
      </c>
    </row>
    <row r="8">
      <c r="A8" s="26" t="inlineStr">
        <is>
          <t>CNTN</t>
        </is>
      </c>
      <c r="B8" s="27">
        <f>IFERROR((SUMIFS(Pitching!$Q$2:$Q$5000,Pitching!$D$2:$D$5000,A8)*7)/(SUMIFS(Pitching!$F$2:$F$5000,Pitching!$D$2:$D$5000,A8)/3),"Insufficient Data")</f>
        <v/>
      </c>
      <c r="C8" s="27">
        <f>IFERROR((SUMIFS(Pitching!$H$2:$H$5000,Pitching!$D$2:$D$5000,A8)+SUMIFS(Pitching!$L$2:$L$5000,Pitching!$D$2:$D$5000,A8))/(SUMIFS(Pitching!$F$2:$F$5000,Pitching!$D$2:$D$5000,A8)/3),"Insufficient Data")</f>
        <v/>
      </c>
      <c r="D8" s="29">
        <f>IFERROR(SUMIFS(Pitching!$L$2:$L$5000,Pitching!$D$2:$D$5000,A8)/COUNTIFS(Game_Log!$D$2:$D$5000,A8),"Insufficient Data")</f>
        <v/>
      </c>
      <c r="E8">
        <f>IF(B8="Insufficient Data","Insufficient Data",IF(B8&gt;=6,"ATTACK EARLY - First pitch hitters",IF(C8&gt;=1.8,"WORK COUNTS - Take pitches",IF(D8&gt;=3,"PATIENCE - Wait for walks","Balanced approach"))))</f>
        <v/>
      </c>
    </row>
    <row r="9">
      <c r="A9" s="26" t="inlineStr">
        <is>
          <t>PLYV</t>
        </is>
      </c>
      <c r="B9" s="27">
        <f>IFERROR((SUMIFS(Pitching!$Q$2:$Q$5000,Pitching!$D$2:$D$5000,A9)*7)/(SUMIFS(Pitching!$F$2:$F$5000,Pitching!$D$2:$D$5000,A9)/3),"Insufficient Data")</f>
        <v/>
      </c>
      <c r="C9" s="27">
        <f>IFERROR((SUMIFS(Pitching!$H$2:$H$5000,Pitching!$D$2:$D$5000,A9)+SUMIFS(Pitching!$L$2:$L$5000,Pitching!$D$2:$D$5000,A9))/(SUMIFS(Pitching!$F$2:$F$5000,Pitching!$D$2:$D$5000,A9)/3),"Insufficient Data")</f>
        <v/>
      </c>
      <c r="D9" s="29">
        <f>IFERROR(SUMIFS(Pitching!$L$2:$L$5000,Pitching!$D$2:$D$5000,A9)/COUNTIFS(Game_Log!$D$2:$D$5000,A9),"Insufficient Data")</f>
        <v/>
      </c>
      <c r="E9">
        <f>IF(B9="Insufficient Data","Insufficient Data",IF(B9&gt;=6,"ATTACK EARLY - First pitch hitters",IF(C9&gt;=1.8,"WORK COUNTS - Take pitches",IF(D9&gt;=3,"PATIENCE - Wait for walks","Balanced approach"))))</f>
        <v/>
      </c>
    </row>
    <row r="10">
      <c r="A10" s="26" t="inlineStr">
        <is>
          <t>HWRD</t>
        </is>
      </c>
      <c r="B10" s="27">
        <f>IFERROR((SUMIFS(Pitching!$Q$2:$Q$5000,Pitching!$D$2:$D$5000,A10)*7)/(SUMIFS(Pitching!$F$2:$F$5000,Pitching!$D$2:$D$5000,A10)/3),"Insufficient Data")</f>
        <v/>
      </c>
      <c r="C10" s="27">
        <f>IFERROR((SUMIFS(Pitching!$H$2:$H$5000,Pitching!$D$2:$D$5000,A10)+SUMIFS(Pitching!$L$2:$L$5000,Pitching!$D$2:$D$5000,A10))/(SUMIFS(Pitching!$F$2:$F$5000,Pitching!$D$2:$D$5000,A10)/3),"Insufficient Data")</f>
        <v/>
      </c>
      <c r="D10" s="29">
        <f>IFERROR(SUMIFS(Pitching!$L$2:$L$5000,Pitching!$D$2:$D$5000,A10)/COUNTIFS(Game_Log!$D$2:$D$5000,A10),"Insufficient Data")</f>
        <v/>
      </c>
      <c r="E10">
        <f>IF(B10="Insufficient Data","Insufficient Data",IF(B10&gt;=6,"ATTACK EARLY - First pitch hitters",IF(C10&gt;=1.8,"WORK COUNTS - Take pitches",IF(D10&gt;=3,"PATIENCE - Wait for walks","Balanced approach"))))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5" customWidth="1" min="2" max="2"/>
    <col width="25" customWidth="1" min="9" max="9"/>
  </cols>
  <sheetData>
    <row r="1">
      <c r="A1" s="18" t="inlineStr">
        <is>
          <t>RIVER HILL OPTIMAL BATTING ORDER</t>
        </is>
      </c>
    </row>
    <row r="2">
      <c r="A2" s="19" t="inlineStr">
        <is>
          <t>Based on OBP, SLG, and RBI production</t>
        </is>
      </c>
    </row>
    <row r="4">
      <c r="A4" s="25" t="inlineStr">
        <is>
          <t>Lineup_Slot</t>
        </is>
      </c>
      <c r="B4" s="25" t="inlineStr">
        <is>
          <t>Player</t>
        </is>
      </c>
      <c r="C4" s="25" t="inlineStr">
        <is>
          <t>PA</t>
        </is>
      </c>
      <c r="D4" s="25" t="inlineStr">
        <is>
          <t>AVG</t>
        </is>
      </c>
      <c r="E4" s="25" t="inlineStr">
        <is>
          <t>OBP</t>
        </is>
      </c>
      <c r="F4" s="25" t="inlineStr">
        <is>
          <t>SLG</t>
        </is>
      </c>
      <c r="G4" s="25" t="inlineStr">
        <is>
          <t>Runs</t>
        </is>
      </c>
      <c r="H4" s="25" t="inlineStr">
        <is>
          <t>RBI</t>
        </is>
      </c>
      <c r="I4" s="25" t="inlineStr">
        <is>
          <t>Role</t>
        </is>
      </c>
    </row>
    <row r="5">
      <c r="A5" s="26" t="n">
        <v>1</v>
      </c>
      <c r="I5" s="26" t="inlineStr">
        <is>
          <t>Leadoff - High OBP</t>
        </is>
      </c>
    </row>
    <row r="6">
      <c r="A6" s="26" t="n">
        <v>2</v>
      </c>
      <c r="I6" s="26" t="inlineStr">
        <is>
          <t>#2 - Contact hitter</t>
        </is>
      </c>
    </row>
    <row r="7">
      <c r="A7" s="26" t="n">
        <v>3</v>
      </c>
      <c r="I7" s="26" t="inlineStr">
        <is>
          <t>#3 - Best hitter, RBI</t>
        </is>
      </c>
    </row>
    <row r="8">
      <c r="A8" s="26" t="n">
        <v>4</v>
      </c>
      <c r="I8" s="26" t="inlineStr">
        <is>
          <t>#4 - Power, run producer</t>
        </is>
      </c>
    </row>
    <row r="9">
      <c r="A9" s="26" t="n">
        <v>5</v>
      </c>
      <c r="I9" s="26" t="inlineStr">
        <is>
          <t>#5 - Secondary power</t>
        </is>
      </c>
    </row>
    <row r="10">
      <c r="A10" s="26" t="n">
        <v>6</v>
      </c>
      <c r="I10" s="26" t="inlineStr">
        <is>
          <t>#6 - Contact, average</t>
        </is>
      </c>
    </row>
    <row r="11">
      <c r="A11" s="26" t="n">
        <v>7</v>
      </c>
      <c r="I11" s="26" t="inlineStr">
        <is>
          <t>#7 - Contact hitter</t>
        </is>
      </c>
    </row>
    <row r="12">
      <c r="A12" s="26" t="n">
        <v>8</v>
      </c>
      <c r="I12" s="26" t="inlineStr">
        <is>
          <t>#8 - Speed/Defense</t>
        </is>
      </c>
    </row>
    <row r="13">
      <c r="A13" s="26" t="n">
        <v>9</v>
      </c>
      <c r="I13" s="26" t="inlineStr">
        <is>
          <t>#9 - Pitcher slot</t>
        </is>
      </c>
    </row>
    <row r="15">
      <c r="A15" s="19" t="inlineStr">
        <is>
          <t>NOTE: Manually order players 1-9 based on stats above. Formulas show totals only.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14" customWidth="1" min="4" max="4"/>
  </cols>
  <sheetData>
    <row r="1">
      <c r="A1" s="18" t="inlineStr">
        <is>
          <t>ADVANCED SCOUTING PRIORITIES</t>
        </is>
      </c>
    </row>
    <row r="2">
      <c r="A2" s="19" t="inlineStr">
        <is>
          <t>Metrics to add to your data collection for deeper insights</t>
        </is>
      </c>
    </row>
    <row r="4">
      <c r="A4" s="30" t="inlineStr">
        <is>
          <t>Priority 1: SITUATIONAL HITTING</t>
        </is>
      </c>
    </row>
    <row r="5">
      <c r="A5" s="25" t="inlineStr">
        <is>
          <t>Metric</t>
        </is>
      </c>
      <c r="B5" s="25" t="inlineStr">
        <is>
          <t>How_to_Track</t>
        </is>
      </c>
      <c r="C5" s="25" t="inlineStr">
        <is>
          <t>Why_It_Matters</t>
        </is>
      </c>
      <c r="D5" s="25" t="inlineStr">
        <is>
          <t>Impact_Level</t>
        </is>
      </c>
    </row>
    <row r="6">
      <c r="A6" s="26" t="inlineStr">
        <is>
          <t>Batting w/ RISP</t>
        </is>
      </c>
      <c r="B6" s="26" t="inlineStr">
        <is>
          <t>Mark ABs with runner on 2nd/3rd</t>
        </is>
      </c>
      <c r="C6" s="26" t="inlineStr">
        <is>
          <t>Measures clutch hitting</t>
        </is>
      </c>
      <c r="D6" s="26" t="inlineStr">
        <is>
          <t>HIGH</t>
        </is>
      </c>
    </row>
    <row r="7">
      <c r="A7" s="26" t="inlineStr">
        <is>
          <t>2-Out RBI</t>
        </is>
      </c>
      <c r="B7" s="26" t="inlineStr">
        <is>
          <t>Track RBI with 2 outs</t>
        </is>
      </c>
      <c r="C7" s="26" t="inlineStr">
        <is>
          <t>Shows rally extension ability</t>
        </is>
      </c>
      <c r="D7" s="26" t="inlineStr">
        <is>
          <t>HIGH</t>
        </is>
      </c>
    </row>
    <row r="8">
      <c r="A8" s="26" t="inlineStr">
        <is>
          <t>Late/Close Performance</t>
        </is>
      </c>
      <c r="B8" s="26" t="inlineStr">
        <is>
          <t>Track ABs in 6th+ inning, ±2 runs</t>
        </is>
      </c>
      <c r="C8" s="26" t="inlineStr">
        <is>
          <t>Identifies pressure performers</t>
        </is>
      </c>
      <c r="D8" s="26" t="inlineStr">
        <is>
          <t>MEDIUM</t>
        </is>
      </c>
    </row>
    <row r="10">
      <c r="A10" s="30" t="inlineStr">
        <is>
          <t>Priority 2: PITCHER INTELLIGENCE</t>
        </is>
      </c>
    </row>
    <row r="11">
      <c r="A11" s="25" t="inlineStr">
        <is>
          <t>Metric</t>
        </is>
      </c>
      <c r="B11" s="25" t="inlineStr">
        <is>
          <t>How_to_Track</t>
        </is>
      </c>
      <c r="C11" s="25" t="inlineStr">
        <is>
          <t>Why_It_Matters</t>
        </is>
      </c>
      <c r="D11" s="25" t="inlineStr">
        <is>
          <t>Impact_Level</t>
        </is>
      </c>
    </row>
    <row r="12">
      <c r="A12" s="26" t="inlineStr">
        <is>
          <t>Pitch Arsenal</t>
        </is>
      </c>
      <c r="B12" s="26" t="inlineStr">
        <is>
          <t>Note FB/CB/CH/SL</t>
        </is>
      </c>
      <c r="C12" s="26" t="inlineStr">
        <is>
          <t>Know what pitches are coming</t>
        </is>
      </c>
      <c r="D12" s="26" t="inlineStr">
        <is>
          <t>EXTREME</t>
        </is>
      </c>
    </row>
    <row r="13">
      <c r="A13" s="26" t="inlineStr">
        <is>
          <t>Velocity Range</t>
        </is>
      </c>
      <c r="B13" s="26" t="inlineStr">
        <is>
          <t>Estimate MPH ranges</t>
        </is>
      </c>
      <c r="C13" s="26" t="inlineStr">
        <is>
          <t>Timing and bat selection</t>
        </is>
      </c>
      <c r="D13" s="26" t="inlineStr">
        <is>
          <t>HIGH</t>
        </is>
      </c>
    </row>
    <row r="14">
      <c r="A14" s="26" t="inlineStr">
        <is>
          <t>Pitcher Handedness</t>
        </is>
      </c>
      <c r="B14" s="26" t="inlineStr">
        <is>
          <t>Mark L or R</t>
        </is>
      </c>
      <c r="C14" s="26" t="inlineStr">
        <is>
          <t>Critical for lineup construction</t>
        </is>
      </c>
      <c r="D14" s="26" t="inlineStr">
        <is>
          <t>EXTREME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30" customWidth="1" min="4" max="4"/>
  </cols>
  <sheetData>
    <row r="1">
      <c r="A1" s="18" t="inlineStr">
        <is>
          <t>48-HOUR PRE-GAME SCOUTING CHECKLIST</t>
        </is>
      </c>
    </row>
    <row r="2">
      <c r="A2" s="19" t="inlineStr">
        <is>
          <t>Complete this checklist before each playoff game</t>
        </is>
      </c>
    </row>
    <row r="4">
      <c r="A4" s="25" t="inlineStr"/>
      <c r="B4" s="25" t="inlineStr">
        <is>
          <t>Task</t>
        </is>
      </c>
      <c r="C4" s="25" t="inlineStr">
        <is>
          <t>Status</t>
        </is>
      </c>
      <c r="D4" s="25" t="inlineStr">
        <is>
          <t>Notes</t>
        </is>
      </c>
    </row>
    <row r="5">
      <c r="A5" s="31" t="inlineStr">
        <is>
          <t>□</t>
        </is>
      </c>
      <c r="B5" s="31" t="inlineStr">
        <is>
          <t>Review opponent batting order from Batting sheet</t>
        </is>
      </c>
      <c r="C5" s="31" t="inlineStr"/>
      <c r="D5" s="31" t="inlineStr"/>
    </row>
    <row r="6">
      <c r="A6" s="31" t="inlineStr">
        <is>
          <t>□</t>
        </is>
      </c>
      <c r="B6" s="31" t="inlineStr">
        <is>
          <t>Identify top 3 hitters - plan defensive positioning</t>
        </is>
      </c>
      <c r="C6" s="31" t="inlineStr"/>
      <c r="D6" s="31" t="inlineStr"/>
    </row>
    <row r="7">
      <c r="A7" s="31" t="inlineStr">
        <is>
          <t>□</t>
        </is>
      </c>
      <c r="B7" s="31" t="inlineStr">
        <is>
          <t>Check Opponent_Rotations sheet for probable starter</t>
        </is>
      </c>
      <c r="C7" s="31" t="inlineStr"/>
      <c r="D7" s="31" t="inlineStr"/>
    </row>
    <row r="8">
      <c r="A8" s="31" t="inlineStr">
        <is>
          <t>□</t>
        </is>
      </c>
      <c r="B8" s="31" t="inlineStr">
        <is>
          <t>Review Defensive_Targets for error-prone positions</t>
        </is>
      </c>
      <c r="C8" s="31" t="inlineStr"/>
      <c r="D8" s="31" t="inlineStr"/>
    </row>
    <row r="9">
      <c r="A9" s="31" t="inlineStr">
        <is>
          <t>□</t>
        </is>
      </c>
      <c r="B9" s="31" t="inlineStr">
        <is>
          <t>Check Matchup_Exploits for strategic approach</t>
        </is>
      </c>
      <c r="C9" s="31" t="inlineStr"/>
      <c r="D9" s="31" t="inlineStr"/>
    </row>
    <row r="10">
      <c r="A10" s="31" t="inlineStr">
        <is>
          <t>□</t>
        </is>
      </c>
      <c r="B10" s="31" t="inlineStr">
        <is>
          <t>Set RVRH lineup using Lineup_Optimizer sheet</t>
        </is>
      </c>
      <c r="C10" s="31" t="inlineStr"/>
      <c r="D10" s="31" t="inlineStr"/>
    </row>
    <row r="11">
      <c r="A11" s="31" t="inlineStr">
        <is>
          <t>□</t>
        </is>
      </c>
      <c r="B11" s="31" t="inlineStr">
        <is>
          <t>Review opponent bullpen depth from Pitching sheet</t>
        </is>
      </c>
      <c r="C11" s="31" t="inlineStr"/>
      <c r="D11" s="31" t="inlineStr"/>
    </row>
    <row r="12">
      <c r="A12" s="31" t="inlineStr">
        <is>
          <t>□</t>
        </is>
      </c>
      <c r="B12" s="31" t="inlineStr">
        <is>
          <t>Check weather forecast (wind affects fly balls)</t>
        </is>
      </c>
      <c r="C12" s="31" t="inlineStr"/>
      <c r="D12" s="31" t="inlineStr"/>
    </row>
    <row r="13">
      <c r="A13" s="31" t="inlineStr">
        <is>
          <t>□</t>
        </is>
      </c>
      <c r="B13" s="31" t="inlineStr">
        <is>
          <t>Plan stolen base opportunities vs opponent catcher</t>
        </is>
      </c>
      <c r="C13" s="31" t="inlineStr"/>
      <c r="D13" s="31" t="inlineStr"/>
    </row>
    <row r="14">
      <c r="A14" s="31" t="inlineStr">
        <is>
          <t>□</t>
        </is>
      </c>
      <c r="B14" s="31" t="inlineStr">
        <is>
          <t>Print lineup cards with situational reminders</t>
        </is>
      </c>
      <c r="C14" s="31" t="inlineStr"/>
      <c r="D14" s="31" t="inlineStr"/>
    </row>
    <row r="17">
      <c r="A17" s="28" t="inlineStr">
        <is>
          <t>IN-GAME ADJUSTMENTS</t>
        </is>
      </c>
    </row>
    <row r="18">
      <c r="A18" s="25" t="inlineStr">
        <is>
          <t>Inning</t>
        </is>
      </c>
      <c r="B18" s="25" t="inlineStr">
        <is>
          <t>What_to_Observe</t>
        </is>
      </c>
      <c r="C18" s="25" t="inlineStr">
        <is>
          <t>Adjustment_Notes</t>
        </is>
      </c>
    </row>
    <row r="19">
      <c r="A19" s="26" t="inlineStr">
        <is>
          <t>1-2</t>
        </is>
      </c>
      <c r="B19" s="26" t="inlineStr">
        <is>
          <t>Starter velocity and command?</t>
        </is>
      </c>
      <c r="C19" s="26" t="inlineStr"/>
    </row>
    <row r="20">
      <c r="A20" s="26" t="inlineStr">
        <is>
          <t>3-4</t>
        </is>
      </c>
      <c r="B20" s="26" t="inlineStr">
        <is>
          <t>Base stealing success rate?</t>
        </is>
      </c>
      <c r="C20" s="26" t="inlineStr"/>
    </row>
    <row r="21">
      <c r="A21" s="26" t="inlineStr">
        <is>
          <t>5-6</t>
        </is>
      </c>
      <c r="B21" s="26" t="inlineStr">
        <is>
          <t>When do they go to bullpen?</t>
        </is>
      </c>
      <c r="C21" s="26" t="inlineStr"/>
    </row>
    <row r="22">
      <c r="A22" s="26" t="inlineStr">
        <is>
          <t>7+</t>
        </is>
      </c>
      <c r="B22" s="26" t="inlineStr">
        <is>
          <t>Who is their closer? What pitches?</t>
        </is>
      </c>
      <c r="C22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2026-03-31T17:52:05Z</dcterms:created>
  <dcterms:modified xmlns:dcterms="http://purl.org/dc/terms/" xmlns:xsi="http://www.w3.org/2001/XMLSchema-instance" xsi:type="dcterms:W3CDTF">2026-04-06T17:23:41Z</dcterms:modified>
</cp:coreProperties>
</file>