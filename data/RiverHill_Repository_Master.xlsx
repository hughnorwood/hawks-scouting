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ame_Log" sheetId="1" state="visible" r:id="rId1"/>
    <sheet name="Batting" sheetId="2" state="visible" r:id="rId2"/>
    <sheet name="Pitching" sheetId="3" state="visible" r:id="rId3"/>
    <sheet name="Fielding" sheetId="4" state="visible" r:id="rId4"/>
    <sheet name="Roster" sheetId="5" state="visible" r:id="rId5"/>
    <sheet name="Derivation_Rules" sheetId="6" state="visible" r:id="rId6"/>
    <sheet name="Playoff_Threat_Matrix" sheetId="7" state="visible" r:id="rId7"/>
    <sheet name="Opponent_Rotations" sheetId="8" state="visible" r:id="rId8"/>
    <sheet name="Hitter_Threat_Assessment" sheetId="9" state="visible" r:id="rId9"/>
    <sheet name="Pitcher_Impact_Assessment" sheetId="10" state="visible" r:id="rId10"/>
    <sheet name="Defensive_Targets" sheetId="11" state="visible" r:id="rId11"/>
    <sheet name="Matchup_Exploits" sheetId="12" state="visible" r:id="rId12"/>
    <sheet name="RVRH_Lineup_Optimizer" sheetId="13" state="visible" r:id="rId13"/>
    <sheet name="Next_Level_Scouting" sheetId="14" state="visible" r:id="rId14"/>
    <sheet name="Pre_Game_Checklist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 h:mm:ss"/>
    <numFmt numFmtId="166" formatCode="0.000"/>
    <numFmt numFmtId="167" formatCode="0.0"/>
    <numFmt numFmtId="168" formatCode="0.0%"/>
  </numFmts>
  <fonts count="15">
    <font>
      <name val="Calibri"/>
      <color theme="1"/>
      <sz val="11"/>
      <scheme val="minor"/>
    </font>
    <font>
      <name val="Calibri"/>
      <color theme="1"/>
      <scheme val="minor"/>
    </font>
    <font>
      <name val="Calibri"/>
      <color theme="1"/>
      <sz val="11"/>
    </font>
    <font>
      <name val="Arial"/>
      <b val="1"/>
      <color rgb="FFFFFFFF"/>
      <sz val="10"/>
    </font>
    <font>
      <name val="Arial"/>
      <b val="1"/>
      <color rgb="FF1F4E79"/>
      <sz val="13"/>
    </font>
    <font>
      <name val="Arial"/>
      <color theme="1"/>
      <sz val="10"/>
    </font>
    <font>
      <name val="Arial"/>
      <b val="1"/>
      <color theme="1"/>
      <sz val="10"/>
    </font>
    <font>
      <name val="Arial"/>
      <b val="1"/>
      <color rgb="FF1F4E79"/>
      <sz val="10"/>
    </font>
    <font>
      <name val="Arial"/>
      <b val="1"/>
      <color theme="1"/>
      <sz val="14"/>
    </font>
    <font>
      <name val="Arial"/>
      <i val="1"/>
      <color theme="1"/>
      <sz val="10"/>
    </font>
    <font>
      <name val="Arial"/>
      <b val="1"/>
      <color rgb="FFFFFFFF"/>
      <sz val="11"/>
    </font>
    <font>
      <name val="Arial"/>
      <i val="1"/>
      <color rgb="FF666666"/>
      <sz val="9"/>
    </font>
    <font>
      <name val="Arial"/>
      <b val="1"/>
      <color theme="1"/>
      <sz val="12"/>
    </font>
    <font>
      <name val="Arial"/>
      <b val="1"/>
      <color theme="1"/>
      <sz val="11"/>
    </font>
    <font>
      <name val="Arial"/>
      <b val="1"/>
      <color rgb="FFFF0000"/>
      <sz val="11"/>
    </font>
  </fonts>
  <fills count="7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D6E4F0"/>
        <bgColor rgb="FFD6E4F0"/>
      </patternFill>
    </fill>
    <fill>
      <patternFill patternType="solid">
        <fgColor rgb="FF1F4E78"/>
        <bgColor rgb="FF1F4E78"/>
      </patternFill>
    </fill>
    <fill>
      <patternFill patternType="solid">
        <fgColor rgb="FFFFE5E5"/>
        <bgColor rgb="FFFFE5E5"/>
      </patternFill>
    </fill>
    <fill>
      <patternFill patternType="solid">
        <fgColor rgb="FFE5FFE5"/>
        <bgColor rgb="FFE5FFE5"/>
      </patternFill>
    </fill>
  </fills>
  <borders count="4">
    <border/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numFmtId="0" fontId="0" fillId="0" borderId="0"/>
  </cellStyleXfs>
  <cellXfs count="36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1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3" borderId="3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4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6" fontId="5" fillId="0" borderId="0" applyAlignment="1" pivotButton="0" quotePrefix="0" xfId="0">
      <alignment horizontal="center"/>
    </xf>
    <xf numFmtId="2" fontId="5" fillId="0" borderId="0" applyAlignment="1" pivotButton="0" quotePrefix="0" xfId="0">
      <alignment horizontal="center"/>
    </xf>
    <xf numFmtId="167" fontId="5" fillId="0" borderId="0" applyAlignment="1" pivotButton="0" quotePrefix="0" xfId="0">
      <alignment horizontal="center"/>
    </xf>
    <xf numFmtId="0" fontId="10" fillId="4" borderId="3" pivotButton="0" quotePrefix="0" xfId="0"/>
    <xf numFmtId="0" fontId="10" fillId="4" borderId="3" applyAlignment="1" pivotButton="0" quotePrefix="0" xfId="0">
      <alignment horizontal="center" wrapText="1"/>
    </xf>
    <xf numFmtId="0" fontId="11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167" fontId="2" fillId="0" borderId="0" pivotButton="0" quotePrefix="0" xfId="0"/>
    <xf numFmtId="0" fontId="12" fillId="0" borderId="0" pivotButton="0" quotePrefix="0" xfId="0"/>
    <xf numFmtId="0" fontId="12" fillId="5" borderId="3" pivotButton="0" quotePrefix="0" xfId="0"/>
    <xf numFmtId="0" fontId="12" fillId="6" borderId="3" pivotButton="0" quotePrefix="0" xfId="0"/>
    <xf numFmtId="0" fontId="13" fillId="0" borderId="0" pivotButton="0" quotePrefix="0" xfId="0"/>
    <xf numFmtId="0" fontId="14" fillId="0" borderId="0" pivotButton="0" quotePrefix="0" xfId="0"/>
    <xf numFmtId="0" fontId="5" fillId="0" borderId="0" applyAlignment="1" pivotButton="0" quotePrefix="0" xfId="0">
      <alignment wrapText="1"/>
    </xf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 patternType="solid">
          <fgColor rgb="FFFF6B6B"/>
          <bgColor rgb="FFFF6B6B"/>
        </patternFill>
      </fill>
      <border/>
    </dxf>
    <dxf>
      <font/>
      <fill>
        <patternFill patternType="solid">
          <fgColor rgb="FFFFA500"/>
          <bgColor rgb="FFFFA5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90EE90"/>
          <bgColor rgb="FF90EE90"/>
        </patternFill>
      </fill>
      <border/>
    </dxf>
    <dxf>
      <font/>
      <fill>
        <patternFill patternType="solid">
          <fgColor rgb="FFFFD93D"/>
          <bgColor rgb="FFFFD93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28" customWidth="1" style="35" min="1" max="1"/>
    <col width="12" customWidth="1" style="35" min="2" max="3"/>
    <col width="24" customWidth="1" style="35" min="4" max="4"/>
    <col width="10" customWidth="1" style="35" min="5" max="6"/>
    <col width="14" customWidth="1" style="35" min="7" max="7"/>
    <col width="8" customWidth="1" style="35" min="8" max="13"/>
    <col width="12" customWidth="1" style="35" min="14" max="14"/>
    <col width="70" customWidth="1" style="35" min="15" max="15"/>
    <col width="8.710000000000001" customWidth="1" style="35" min="16" max="26"/>
  </cols>
  <sheetData>
    <row r="1">
      <c r="A1" s="8" t="inlineStr">
        <is>
          <t>Game_ID</t>
        </is>
      </c>
      <c r="B1" s="8" t="inlineStr">
        <is>
          <t>Game_Date</t>
        </is>
      </c>
      <c r="C1" s="8" t="inlineStr">
        <is>
          <t>Game_Type</t>
        </is>
      </c>
      <c r="D1" s="8" t="inlineStr">
        <is>
          <t>Focal_Team</t>
        </is>
      </c>
      <c r="E1" s="8" t="inlineStr">
        <is>
          <t>Away_Team</t>
        </is>
      </c>
      <c r="F1" s="8" t="inlineStr">
        <is>
          <t>Home_Team</t>
        </is>
      </c>
      <c r="G1" s="8" t="inlineStr">
        <is>
          <t>Innings_Played</t>
        </is>
      </c>
      <c r="H1" s="8" t="inlineStr">
        <is>
          <t>Source_File</t>
        </is>
      </c>
      <c r="I1" s="8" t="inlineStr">
        <is>
          <t>Away_R</t>
        </is>
      </c>
      <c r="J1" s="8" t="inlineStr">
        <is>
          <t>Away_H</t>
        </is>
      </c>
      <c r="K1" s="8" t="inlineStr">
        <is>
          <t>Away_E</t>
        </is>
      </c>
      <c r="L1" s="8" t="inlineStr">
        <is>
          <t>Home_R</t>
        </is>
      </c>
      <c r="M1" s="8" t="inlineStr">
        <is>
          <t>Home_H</t>
        </is>
      </c>
      <c r="N1" s="8" t="inlineStr">
        <is>
          <t>Home_E</t>
        </is>
      </c>
      <c r="O1" s="8" t="inlineStr">
        <is>
          <t>QA_Flag_Count</t>
        </is>
      </c>
      <c r="P1" s="8" t="inlineStr">
        <is>
          <t>Notes</t>
        </is>
      </c>
    </row>
    <row r="2" ht="45" customHeight="1" s="35">
      <c r="A2" s="8" t="inlineStr">
        <is>
          <t>2026-03-10_RVRH_at_WSTF</t>
        </is>
      </c>
      <c r="B2" s="2" t="n">
        <v>46091</v>
      </c>
      <c r="C2" s="8" t="inlineStr">
        <is>
          <t>Scrimmage</t>
        </is>
      </c>
      <c r="D2" s="8" t="inlineStr">
        <is>
          <t>RVRH</t>
        </is>
      </c>
      <c r="E2" s="8" t="inlineStr">
        <is>
          <t>RVRH</t>
        </is>
      </c>
      <c r="F2" s="8" t="inlineStr">
        <is>
          <t>WSTF</t>
        </is>
      </c>
      <c r="G2" s="8" t="n">
        <v>8</v>
      </c>
      <c r="H2" s="8" t="inlineStr">
        <is>
          <t>Game_01.md</t>
        </is>
      </c>
      <c r="I2" s="8" t="n">
        <v>7</v>
      </c>
      <c r="J2" s="8" t="n">
        <v>10</v>
      </c>
      <c r="K2" s="8" t="n">
        <v>1</v>
      </c>
      <c r="L2" s="8" t="n">
        <v>8</v>
      </c>
      <c r="M2" s="8" t="n">
        <v>9</v>
      </c>
      <c r="N2" s="8" t="n">
        <v>0</v>
      </c>
      <c r="O2" s="8" t="n">
        <v>10</v>
      </c>
      <c r="P2" s="8" t="inlineStr">
        <is>
          <t>Walk-off loss, 8 innings. 10 data integrity flags in source log. Courtesy runners used for R Walsh, J Norwood (×2), G Dang. J Norwood also pitched B3 (entry not explicitly logged).</t>
        </is>
      </c>
    </row>
    <row r="3">
      <c r="A3" s="8" t="inlineStr">
        <is>
          <t>2026-03-14_WTTN_at_RVRH</t>
        </is>
      </c>
      <c r="B3" s="2" t="n">
        <v>46095</v>
      </c>
      <c r="C3" s="8" t="inlineStr">
        <is>
          <t>Scrimmage</t>
        </is>
      </c>
      <c r="D3" s="8" t="inlineStr">
        <is>
          <t>RVRH</t>
        </is>
      </c>
      <c r="E3" s="8" t="inlineStr">
        <is>
          <t>WTTN</t>
        </is>
      </c>
      <c r="F3" s="8" t="inlineStr">
        <is>
          <t>RVRH</t>
        </is>
      </c>
      <c r="G3" s="8" t="n">
        <v>8</v>
      </c>
      <c r="H3" s="8" t="inlineStr">
        <is>
          <t>Game_02.md</t>
        </is>
      </c>
      <c r="I3" s="8" t="n">
        <v>4</v>
      </c>
      <c r="J3" s="8" t="n">
        <v>7</v>
      </c>
      <c r="K3" s="8" t="n">
        <v>2</v>
      </c>
      <c r="L3" s="8" t="n">
        <v>7</v>
      </c>
      <c r="M3" s="8" t="n">
        <v>8</v>
      </c>
      <c r="N3" s="8" t="n">
        <v>3</v>
      </c>
      <c r="O3" s="8" t="n">
        <v>12</v>
      </c>
      <c r="P3" s="8" t="inlineStr">
        <is>
          <t>RVRH win 7-4, home scrimmage vs. Wootton. 7 innings fully documented; T8 incomplete (Flag #1, J Allen at bat only). Courtesy runner E Skolkin in for C Reis (B7 play #67) — run credited to C Reis. CR J Jenkins in for H Zhang (B5 play #48, inning-ending play, no run scored). L Avila (WTTN) bats T1 then pitches B1-B3 (Flag #11). J Norwood pitches T5 (Flag #10). K_S/K_L discrepancy: A Grainger play #4 Section 3 says 'looking' but Section 4 final pitch 'swinging' — K_S recorded per Section 4. WTTN fielder identities not in log for 2 errors (play #45 1B, play #46 SS). 12 data integrity flags in source log.</t>
        </is>
      </c>
    </row>
    <row r="4">
      <c r="A4" s="8" t="inlineStr">
        <is>
          <t>2026-03-21_RVRH_at_GLFR</t>
        </is>
      </c>
      <c r="B4" s="2" t="n">
        <v>46102</v>
      </c>
      <c r="C4" s="8" t="inlineStr">
        <is>
          <t>In-Season Game</t>
        </is>
      </c>
      <c r="D4" s="8" t="inlineStr">
        <is>
          <t>RVRH</t>
        </is>
      </c>
      <c r="E4" s="8" t="inlineStr">
        <is>
          <t>RVRH</t>
        </is>
      </c>
      <c r="F4" s="8" t="inlineStr">
        <is>
          <t>GLFR</t>
        </is>
      </c>
      <c r="G4" s="8" t="n">
        <v>6</v>
      </c>
      <c r="H4" s="8" t="inlineStr">
        <is>
          <t>Game_03.md</t>
        </is>
      </c>
      <c r="I4" s="8" t="n">
        <v>19</v>
      </c>
      <c r="J4" s="8" t="n">
        <v>12</v>
      </c>
      <c r="K4" s="8" t="n">
        <v>0</v>
      </c>
      <c r="L4" s="8" t="n">
        <v>6</v>
      </c>
      <c r="M4" s="8" t="n">
        <v>5</v>
      </c>
      <c r="N4" s="8" t="n">
        <v>3</v>
      </c>
      <c r="O4" s="8" t="n">
        <v>13</v>
      </c>
      <c r="P4" s="8" t="inlineStr">
        <is>
          <t>RVRH win 19-6, away vs. Guilford Park. 5 innings fully documented; T6 incomplete (Flag #1). Game type not labeled in log (Flag #2). GLFR players logged as abbreviated names only, no jersey numbers (Flag #3). Courtesy runners: B Bixby for G Dang (T1, play #7 Sec4; run credited to G Dang); E Skolkin for R Walsh (T1, play #11 Sec4; run credited to R Walsh); R Miller for C Reis (T4, play #44 Sec4; run credited to C Reis); Z M for L R (B5, play #63 Sec4; Z M caught stealing home, CS credited to L R). J Norwood pitches B4–B5 (Flag #7, entry inferred). A A pitches T2–T4 (T4 inferred). 3 RVRH runs scored on errors (plays #14, #15) — no RBI credited. 13 data integrity flags in source log.</t>
        </is>
      </c>
    </row>
    <row r="5">
      <c r="A5" s="8" t="inlineStr">
        <is>
          <t>2026-03-23_WLDL_at_RVRH</t>
        </is>
      </c>
      <c r="B5" s="2" t="n">
        <v>46104</v>
      </c>
      <c r="C5" s="8" t="inlineStr">
        <is>
          <t>In-Season Game</t>
        </is>
      </c>
      <c r="D5" s="8" t="inlineStr">
        <is>
          <t>RVRH</t>
        </is>
      </c>
      <c r="E5" s="8" t="inlineStr">
        <is>
          <t>WLDL</t>
        </is>
      </c>
      <c r="F5" s="8" t="inlineStr">
        <is>
          <t>RVRH</t>
        </is>
      </c>
      <c r="G5" s="8" t="n">
        <v>5</v>
      </c>
      <c r="H5" s="8" t="inlineStr">
        <is>
          <t>Game_04.md</t>
        </is>
      </c>
      <c r="I5" s="8" t="n">
        <v>0</v>
      </c>
      <c r="J5" s="8" t="n">
        <v>3</v>
      </c>
      <c r="K5" s="8" t="n">
        <v>3</v>
      </c>
      <c r="L5" s="8" t="n">
        <v>23</v>
      </c>
      <c r="M5" s="8" t="n">
        <v>18</v>
      </c>
      <c r="N5" s="8" t="n">
        <v>0</v>
      </c>
      <c r="O5" s="8" t="n">
        <v>8</v>
      </c>
      <c r="P5" s="8" t="inlineStr">
        <is>
          <t>RVRH win, home vs. Wilde Lake. Game type not labeled (Flag #2-adjacent). FLAG #2: Section 2 reports RVRH R=23; line score and play-by-play both sum to 22 (B2=2, B3=12, B4=8, B5 incomplete with 0 logged). Discrepancy unresolvable — R=23 recorded as reported; batting R tally = 22. G2 gate fails by 1 run (documented, unresolvable). B5 incomplete (Flag #1, B Mougey at bat, no outcome). Courtesy runner B Bixby for G Dang ×2 in B3 (plays #28 and #37 Sec4; Flag #7). Sub note 'CR R Miller in for C Reis' at T4 (play #44) mislabeled — treated as defensive sub; R Miller takes C Reis batting slot in B4. Duplicate lineup note for J Jenkins at play #20 (Flag #3). 8 data integrity flags in source log.</t>
        </is>
      </c>
    </row>
    <row r="6">
      <c r="A6" s="8" t="inlineStr">
        <is>
          <t>2026-03-25_RVRH_at_HMMN</t>
        </is>
      </c>
      <c r="B6" s="2" t="n">
        <v>46106</v>
      </c>
      <c r="C6" s="8" t="inlineStr">
        <is>
          <t>In-Season Game</t>
        </is>
      </c>
      <c r="D6" s="8" t="inlineStr">
        <is>
          <t>RVRH</t>
        </is>
      </c>
      <c r="E6" s="8" t="inlineStr">
        <is>
          <t>RVRH</t>
        </is>
      </c>
      <c r="F6" s="8" t="inlineStr">
        <is>
          <t>HMMN</t>
        </is>
      </c>
      <c r="G6" s="8" t="n">
        <v>8</v>
      </c>
      <c r="H6" s="8" t="inlineStr">
        <is>
          <t>Game_05.md</t>
        </is>
      </c>
      <c r="I6" s="8" t="n">
        <v>13</v>
      </c>
      <c r="J6" s="8" t="n">
        <v>15</v>
      </c>
      <c r="K6" s="8" t="n">
        <v>1</v>
      </c>
      <c r="L6" s="8" t="n">
        <v>2</v>
      </c>
      <c r="M6" s="8" t="n">
        <v>6</v>
      </c>
      <c r="N6" s="8" t="n">
        <v>4</v>
      </c>
      <c r="O6" s="8" t="n">
        <v>10</v>
      </c>
      <c r="P6" s="8" t="inlineStr">
        <is>
          <t>RVRH win 13-2, away vs. Hammond. 7 innings fully documented; T8 incomplete (Flag #1, R Walsh at bat only). Game type not labeled. CRs: C McClellan for H Zhang ×3 (T3 #22, T4 #34, T5 #47; Flag #8) — T3 run credited to H Zhang; E Skolkin for G Dang T4 (#36 Sec4) — stranded; D Bhatt for L Tordella B2 (#17 Sec4) — stranded. R Ronayne subs for G Dang in T7 — no lineup note (inferred from batting order). T Thomas appears B7 with no lineup note (Flag #3). P Yarnell (HMMN SS) commits 3 errors (T4 embedded, T5, T7 embedded; Flag #7). 10 data integrity flags in source log.</t>
        </is>
      </c>
    </row>
    <row r="7">
      <c r="A7" s="8" t="inlineStr">
        <is>
          <t>2026-03-27_GLNL_at_RVRH</t>
        </is>
      </c>
      <c r="B7" s="2" t="n">
        <v>46108</v>
      </c>
      <c r="C7" s="8" t="inlineStr">
        <is>
          <t>In-Season Game</t>
        </is>
      </c>
      <c r="D7" s="8" t="inlineStr">
        <is>
          <t>RVRH</t>
        </is>
      </c>
      <c r="E7" s="8" t="inlineStr">
        <is>
          <t>GLNL</t>
        </is>
      </c>
      <c r="F7" s="8" t="inlineStr">
        <is>
          <t>RVRH</t>
        </is>
      </c>
      <c r="G7" s="8" t="n">
        <v>5</v>
      </c>
      <c r="H7" s="8" t="inlineStr">
        <is>
          <t>Game_06.md</t>
        </is>
      </c>
      <c r="I7" s="8" t="n">
        <v>0</v>
      </c>
      <c r="J7" s="8" t="n">
        <v>1</v>
      </c>
      <c r="K7" s="8" t="n">
        <v>1</v>
      </c>
      <c r="L7" s="8" t="n">
        <v>19</v>
      </c>
      <c r="M7" s="8" t="n">
        <v>11</v>
      </c>
      <c r="N7" s="8" t="n">
        <v>2</v>
      </c>
      <c r="O7" s="8" t="n">
        <v>14</v>
      </c>
      <c r="P7" s="8" t="inlineStr">
        <is>
          <t>RVRH win 19-0, home vs. Glenelg. 5 complete innings (GLNL doesn't bat B5 per line score; R Miller B5 at-bat in log is inconsistency per Flag #1). Game type not labeled. FLAG #5: RVRH E=2 reported; only 1 error identifiable (C Nichols SS T1 play #3); second RVRH error unresolvable from log — E=2 recorded as reported, 1 fielding row written. B3 is 15-run inning with order cycling twice (Flag #6 C Naecker, Flag #7 G Dang). CRs: B Bixby for G Dang B2 (stranded); B Bixby for G Dang B3 2nd time (scores play #38 → R to G Dang); C McClellan for R Walsh B3 (scores play #34 → R to R Walsh); R Miller 'pinch runner' for C Reis B4 (Flag #4; scores play #48 → R to C Reis). Flag #2: circular pitcher substitution during G Dang SAC fly AB (B3 play #27) — N Cohen credited as active pitcher per final entry in sequence. 14 data integrity flags in source log.</t>
        </is>
      </c>
    </row>
    <row r="8">
      <c r="A8" s="8" t="inlineStr">
        <is>
          <t>2026-03-30_FLLS_at_RVRH</t>
        </is>
      </c>
      <c r="B8" s="2" t="n">
        <v>46111</v>
      </c>
      <c r="C8" s="8" t="inlineStr">
        <is>
          <t>In-Season Game</t>
        </is>
      </c>
      <c r="D8" s="8" t="inlineStr">
        <is>
          <t>RVRH</t>
        </is>
      </c>
      <c r="E8" s="8" t="inlineStr">
        <is>
          <t>FLLS</t>
        </is>
      </c>
      <c r="F8" s="8" t="inlineStr">
        <is>
          <t>RVRH</t>
        </is>
      </c>
      <c r="G8" s="8" t="n">
        <v>7</v>
      </c>
      <c r="H8" s="8" t="inlineStr">
        <is>
          <t>Game_07.md</t>
        </is>
      </c>
      <c r="I8" s="8" t="n">
        <v>3</v>
      </c>
      <c r="J8" s="8" t="n">
        <v>7</v>
      </c>
      <c r="K8" s="8" t="n">
        <v>0</v>
      </c>
      <c r="L8" s="8" t="n">
        <v>7</v>
      </c>
      <c r="M8" s="8" t="n">
        <v>11</v>
      </c>
      <c r="N8" s="8" t="n">
        <v>2</v>
      </c>
      <c r="O8" s="8" t="n">
        <v>9</v>
      </c>
      <c r="P8" s="8" t="inlineStr">
        <is>
          <t>RVRH win 7-3, home vs. Fallston. 7 complete top-half innings; B7 in log but line score shows X (RVRH did not bat in B7, Flag #1 — same contradiction as Game 06). Game type not labeled. H Zhang HR T1 (B1 play #8) is a 2-run HR (J Norwood scores). CRs: C McClellan for G Dang B1 (stranded); B Bixby 'pinch runner' for H Zhang B5 (Flag #2, stranded); H Zhang bats again in B6 despite B Bixby pinch-runner sub (Flag #6); Flag #5: 'Play Edit' in C Naecker PO AB B6 (B Bixby/H Zhang swap reversed, net effect H Zhang stays). FLLS CRs: R Cullison for J Potler T2 (stranded); C Blair for J Potler T4 (out on FC). Z Loewe SB×3 (T3 ×2 embedded, T5 ×1 embedded; Flags #7/#9). J Schilpp SB×1 + WP advance T4 embedded (Flag #8). 9 data integrity flags in source log.</t>
        </is>
      </c>
    </row>
    <row r="9">
      <c r="A9" s="8" t="inlineStr">
        <is>
          <t>2026-03-07_ELNR_at_NRTH</t>
        </is>
      </c>
      <c r="B9" s="2" t="n">
        <v>46088</v>
      </c>
      <c r="C9" s="8" t="inlineStr">
        <is>
          <t>In-Season Game</t>
        </is>
      </c>
      <c r="D9" s="8" t="inlineStr">
        <is>
          <t>NRTH</t>
        </is>
      </c>
      <c r="E9" s="8" t="inlineStr">
        <is>
          <t>ELNR</t>
        </is>
      </c>
      <c r="F9" s="8" t="inlineStr">
        <is>
          <t>NRTH</t>
        </is>
      </c>
      <c r="G9" s="8" t="n">
        <v>5</v>
      </c>
      <c r="H9" s="8" t="inlineStr">
        <is>
          <t>Northpoint_Game_8.md</t>
        </is>
      </c>
      <c r="I9" s="8" t="n">
        <v>1</v>
      </c>
      <c r="J9" s="8" t="n">
        <v>1</v>
      </c>
      <c r="K9" s="8" t="n">
        <v>8</v>
      </c>
      <c r="L9" s="8" t="n">
        <v>14</v>
      </c>
      <c r="M9" s="8" t="n">
        <v>10</v>
      </c>
      <c r="N9" s="8" t="n">
        <v>3</v>
      </c>
      <c r="O9" s="8" t="n">
        <v>13</v>
      </c>
      <c r="P9" s="8" t="inlineStr">
        <is>
          <t>ELNR loss 1-14, away vs. North Point (mercy rule, 5 innings). 13 data integrity flags. T6 incomplete — scoring artifact (Flag #1). T White identity conflict (Flag #2). CR T Roy for A Williams in B1 (play #15) and B3 (play #35) — T Roy runs credited to A Williams per CR rule (Flag #12). C Pettko (NRTH) pitches T1-T2 and bats — entry inferred from play descriptions (Flag #11). Balk by A Harding T3 (Flag #7). Multiple embedded baserunning events (Flag #13).</t>
        </is>
      </c>
    </row>
    <row r="10">
      <c r="A10" s="8" t="inlineStr">
        <is>
          <t>2026-03-14_NRTH_at_ARND</t>
        </is>
      </c>
      <c r="B10" s="2" t="n">
        <v>46095</v>
      </c>
      <c r="C10" s="8" t="inlineStr">
        <is>
          <t>In-Season Game</t>
        </is>
      </c>
      <c r="D10" s="8" t="inlineStr">
        <is>
          <t>NRTH</t>
        </is>
      </c>
      <c r="E10" s="8" t="inlineStr">
        <is>
          <t>NRTH</t>
        </is>
      </c>
      <c r="F10" s="8" t="inlineStr">
        <is>
          <t>ARND</t>
        </is>
      </c>
      <c r="G10" s="8" t="n">
        <v>5</v>
      </c>
      <c r="H10" s="8" t="inlineStr">
        <is>
          <t>Northpoint_Game_9.md</t>
        </is>
      </c>
      <c r="I10" s="8" t="n">
        <v>1</v>
      </c>
      <c r="J10" s="8" t="n">
        <v>2</v>
      </c>
      <c r="K10" s="8" t="n">
        <v>7</v>
      </c>
      <c r="L10" s="8" t="n">
        <v>21</v>
      </c>
      <c r="M10" s="8" t="n">
        <v>9</v>
      </c>
      <c r="N10" s="8" t="n">
        <v>0</v>
      </c>
      <c r="O10" s="8" t="n">
        <v>10</v>
      </c>
      <c r="P10" s="8" t="inlineStr">
        <is>
          <t>NRTH loss 1-21, 5 innings (mercy/run-rule). 10 data integrity flags. NRTH 7 errors (A Harding SS x3, A Williams C x1, W Kwisnek 1B x1, Z Bowman 3B x1, A Thomas 2B x1). Courtesy runner J Perry for G O'Donnell (B2 play#23); R credited to G O'Donnell (play#26 WP). Multiple pitcher changes in B2 anomalous (Flag#4). 1 unattributed run play#63 (score 19-&gt;21, only J Haslup credited on WP). B5 incomplete — C Dennehy AB play#64 not counted (Flag#1).</t>
        </is>
      </c>
    </row>
    <row r="11">
      <c r="A11" s="8" t="inlineStr">
        <is>
          <t>2026-03-14_NRTH_at_MRRT</t>
        </is>
      </c>
      <c r="B11" s="2" t="n">
        <v>46095</v>
      </c>
      <c r="C11" s="8" t="inlineStr">
        <is>
          <t>In-Season Game</t>
        </is>
      </c>
      <c r="D11" s="8" t="inlineStr">
        <is>
          <t>NRTH</t>
        </is>
      </c>
      <c r="E11" s="8" t="inlineStr">
        <is>
          <t>NRTH</t>
        </is>
      </c>
      <c r="F11" s="8" t="inlineStr">
        <is>
          <t>MRRT</t>
        </is>
      </c>
      <c r="G11" s="8" t="n">
        <v>6</v>
      </c>
      <c r="H11" s="8" t="inlineStr">
        <is>
          <t>Northpoint_Game_10.md</t>
        </is>
      </c>
      <c r="I11" s="8" t="n">
        <v>2</v>
      </c>
      <c r="J11" s="8" t="n">
        <v>4</v>
      </c>
      <c r="K11" s="8" t="n">
        <v>7</v>
      </c>
      <c r="L11" s="8" t="n">
        <v>15</v>
      </c>
      <c r="M11" s="8" t="n">
        <v>10</v>
      </c>
      <c r="N11" s="8" t="n">
        <v>0</v>
      </c>
      <c r="O11" s="8" t="n">
        <v>14</v>
      </c>
      <c r="P11" s="8" t="inlineStr">
        <is>
          <t>NRTH loss 2-15, 6 innings (mercy/run-rule). 14 data integrity flags. NRTH 7 errors (A Thomas 2B x1, A Williams C x2, Z Bowman 3B x2, S Dixon LF x1, Z Bowman P x1). Same-day doubleheader with Game 9 (Flag#2). MRRT unnamed players #2 and #6 (Flag#13). Multiple dual-role players: A Espejo pitches B1-B2, E Zimmerman pitches B3-B4, Z Bowman pitches B5 (Flags#3-5). B6 incomplete - T Rauscher AB play#64 no outcome (Flag#1). CR: R Marsili for S Thomas B2; A Montgomery for T Rauscher B5; runs credited to originals per CR rule.</t>
        </is>
      </c>
    </row>
    <row r="12">
      <c r="A12" s="8" t="inlineStr">
        <is>
          <t>2026-03-20_PTXN_at_NRTH</t>
        </is>
      </c>
      <c r="B12" s="2" t="n">
        <v>46101</v>
      </c>
      <c r="C12" s="8" t="inlineStr">
        <is>
          <t>In-Season Game</t>
        </is>
      </c>
      <c r="D12" s="8" t="inlineStr">
        <is>
          <t>NRTH</t>
        </is>
      </c>
      <c r="E12" s="8" t="inlineStr">
        <is>
          <t>PTXN</t>
        </is>
      </c>
      <c r="F12" s="8" t="inlineStr">
        <is>
          <t>NRTH</t>
        </is>
      </c>
      <c r="G12" s="8" t="n">
        <v>7</v>
      </c>
      <c r="H12" s="8" t="inlineStr">
        <is>
          <t>Northpoint_Game_11.md</t>
        </is>
      </c>
      <c r="I12" s="8" t="n">
        <v>7</v>
      </c>
      <c r="J12" s="8" t="n">
        <v>6</v>
      </c>
      <c r="K12" s="8" t="n">
        <v>4</v>
      </c>
      <c r="L12" s="8" t="n">
        <v>4</v>
      </c>
      <c r="M12" s="8" t="n">
        <v>5</v>
      </c>
      <c r="N12" s="8" t="n">
        <v>2</v>
      </c>
      <c r="O12" s="8" t="n">
        <v>11</v>
      </c>
      <c r="P12" s="8" t="inlineStr">
        <is>
          <t>NRTH loss 4-7, 7 complete innings. 11 data integrity flags. NRTH 2 errors: A Harding SS play#16(T2), A Williams C play#50(T6). PTXN 4 errors: R Whitney SS plays#9(B1),#46(B5); D Bradley 3B play#19(B2); N Kelly LF play#57(B6). Dual-role PTXN: C White bats T-halves + pitches B1-B5; R Whitney bats T-halves + pitches B6-B7 (no lineup notes, Flag#10). NRTH dual-role: A Espejo bats B-halves + pitches T1-T5; C Pettko bats B-halves + pitches T6-T7. CR: J Smith for E Zimmerman B6 play#55 (R credited to E Zimmerman per CR rule). CR: R Hawkins for L Powell T6 play#54 (L Powell stranded). T8 play#68 D Bradley no outcome recorded (Flag#1).</t>
        </is>
      </c>
    </row>
    <row r="13">
      <c r="A13" s="8" t="inlineStr">
        <is>
          <t>2026-03-23_NRTH_at_ST.C</t>
        </is>
      </c>
      <c r="B13" s="2" t="n">
        <v>46104</v>
      </c>
      <c r="C13" s="8" t="inlineStr">
        <is>
          <t>In-Season Game</t>
        </is>
      </c>
      <c r="D13" s="8" t="inlineStr">
        <is>
          <t>NRTH</t>
        </is>
      </c>
      <c r="E13" s="8" t="inlineStr">
        <is>
          <t>NRTH</t>
        </is>
      </c>
      <c r="F13" s="8" t="inlineStr">
        <is>
          <t>ST.C</t>
        </is>
      </c>
      <c r="G13" s="8" t="n">
        <v>7</v>
      </c>
      <c r="H13" s="8" t="inlineStr">
        <is>
          <t>Northpoint_Game_12.md</t>
        </is>
      </c>
      <c r="I13" s="8" t="n">
        <v>7</v>
      </c>
      <c r="J13" s="8" t="n">
        <v>5</v>
      </c>
      <c r="K13" s="8" t="n">
        <v>0</v>
      </c>
      <c r="L13" s="8" t="n">
        <v>0</v>
      </c>
      <c r="M13" s="8" t="n">
        <v>1</v>
      </c>
      <c r="N13" s="8" t="n">
        <v>1</v>
      </c>
      <c r="O13" s="8" t="n">
        <v>12</v>
      </c>
      <c r="P13" s="8" t="inlineStr">
        <is>
          <t>NRTH win 7-0, 7 complete innings. First NRTH win in series (Flag#2). 12 data integrity flags. NRTH 0 errors. ST.C 1 error: R Generette 1B play#4(T1). E Zimmerman pitches all 7 B-halves (no lineup note, established via attribution). Balk by E Zimmerman B6 play#46 (D Tyler adv 2nd, not in schema). Inside-the-park HR A Harding T3 play#19 (Flag#4). CR C Harrigan for E Zimmerman T6 play#41 (R credited to E Zimmerman per CR rule). T8 play#56 E Zimmerman AB no outcome recorded (Flag#1). S Dixon steals 2nd while at 3rd (anomalous, recorded as logged, Flag#10). Two WPs by M Minick T6 (plays#41,#42) score A Harding and Z Bowman.</t>
        </is>
      </c>
    </row>
    <row r="14">
      <c r="A14" s="8" t="inlineStr">
        <is>
          <t>2026-03-25_NRTH_at_CHPT</t>
        </is>
      </c>
      <c r="B14" s="2" t="n">
        <v>46106</v>
      </c>
      <c r="C14" s="8" t="inlineStr">
        <is>
          <t>In-Season Game</t>
        </is>
      </c>
      <c r="D14" s="8" t="inlineStr">
        <is>
          <t>NRTH</t>
        </is>
      </c>
      <c r="E14" s="8" t="inlineStr">
        <is>
          <t>NRTH</t>
        </is>
      </c>
      <c r="F14" s="8" t="inlineStr">
        <is>
          <t>CHPT</t>
        </is>
      </c>
      <c r="G14" s="8" t="n">
        <v>7</v>
      </c>
      <c r="H14" s="8" t="inlineStr">
        <is>
          <t>Northpoint_Game_13.md</t>
        </is>
      </c>
      <c r="I14" s="8" t="n">
        <v>2</v>
      </c>
      <c r="J14" s="8" t="n">
        <v>6</v>
      </c>
      <c r="K14" s="8" t="n">
        <v>6</v>
      </c>
      <c r="L14" s="8" t="n">
        <v>7</v>
      </c>
      <c r="M14" s="8" t="n">
        <v>3</v>
      </c>
      <c r="N14" s="8" t="n">
        <v>2</v>
      </c>
      <c r="O14" s="8" t="n">
        <v>12</v>
      </c>
      <c r="P14" s="8" t="inlineStr">
        <is>
          <t>NRTH loss 2-7, 7 innings. 12 data integrity flags. NRTH 6 errors: A Thomas 2B play#9(B1), A Espejo 3B plays#11+#13(B1), S Dixon CF play#20(B2), A Harding SS plays#36(B4)+#44(B5). CHPT 2 errors: C Rabon LF play#3(T1), E Reynolds SS play#56(T7). Balk by C Pettko B1 play#9 (Flag#3); chained CRs B1 S Beach-&gt;A Lewis-&gt;A Wood (Flag#5). T Bailey bats twice in B1 (Flag#6). Fly-into-FC Z Bowman T4 play#29 (Flag#7). B7 (plays#60-62, T Hyde/K Queen/E Paredes) and T8 (play#63, R Welch) are scoring artifacts (Flags#1+#2) — not counted in stats. CR H Headley for T Haggard in B1 (play#10) and B5 (play#44); R credited to T Haggard both times. 3 runs in B1 on single A Norris error (play#11), including C Rabon from 1B (Flag#4).</t>
        </is>
      </c>
    </row>
    <row r="15">
      <c r="A15" s="8" t="inlineStr">
        <is>
          <t>2026-03-26_THMS_at_NRTH</t>
        </is>
      </c>
      <c r="B15" s="2" t="n">
        <v>46107</v>
      </c>
      <c r="C15" s="8" t="inlineStr">
        <is>
          <t>In-Season Game</t>
        </is>
      </c>
      <c r="D15" s="8" t="inlineStr">
        <is>
          <t>NRTH</t>
        </is>
      </c>
      <c r="E15" s="8" t="inlineStr">
        <is>
          <t>THMS</t>
        </is>
      </c>
      <c r="F15" s="8" t="inlineStr">
        <is>
          <t>NRTH</t>
        </is>
      </c>
      <c r="G15" s="8" t="n">
        <v>5</v>
      </c>
      <c r="H15" s="8" t="inlineStr">
        <is>
          <t>Northpoint_Game_14.md</t>
        </is>
      </c>
      <c r="I15" s="8" t="n">
        <v>5</v>
      </c>
      <c r="J15" s="8" t="n">
        <v>2</v>
      </c>
      <c r="K15" s="8" t="n">
        <v>0</v>
      </c>
      <c r="L15" s="8" t="n">
        <v>17</v>
      </c>
      <c r="M15" s="8" t="n">
        <v>10</v>
      </c>
      <c r="N15" s="8" t="n">
        <v>3</v>
      </c>
      <c r="O15" s="8" t="n">
        <v>16</v>
      </c>
      <c r="P15" s="8" t="inlineStr">
        <is>
          <t>NRTH win 17-5, 5 innings (mercy/run-rule). 16 data integrity flags. All THMS players identified by jersey number only (Flag#2). NRTH 3 errors: C Pettko 3B play#1(T1), A Harding SS play#5(T1), E Zimmerman 1B play#33(T2). THMS 0 errors. NRTH B1 19-batter half-inning, 15 runs, highest single half-inning run total in series (Flag#6). A Espejo bats 3x in B1 (BB+HBP+PO); J Borawski bats 2x; A Thomas 2x. NRTH pitchers: Z Bowman T1-T2; A Harding T3-T4; T Roy T5. THMS pitchers: #17 B1 (0 outs); #1 B1(from play#19)-B4. B5 incomplete (Flag#1). Steal-of-home: #2 THMS T2 Seq#32 (simultaneous with #17 stealing 2nd, Flag#7); A Harding NRTH B2 Seq#38 (Flag#8). Two balks + two pickoffs by #1 in B2 (plays#40-41, Flag#10). J Borawski B3 play#48: double credited as H but out advancing; 3 outs in one PA (Flag#12). B5 play#59 Z Bowman no outcome — scoring artifact.</t>
        </is>
      </c>
    </row>
    <row r="16">
      <c r="A16" s="8" t="inlineStr">
        <is>
          <t>2026-03-07_DMSC_at_GLNL</t>
        </is>
      </c>
      <c r="B16" s="2" t="n">
        <v>46088</v>
      </c>
      <c r="C16" s="8" t="inlineStr">
        <is>
          <t>In-Season Game</t>
        </is>
      </c>
      <c r="D16" s="8" t="inlineStr">
        <is>
          <t>GLNL</t>
        </is>
      </c>
      <c r="E16" s="8" t="inlineStr">
        <is>
          <t>DMSC</t>
        </is>
      </c>
      <c r="F16" s="8" t="inlineStr">
        <is>
          <t>GLNL</t>
        </is>
      </c>
      <c r="G16" s="8" t="n">
        <v>7</v>
      </c>
      <c r="H16" s="8" t="inlineStr">
        <is>
          <t>GLNL_Game_16.md</t>
        </is>
      </c>
      <c r="I16" s="8" t="n">
        <v>2</v>
      </c>
      <c r="J16" s="8" t="n">
        <v>7</v>
      </c>
      <c r="K16" s="8" t="n">
        <v>1</v>
      </c>
      <c r="L16" s="8" t="n">
        <v>5</v>
      </c>
      <c r="M16" s="8" t="n">
        <v>3</v>
      </c>
      <c r="N16" s="8" t="n">
        <v>2</v>
      </c>
      <c r="O16" s="8" t="n">
        <v>8</v>
      </c>
      <c r="P16" s="8" t="inlineStr">
        <is>
          <t>GLNL win 5-2, 7 innings complete. DMSC pitchers unnamed throughout entire game (Flag #7) — no Pitching rows created for DMSC. GLNL pitchers: M Shriner (T1), M Melhuish (T2), J Miles (T3), B Conlon (T4, undocumented entry Flag #1), N Cohen (T5), C Starcher (T6), M Kirk (T7). 2 GLNL runs scored on WP (A Baker) + PB (M Melhuish) in Bottom 3rd — not RBI events. CR J Jones for M Melhuish (Bottom 1st, no run scored). CR P Moreau for C Lease (after Bottom 4th play#43, no run scored). S Tong enters play#40 + C Lease enters play#43 without lineup change notes. A Nazelrod returns at 2B after substitution (Flag #2, fielding only). C Lease returns as batter in Bottom 6th after CR (Flag #4). RBI advisory: GLNL RBI=3, R=5 (2-run gap — A Baker scored on WP, M Melhuish on PB).</t>
        </is>
      </c>
    </row>
    <row r="17">
      <c r="A17" s="8" t="inlineStr">
        <is>
          <t>2026-03-14_GLNL_at_OKDL</t>
        </is>
      </c>
      <c r="B17" s="2" t="n">
        <v>46095</v>
      </c>
      <c r="C17" s="8" t="inlineStr">
        <is>
          <t>In-Season Game</t>
        </is>
      </c>
      <c r="D17" s="8" t="inlineStr">
        <is>
          <t>GLNL</t>
        </is>
      </c>
      <c r="E17" s="8" t="inlineStr">
        <is>
          <t>GLNL</t>
        </is>
      </c>
      <c r="F17" s="8" t="inlineStr">
        <is>
          <t>OKDL</t>
        </is>
      </c>
      <c r="G17" s="8" t="n">
        <v>7</v>
      </c>
      <c r="H17" s="8" t="inlineStr">
        <is>
          <t>GLNL_Game_17.md</t>
        </is>
      </c>
      <c r="I17" s="8" t="n">
        <v>2</v>
      </c>
      <c r="J17" s="8" t="n">
        <v>7</v>
      </c>
      <c r="K17" s="8" t="n">
        <v>0</v>
      </c>
      <c r="L17" s="8" t="n">
        <v>4</v>
      </c>
      <c r="M17" s="8" t="n">
        <v>5</v>
      </c>
      <c r="N17" s="8" t="n">
        <v>1</v>
      </c>
      <c r="O17" s="8" t="n">
        <v>9</v>
      </c>
      <c r="P17" s="8" t="inlineStr">
        <is>
          <t>OKDL win 4-2, 7 innings complete. GLNL pitchers: J Miles B1-B2 (entry inferred from play descriptions — no lineup note, Flag#1), B Conlon B3-B4 (inferred, Flag#1), A Baker B5 (inferred, Flag#1), M Kirk B6 (documented play#50). OKDL pitchers: P Dix T1-T3 (documented play#1 seq), B Yowell T4-T5 (documented play#31 seq), C Thompson T6-T7 (documented play#45 seq). Bottom 2nd scorekeeper-ended inning: only 1 documented out (K Huynh K, play#18); 2 outs unaccounted for (Flag#2); J Miles Bottom 2nd Outs_Recorded uses scorekeeper 3-out total. OKDL did not bat in Bottom 7th (line score X vs play#57 anomaly, Flag#3). CR D Williams for C Scarzello (Bottom 1st, play#8) and K Huynh (Bottom 4th, play#38) — neither scored. CR P Moreau for A Baker (Top 6th, play#46) — P Moreau CS home (play#47 embedded, Flag#5); CS credited to A Baker per CR convention. C Lease at catcher play#52 before documented substitution at play#54 (Flag#4). RBI advisory: OKDL RBI=3, R=4 (1-run gap — L Rosenberg scored on WP, play#19).</t>
        </is>
      </c>
    </row>
    <row r="18">
      <c r="A18" s="8" t="inlineStr">
        <is>
          <t>2026-03-14_LBRT_at_GLNL</t>
        </is>
      </c>
      <c r="B18" s="2" t="n">
        <v>46095</v>
      </c>
      <c r="C18" s="8" t="inlineStr">
        <is>
          <t>In-Season Game</t>
        </is>
      </c>
      <c r="D18" s="8" t="inlineStr">
        <is>
          <t>GLNL</t>
        </is>
      </c>
      <c r="E18" s="8" t="inlineStr">
        <is>
          <t>LBRT</t>
        </is>
      </c>
      <c r="F18" s="8" t="inlineStr">
        <is>
          <t>GLNL</t>
        </is>
      </c>
      <c r="G18" s="8" t="n">
        <v>5</v>
      </c>
      <c r="H18" s="8" t="inlineStr">
        <is>
          <t>GLNL_Game_18.md</t>
        </is>
      </c>
      <c r="I18" s="8" t="n">
        <v>4</v>
      </c>
      <c r="J18" s="8" t="n">
        <v>5</v>
      </c>
      <c r="K18" s="8" t="n">
        <v>1</v>
      </c>
      <c r="L18" s="8" t="n">
        <v>3</v>
      </c>
      <c r="M18" s="8" t="n">
        <v>5</v>
      </c>
      <c r="N18" s="8" t="n">
        <v>2</v>
      </c>
      <c r="O18" s="8" t="n">
        <v>9</v>
      </c>
      <c r="P18" s="8" t="inlineStr">
        <is>
          <t>LBRT win 4-3, 5 innings complete. GLNL did not bat in Bottom 5th (line score X vs play#44 anomaly, Flag#3). GLNL pitchers: M Melhuish T1-T2 (documented play#1 seq), C Starcher T3 (documented play#20), N Cohen T4-T5 (documented play#32). LBRT pitchers: S Crochunis B1 through P Moreau PO in B2 (undocumented start, Flag#1); C DiCerbo B2 from G Knauss mid-AB through B3 (documented play#16 embedded); D Nelson B4 plays#36-38 (entry inferred, Flag#2); T Kane B4 mid-M Melhuish AB onward (documented play#39). All 4 LBRT runs in Top 3rd (C Starcher allows all). CR E Laprise for C Lease (B2 play#13-seq) — E Laprise scores; R credited to C Lease per CR convention. C DiCerbo (LBRT) two-way player (Flag#6); D Nelson (LBRT) two-way player (Flag#2). D McGarity/B Knight/J Hebert substitution chain anomaly T5 (Flags#4+#5). RBI advisory: LBRT RBI=3, R=4 (C DiCerbo scored on E, play#24); GLNL RBI=2, R=3 (G Knauss scored on M Melhuish E reach, play#18).</t>
        </is>
      </c>
    </row>
    <row r="19">
      <c r="A19" s="8" t="inlineStr">
        <is>
          <t>2026-03-21_GLNL_at_MRRT</t>
        </is>
      </c>
      <c r="B19" s="2" t="n">
        <v>46102</v>
      </c>
      <c r="C19" s="8" t="inlineStr">
        <is>
          <t>In-Season Game</t>
        </is>
      </c>
      <c r="D19" s="8" t="inlineStr">
        <is>
          <t>GLNL</t>
        </is>
      </c>
      <c r="E19" s="8" t="inlineStr">
        <is>
          <t>GLNL</t>
        </is>
      </c>
      <c r="F19" s="8" t="inlineStr">
        <is>
          <t>MRRT</t>
        </is>
      </c>
      <c r="G19" s="8" t="n">
        <v>5</v>
      </c>
      <c r="H19" s="8" t="inlineStr">
        <is>
          <t>GLNL_Game_19.md</t>
        </is>
      </c>
      <c r="I19" s="8" t="n">
        <v>0</v>
      </c>
      <c r="J19" s="8" t="n">
        <v>1</v>
      </c>
      <c r="K19" s="8" t="n">
        <v>2</v>
      </c>
      <c r="L19" s="8" t="n">
        <v>10</v>
      </c>
      <c r="M19" s="8" t="n">
        <v>7</v>
      </c>
      <c r="N19" s="8" t="n">
        <v>1</v>
      </c>
      <c r="O19" s="8" t="n">
        <v>8</v>
      </c>
      <c r="P19" s="8" t="inlineStr">
        <is>
          <t>MRRT win 10-0, 5 innings (apparent mercy rule — game ends mid-Bottom 5th, play#48, M Delmonte scores on WP for 10th run, Flag#2). All 10 MRRT runs: B2(1), B3(3), B5(6). GLNL pitchers: J Miles B1-B3 (undocumented start, Flag#1); M Kirk B4-B5 through J Yeich walk (documented play#30); C Starcher B5 from M Delmonte mid-AB onward (documented play#47 embedded). MRRT pitchers: anonymous unnamed starter threw 5 pitches to A Baker T1 before S Thomas entered mid-AB (play#1 seq) — 0 outs/H/BB/K; no pitching row created for unnamed pitcher; A Baker K credited to S Thomas per mid-AB rule. S Thomas T1 mid-AB through G Knauss walk in T5; J Yeich T5 from A Baker mid-AB onward (documented play#38 seq). J Yeich two-way player pitcher+batter (Flag#7). E Laprise 'Batter Out (other)' T1 play#2 (Flag#3). J Devito FO with tag-up run not designated SAC (Flag#4); J Devito RBI credited per productive out rule. Flag#5: M Delmonte SB+E same embedded sequence (O Snow AB B4). Flag#6: A Devito unspecified adv to 3B play#46. RBI advisory: MRRT RBI=9, R=10 (1-run gap — M Delmonte scored on WP, play#48).</t>
        </is>
      </c>
    </row>
    <row r="20">
      <c r="A20" s="8" t="inlineStr">
        <is>
          <t>2026-03-23_GLNL_at_HWRD</t>
        </is>
      </c>
      <c r="B20" s="2" t="n">
        <v>46104</v>
      </c>
      <c r="C20" s="8" t="inlineStr">
        <is>
          <t>In-Season Game</t>
        </is>
      </c>
      <c r="D20" s="8" t="inlineStr">
        <is>
          <t>GLNL</t>
        </is>
      </c>
      <c r="E20" s="8" t="inlineStr">
        <is>
          <t>GLNL</t>
        </is>
      </c>
      <c r="F20" s="8" t="inlineStr">
        <is>
          <t>HWRD</t>
        </is>
      </c>
      <c r="G20" s="8" t="n">
        <v>5</v>
      </c>
      <c r="H20" s="8" t="inlineStr">
        <is>
          <t>GLNL_Game_20.md</t>
        </is>
      </c>
      <c r="I20" s="8" t="n">
        <v>10</v>
      </c>
      <c r="J20" s="8" t="n">
        <v>11</v>
      </c>
      <c r="K20" s="8" t="n">
        <v>1</v>
      </c>
      <c r="L20" s="8" t="n">
        <v>1</v>
      </c>
      <c r="M20" s="8" t="n">
        <v>3</v>
      </c>
      <c r="N20" s="8" t="n">
        <v>3</v>
      </c>
      <c r="O20" s="8" t="n">
        <v>9</v>
      </c>
      <c r="P20" s="8" t="inlineStr">
        <is>
          <t>GLNL win 10-1, 5 innings (apparent mercy rule, Flag#2). All GLNL runs: T1(1), T2(1), T3(7), T4(1). GLNL pitchers: B Conlon B1-B4 through N Hegedus 1B (undocumented start, Flag#1); N Cohen B4 from C Parise AB onward (documented play#45). HWRD pitchers: D Heim T1-T3 (documented play#1 seq); C Hudson T4-T5 (T4 entry inferred from Flag#4 + play#35 — D Heim at 3B; T5 confirmed play#47/50). B Conlon GLNL two-way pitcher+batter. D Heim + C Hudson HWRD two-way players. CR J Jones for B Conlon at 3B T3 ('(Play Edit)' scorer correction, Flag#3); J Jones scores on G Knauss HBP; R credited to B Conlon per CR convention; B Conlon continues batting (play#29). CR C Starcher for G Knauss T3 (play#24); C Starcher scores on C Brown 2B (play#25); R credited to G Knauss per CR. 2 SBs by M Melhuish embedded play#2 T1 (Flag#7). Two HWRD errors on single AB (play#2, C Gerber-Lombardi+D Heim, Flag#5). M Beares enters T4 without lineup note (Flag#11); C Hudson to pitcher T4 without lineup note (Flag#4). Z Blair mid-AB sub for A Proescher B5 (Flag#15). B Burckhardt at 1B B5 without lineup note (Flag#14). G Melhuish mid-AB entry T5 (play#49 seq). RBI advisory: GLNL RBI=9, R=10 (1-run gap — M Melhuish T1 scored on E reach by A Baker, no RBI).</t>
        </is>
      </c>
    </row>
    <row r="21" ht="15.75" customHeight="1" s="35">
      <c r="A21" s="8" t="inlineStr">
        <is>
          <t>2026-03-30_SHRW_at_GLNL</t>
        </is>
      </c>
      <c r="B21" s="2" t="n">
        <v>46111</v>
      </c>
      <c r="C21" s="8" t="inlineStr">
        <is>
          <t>In-Season Game</t>
        </is>
      </c>
      <c r="D21" s="8" t="inlineStr">
        <is>
          <t>GLNL</t>
        </is>
      </c>
      <c r="E21" s="8" t="inlineStr">
        <is>
          <t>SHRW</t>
        </is>
      </c>
      <c r="F21" s="8" t="inlineStr">
        <is>
          <t>GLNL</t>
        </is>
      </c>
      <c r="G21" s="8" t="n">
        <v>7</v>
      </c>
      <c r="H21" s="8" t="inlineStr">
        <is>
          <t>GLNL_Game_22.md</t>
        </is>
      </c>
      <c r="I21" s="8" t="n">
        <v>3</v>
      </c>
      <c r="J21" s="8" t="n">
        <v>4</v>
      </c>
      <c r="K21" s="8" t="n">
        <v>2</v>
      </c>
      <c r="L21" s="8" t="n">
        <v>0</v>
      </c>
      <c r="M21" s="8" t="n">
        <v>2</v>
      </c>
      <c r="N21" s="8" t="n">
        <v>1</v>
      </c>
      <c r="O21" s="8" t="n">
        <v>7</v>
      </c>
      <c r="P21" s="8" t="inlineStr">
        <is>
          <t>SHRW win 3-0, 7 innings complete. GLNL pitchers: J Miles T1-T6 through C Flickinger FO (documented play#1 seq); B Conlon T6 play#42 only (undocumented entry from RF, Flag#1); M Shriner T7 (documented play#47 seq). SHRW pitchers: L Gisriel B1-B6 (documented play#5 seq); C Crismond B7 (documented play#53 seq). CR J Hall for C Jagannathan (Top 6th, play#40 seq) — J Hall scores on J Berger 2B; R credited to C Jagannathan per CR convention. PR M Cheng for J Sarita (Top 7th, play#52 seq) — no run scored. 3 foul-tip Ks (plays#29,#38,#42, Flag#4); dropped 3rd J Bender reaches (play#19, PB, Flag#3); dropped 3rd J Berger out (play#25, Flag#3). A Jenkins bunt out as 'Ground Out' not SAC (play#31, Flag#5). J Bender 2 SBs in one AB (play#38 embedded, Flag#6). J Miles WP x2 (play#33 T5 + play#40 T6). Top 8th J Berger no outcome (Flag#2) — not counted as PA. RBI advisory: SHRW RBI=2, R=3 (1-run gap — C Calandro scored on WP play#33).</t>
        </is>
      </c>
    </row>
    <row r="22" ht="15.75" customHeight="1" s="35">
      <c r="A22" s="8" t="inlineStr">
        <is>
          <t>2026-03-31_GLNL_at_ATHL</t>
        </is>
      </c>
      <c r="B22" s="2" t="n">
        <v>46112</v>
      </c>
      <c r="C22" s="8" t="inlineStr">
        <is>
          <t>In-Season Game</t>
        </is>
      </c>
      <c r="D22" s="8" t="inlineStr">
        <is>
          <t>GLNL</t>
        </is>
      </c>
      <c r="E22" s="8" t="inlineStr">
        <is>
          <t>GLNL</t>
        </is>
      </c>
      <c r="F22" s="8" t="inlineStr">
        <is>
          <t>ATHL</t>
        </is>
      </c>
      <c r="G22" s="8" t="n">
        <v>7</v>
      </c>
      <c r="H22" s="8" t="inlineStr">
        <is>
          <t>GLNL_Game_23.md</t>
        </is>
      </c>
      <c r="I22" s="8" t="n">
        <v>6</v>
      </c>
      <c r="J22" s="8" t="n">
        <v>3</v>
      </c>
      <c r="K22" s="8" t="n">
        <v>0</v>
      </c>
      <c r="L22" s="8" t="n">
        <v>0</v>
      </c>
      <c r="M22" s="8" t="n">
        <v>2</v>
      </c>
      <c r="N22" s="8" t="n">
        <v>3</v>
      </c>
      <c r="O22" s="8" t="n">
        <v>8</v>
      </c>
      <c r="P22" s="8" t="inlineStr">
        <is>
          <t>GLNL win 6-0, 7 innings complete. GLNL pitchers: B Conlon B1-B7 play#57 (undocumented start, Flag#1); M Kirk B7 from N Brewer onward (documented play#58; duplicate lineup entry play#59, Flag#3). ATHL pitchers: L Byrns T1-T5 through A Baker FC (documented play#1 seq, 2 WP); J Bott T5 from A Nazelrod AB onward (documented play#38 seq, 2 WP); T MacKenzie T7 (inferred from play#54, Flag#12). CR P Moreau for G Melhuish (T6 play#46 seq) — P Moreau scores on WP (play#48); R credited to G Melhuish per CR. B Conlon IBW (only IBW in series, Flag#5). J Martin 2 SBs in one AB (play#6 embedded, Flag#6). Dropped 3rd K WP G Melhuish (play#13, Flag#7); dropped 3rd K PB S Tong (play#34, Flag#7). S Tong fly-into-DP (play#48, Flag#4); GDP=1 per rules. Play#37 FC+E: C Lease out; B Conlon+S Tong score on J Martin E — no RBI for A Baker (Flag#11). Top 8th J Miles no outcome (Flag#2) — not counted as PA. RBI advisory: GLNL RBI=1, R=6 (5-run gap: WP play#13, errors play#37×2, error play#38, WP play#48).</t>
        </is>
      </c>
    </row>
    <row r="23" ht="15.75" customHeight="1" s="35">
      <c r="A23" s="8" t="inlineStr">
        <is>
          <t>2026-03-07_HNTN_at_LNGR</t>
        </is>
      </c>
      <c r="B23" s="2" t="n">
        <v>46088</v>
      </c>
      <c r="C23" s="8" t="inlineStr">
        <is>
          <t>In-Season Game</t>
        </is>
      </c>
      <c r="D23" s="8" t="inlineStr">
        <is>
          <t>HNTN</t>
        </is>
      </c>
      <c r="E23" s="8" t="inlineStr">
        <is>
          <t>HNTN</t>
        </is>
      </c>
      <c r="F23" s="8" t="inlineStr">
        <is>
          <t>LNGR</t>
        </is>
      </c>
      <c r="G23" s="8" t="n">
        <v>6</v>
      </c>
      <c r="H23" s="8" t="inlineStr">
        <is>
          <t>HNTN_Game_1.md</t>
        </is>
      </c>
      <c r="I23" s="8" t="n">
        <v>15</v>
      </c>
      <c r="J23" s="8" t="n">
        <v>14</v>
      </c>
      <c r="K23" s="8" t="n">
        <v>2</v>
      </c>
      <c r="L23" s="8" t="n">
        <v>3</v>
      </c>
      <c r="M23" s="8" t="n">
        <v>4</v>
      </c>
      <c r="N23" s="8" t="n">
        <v>1</v>
      </c>
      <c r="O23" s="8" t="n">
        <v>13</v>
      </c>
      <c r="P23" s="8" t="inlineStr">
        <is>
          <t>HNTN wins 15–3, 6 innings (possible mercy rule, Flag #16). CRs: E Elliott for R Bolger (T1, T4) — T1 R credited to R Bolger; T4 CS credited to R Bolger. J Fields for B Marlowe (T4) — R credited to B Marlowe. LNGR_#16 for LNGR_#2 (B3, no R scored). LNGR pitching at T4 (#17) and T6 (#15) inferred from play descriptions (Flags #5, #6). R Gaetano T4 run via unspecified mechanism not credited as RBI (Flag #13).</t>
        </is>
      </c>
    </row>
    <row r="24" ht="15.75" customHeight="1" s="35">
      <c r="A24" s="8" t="inlineStr">
        <is>
          <t>2026-03-14_KNTS_at_HNTN</t>
        </is>
      </c>
      <c r="B24" s="2" t="n">
        <v>46095</v>
      </c>
      <c r="C24" s="8" t="inlineStr">
        <is>
          <t>In-Season Game</t>
        </is>
      </c>
      <c r="D24" s="8" t="inlineStr">
        <is>
          <t>HNTN</t>
        </is>
      </c>
      <c r="E24" s="8" t="inlineStr">
        <is>
          <t>KNTS</t>
        </is>
      </c>
      <c r="F24" s="8" t="inlineStr">
        <is>
          <t>HNTN</t>
        </is>
      </c>
      <c r="G24" s="8" t="n">
        <v>6</v>
      </c>
      <c r="H24" s="8" t="inlineStr">
        <is>
          <t>HNTN_Game_2.md</t>
        </is>
      </c>
      <c r="I24" s="8" t="n">
        <v>11</v>
      </c>
      <c r="J24" s="8" t="n">
        <v>10</v>
      </c>
      <c r="K24" s="8" t="n">
        <v>3</v>
      </c>
      <c r="L24" s="8" t="n">
        <v>6</v>
      </c>
      <c r="M24" s="8" t="n">
        <v>7</v>
      </c>
      <c r="N24" s="8" t="n">
        <v>1</v>
      </c>
      <c r="O24" s="8" t="n">
        <v>14</v>
      </c>
      <c r="P24" s="8" t="inlineStr">
        <is>
          <t>KNTS wins 11–6, 6 innings (possible mercy rule, Flag #17). 14 data integrity flags. KNTS starting pitcher identity unknown (Flag #5). J Hann pitching T6 inferred — no 'Lineup changed' logged (Flag #6). CR E Elliott in for R Gaetano B5 (play #51) — E Elliott out in DP (T Burghard GDP), no R for R Gaetano. J Laur PH for J Walter B6 (play #63, Flag #11). HNTN RBI=4 vs R=6: 2 diff — N McMurray scores on error (play #18), J Hann on WP (play #20). KNTS RBI=9 vs R=11: 2 diff — PB runs plays #45, #49.</t>
        </is>
      </c>
    </row>
    <row r="25" ht="15.75" customHeight="1" s="35">
      <c r="A25" s="8" t="inlineStr">
        <is>
          <t>2026-03-14_HNTN_at_SRVR</t>
        </is>
      </c>
      <c r="B25" s="2" t="n">
        <v>46095</v>
      </c>
      <c r="C25" s="8" t="inlineStr">
        <is>
          <t>In-Season Game</t>
        </is>
      </c>
      <c r="D25" s="8" t="inlineStr">
        <is>
          <t>HNTN</t>
        </is>
      </c>
      <c r="E25" s="8" t="inlineStr">
        <is>
          <t>HNTN</t>
        </is>
      </c>
      <c r="F25" s="8" t="inlineStr">
        <is>
          <t>SRVR</t>
        </is>
      </c>
      <c r="G25" s="8" t="n">
        <v>7</v>
      </c>
      <c r="H25" s="8" t="inlineStr">
        <is>
          <t>HNTN_Game_3.md</t>
        </is>
      </c>
      <c r="I25" s="8" t="n">
        <v>15</v>
      </c>
      <c r="J25" s="8" t="n">
        <v>18</v>
      </c>
      <c r="K25" s="8" t="n">
        <v>1</v>
      </c>
      <c r="L25" s="8" t="n">
        <v>0</v>
      </c>
      <c r="M25" s="8" t="n">
        <v>8</v>
      </c>
      <c r="N25" s="8" t="n">
        <v>5</v>
      </c>
      <c r="O25" s="8" t="n">
        <v>12</v>
      </c>
      <c r="P25" s="8" t="inlineStr">
        <is>
          <t>HNTN wins 15–0, 7 innings (possible mercy rule, Flag #15). 12 data integrity flags. SRVR pitching entirely undocumented — single row SRVR_SP_Unknown, indeterminate if 1 or multiple pitchers used (Flag #5). CRs: L Bennett for R Bolger T4 — out at home DP play #35, no R for R Bolger T4; G Grimes for R Bolger T6 — R credited to R Bolger play #52; J Fields for R Bolger T7 — R credited to R Bolger play #69; J Fields for J Cadden T6 — R credited to J Cadden play #55. T Burghard mid-AB PH for J Hann T7 play #66 (Flag #7). J Laur pitches B4–B5 and bats in R Kessler slot T6 (Flag #6). HNTN RBI=10 vs R=15 — 5 diff: J Walter scores on SS error play #31; J Laur ×2 on SS error plays #51, #65; J Hann T3 tags up on PO (not SAC fly outcome); J Hann T6 ambiguous single vs. catcher error (Flag #13).</t>
        </is>
      </c>
    </row>
    <row r="26" ht="15.75" customHeight="1" s="35">
      <c r="A26" s="8" t="inlineStr">
        <is>
          <t>2026-03-18_NRTH_at_HNTN</t>
        </is>
      </c>
      <c r="B26" s="2" t="n">
        <v>46099</v>
      </c>
      <c r="C26" s="8" t="inlineStr">
        <is>
          <t>In-Season Game</t>
        </is>
      </c>
      <c r="D26" s="8" t="inlineStr">
        <is>
          <t>HNTN</t>
        </is>
      </c>
      <c r="E26" s="8" t="inlineStr">
        <is>
          <t>NRTH</t>
        </is>
      </c>
      <c r="F26" s="8" t="inlineStr">
        <is>
          <t>HNTN</t>
        </is>
      </c>
      <c r="G26" s="8" t="n">
        <v>7</v>
      </c>
      <c r="H26" s="8" t="inlineStr">
        <is>
          <t>HNTN_Game_4.md</t>
        </is>
      </c>
      <c r="I26" s="8" t="n">
        <v>7</v>
      </c>
      <c r="J26" s="8" t="n">
        <v>9</v>
      </c>
      <c r="K26" s="8" t="n">
        <v>2</v>
      </c>
      <c r="L26" s="8" t="n">
        <v>9</v>
      </c>
      <c r="M26" s="8" t="n">
        <v>7</v>
      </c>
      <c r="N26" s="8" t="n">
        <v>4</v>
      </c>
      <c r="O26" s="8" t="n">
        <v>14</v>
      </c>
      <c r="P26" s="8" t="inlineStr">
        <is>
          <t>HNTN wins 9–7; HNTN did not bat in Bot 7th (home team leading — X in line score, Flag #4). 14 data integrity flags. NRTH starting pitcher #8 entry undocumented (Flag #5). HNTN pitching transitions (T Burghard→J Fields and J Fields→L Bennett) non-standard notation (Flag #6). NRTH #16 pitches B6 without logged entry (Flag #7). CR J Walter for R Bolger B4 play #39 — J Walter's R credited to R Bolger. CR C Wargo for J Cadden B6 play #57 — C Wargo R and SB credited to J Cadden; C Wargo (CR) scores on catcher error (no RBI per error rule). C Wargo steals 2nd and home in own batting slot B2 play #19 (Flags #11, #12). T Burghard PH for J Hann B6 (takes slot 2). L Montgomery bats B5 in apparent C Wargo slot with no logged substitution. G6 reflects 6 HNTN innings (18 outs) — HNTN did not bat in Bot 7th. HNTN RBI=7 vs R=9: diff=2 (C Wargo steal of home, C Wargo CR scores on error). NRTH RBI=6 vs R=7: diff=1 (#13 scores on J Cadden SS error play #51).</t>
        </is>
      </c>
    </row>
    <row r="27" ht="15.75" customHeight="1" s="35">
      <c r="A27" s="8" t="inlineStr">
        <is>
          <t>2026-03-20_CLVR_at_HNTN</t>
        </is>
      </c>
      <c r="B27" s="2" t="n">
        <v>46101</v>
      </c>
      <c r="C27" s="8" t="inlineStr">
        <is>
          <t>In-Season Game</t>
        </is>
      </c>
      <c r="D27" s="8" t="inlineStr">
        <is>
          <t>HNTN</t>
        </is>
      </c>
      <c r="E27" s="8" t="inlineStr">
        <is>
          <t>CLVR</t>
        </is>
      </c>
      <c r="F27" s="8" t="inlineStr">
        <is>
          <t>HNTN</t>
        </is>
      </c>
      <c r="G27" s="8" t="n">
        <v>7</v>
      </c>
      <c r="H27" s="8" t="inlineStr">
        <is>
          <t>HNTN_Game_5.md</t>
        </is>
      </c>
      <c r="I27" s="8" t="n">
        <v>0</v>
      </c>
      <c r="J27" s="8" t="n">
        <v>3</v>
      </c>
      <c r="K27" s="8" t="n">
        <v>2</v>
      </c>
      <c r="L27" s="8" t="n">
        <v>4</v>
      </c>
      <c r="M27" s="8" t="n">
        <v>3</v>
      </c>
      <c r="N27" s="8" t="n">
        <v>1</v>
      </c>
      <c r="O27" s="8" t="n">
        <v>14</v>
      </c>
      <c r="P27" s="8" t="inlineStr">
        <is>
          <t>HNTN wins 4–0, 7 innings; HNTN did not bat in Bot 7th (home team leading — X in line score, Flag #4). 14 data integrity flags. CLVR starting pitcher J Lee entry undocumented (Flag #5). J Laur pitches T6–T7 without logged entry (Flag #6). J Leichtweis pitches B6 without logged entry (Flag #7). Circular substitution B4: T Burghard PH for J Laur (walks), J Laur re-enters as PR for T Burghard (Flag #8). CRs: L Bennett for R Bolger B1 play #9 — L Bennett's R credited to R Bolger; L Montgomery for N McMurray B1 play #9 — L Montgomery's R credited to N McMurray (scores on WP play #10). C Wargo steals 2nd/3rd/home B2 plays #17–18 (Flags #10, #11). WPs: J Lee 2 (plays #6, #10; Flag #13 — R Gaetano advances 1st→3rd on single WP); J Leichtweis 3 (play #46 ×2, play #47; Flags #14, #15). G6 reflects 6 HNTN innings (18 outs). HNTN RBI=1 vs R=4: diff=3 (WP, steal of home, catcher error — no RBI on any).</t>
        </is>
      </c>
    </row>
    <row r="28" ht="15.75" customHeight="1" s="35">
      <c r="A28" s="8" t="inlineStr">
        <is>
          <t>2026-03-23_PTXN_at_HNTN</t>
        </is>
      </c>
      <c r="B28" s="2" t="n">
        <v>46104</v>
      </c>
      <c r="C28" s="8" t="inlineStr">
        <is>
          <t>In-Season Game</t>
        </is>
      </c>
      <c r="D28" s="8" t="inlineStr">
        <is>
          <t>HNTN</t>
        </is>
      </c>
      <c r="E28" s="8" t="inlineStr">
        <is>
          <t>PTXN</t>
        </is>
      </c>
      <c r="F28" s="8" t="inlineStr">
        <is>
          <t>HNTN</t>
        </is>
      </c>
      <c r="G28" s="8" t="n">
        <v>7</v>
      </c>
      <c r="H28" s="8" t="inlineStr">
        <is>
          <t>HNTN_Game_6.md</t>
        </is>
      </c>
      <c r="I28" s="8" t="n">
        <v>4</v>
      </c>
      <c r="J28" s="8" t="n">
        <v>8</v>
      </c>
      <c r="K28" s="8" t="n">
        <v>2</v>
      </c>
      <c r="L28" s="8" t="n">
        <v>5</v>
      </c>
      <c r="M28" s="8" t="n">
        <v>10</v>
      </c>
      <c r="N28" s="8" t="n">
        <v>1</v>
      </c>
      <c r="O28" s="8" t="n">
        <v>13</v>
      </c>
      <c r="P28" s="8" t="inlineStr">
        <is>
          <t>HNTN wins 5–4 (walk-off single R Bolger B6 play #58, Flag #13). HNTN did not bat in Bot 7th (home team leading — X in line score, Flag #4). 13 data integrity flags. R Kessler→J Fields non-standard notation (Flag #5). PTXN D Bradley→T Lakey and T Lakey→R Whitney undocumented transitions (Flag #6). B Cowan CS at home T1 play #4 embedded (Flag #7). CR R Hawkins for D Bradley T4 play #35 — R Hawkins does not score (stranded at 3rd). CR L Montgomery for R Bolger B4 play #42 and B6 play #59 — L Montgomery does not score either time. C Wargo SB 3rd B2 play #18 embedded in N McMurray AB. First intentional walk in series (C Jones T7 play #64, Flag #14). PB play #10: J Cadden scores, J Hann advances — PB score only, no RBI for J Laur. G6 reflects 6 HNTN innings (18 outs). HNTN RBI=4 vs R=5: diff=1 (J Cadden scores on PB play #10). PTXN RBI=4 vs R=4: all runs accounted.</t>
        </is>
      </c>
    </row>
    <row r="29" ht="15.75" customHeight="1" s="35">
      <c r="A29" s="8" t="inlineStr">
        <is>
          <t>2026-03-25_MCDN_at_HNTN</t>
        </is>
      </c>
      <c r="B29" s="2" t="n">
        <v>46106</v>
      </c>
      <c r="C29" s="8" t="inlineStr">
        <is>
          <t>In-Season Game</t>
        </is>
      </c>
      <c r="D29" s="8" t="inlineStr">
        <is>
          <t>HNTN</t>
        </is>
      </c>
      <c r="E29" s="8" t="inlineStr">
        <is>
          <t>MCDN</t>
        </is>
      </c>
      <c r="F29" s="8" t="inlineStr">
        <is>
          <t>HNTN</t>
        </is>
      </c>
      <c r="G29" s="8" t="n">
        <v>7</v>
      </c>
      <c r="H29" s="8" t="inlineStr">
        <is>
          <t>HNTN_Game_7.md</t>
        </is>
      </c>
      <c r="I29" s="8" t="n">
        <v>4</v>
      </c>
      <c r="J29" s="8" t="n">
        <v>3</v>
      </c>
      <c r="K29" s="8" t="n">
        <v>3</v>
      </c>
      <c r="L29" s="8" t="n">
        <v>6</v>
      </c>
      <c r="M29" s="8" t="n">
        <v>10</v>
      </c>
      <c r="N29" s="8" t="n">
        <v>0</v>
      </c>
      <c r="O29" s="8" t="n">
        <v>14</v>
      </c>
      <c r="P29" s="8" t="inlineStr">
        <is>
          <t>HNTN wins 6–4; HNTN did not bat in Bot 7th (home team leading — X, Flag #4). 14 data integrity flags. T Burghard→L Bennett non-standard notation (Flag #5); L Bennett→J Laur undocumented (Flag #7). MCDN #20→#18 non-standard notation (Flag #5); #18→#21 undocumented (Flag #6). CR G Grimes for R Bolger B2 play #26 — G Grimes does not score. CR E Elliott for J Laur B5 play #59 and for N McMurray B6 play #69 — E Elliott out at home on R Gaetano FC B6 play #70. MCDN CR #14 for #10 T6 play #62 — #14 scores on #16 GO play #65, R credited to #10 (Flag #15). J Hann foul bunt strikeout B5 play #58 (K_S, Flag #14). N McMurray SBs play #37 and #68; C Wargo SB play #49; R Kessler SB play #49; J Cadden SB play #70. G6 reflects 6 HNTN innings (18 outs). HNTN RBI=5 vs R=6: diff=1 (C Wargo scores on MCDN error play #49 — no RBI). MCDN RBI=3 vs R=4: diff=1 (#3 scores on WP T2 — no RBI).</t>
        </is>
      </c>
    </row>
    <row r="30" ht="15.75" customHeight="1" s="35">
      <c r="A30" s="8" t="inlineStr">
        <is>
          <t>2026-03-30_CHPT_at_HNTN</t>
        </is>
      </c>
      <c r="B30" s="2" t="n">
        <v>46111</v>
      </c>
      <c r="C30" s="8" t="inlineStr">
        <is>
          <t>In-Season Game</t>
        </is>
      </c>
      <c r="D30" s="8" t="inlineStr">
        <is>
          <t>HNTN</t>
        </is>
      </c>
      <c r="E30" s="8" t="inlineStr">
        <is>
          <t>CHPT</t>
        </is>
      </c>
      <c r="F30" s="8" t="inlineStr">
        <is>
          <t>HNTN</t>
        </is>
      </c>
      <c r="G30" s="8" t="n">
        <v>6</v>
      </c>
      <c r="H30" s="8" t="inlineStr">
        <is>
          <t>HNTN_Game_8.md</t>
        </is>
      </c>
      <c r="I30" s="8" t="n">
        <v>2</v>
      </c>
      <c r="J30" s="8" t="n">
        <v>6</v>
      </c>
      <c r="K30" s="8" t="n">
        <v>3</v>
      </c>
      <c r="L30" s="8" t="n">
        <v>12</v>
      </c>
      <c r="M30" s="8" t="n">
        <v>14</v>
      </c>
      <c r="N30" s="8" t="n">
        <v>0</v>
      </c>
      <c r="O30" s="8" t="n">
        <v>14</v>
      </c>
      <c r="P30" s="8" t="inlineStr">
        <is>
          <t>HNTN wins 12–2 in 6 innings (mercy rule likely — Flag #4); HNTN Bot 6th incomplete (game ended with J Hann at bat, 2 outs, play #65). 14 data integrity flags. N McMurray 3 HRs in 3 consecutive ABs plays #25, #41, #58 (7 RBI total, Flag #11). CR R Kessler for N McMurray B1 play #9 — R Kessler stranded at 3rd, N McMurray continues batting (Flag #12). Mid-AB subs: T Burghard for G Grimes B5 play #49 (count 2-1); J Walter for B Marlowe B6 play #62 (Flag #10). CHPT CRs: #7 for #11 T2 play #15 (picked off by N McMurray, Runner Out, Flag #6); #13 for #9 T4 play #31 and T6 play #52 (Flag #13). CHPT pitching: #11 B1–B4 partial (exits before play #40) → #15 B4 partial–B6 partial (exits before play #60) → #13 B6 partial (play #60 onward; Flag #14). CHPT RF and CF errors unnamed (Flag #9) — CHPT_RF_Unknown, CHPT_CF_Unknown keys used. G6 walk-off formula: 6×3 − (3−2) = 17 outs. HNTN RBI=11 vs R=12: diff=1 (J Laur scores on CHPT SS #6 error play #63 embedded — no RBI).</t>
        </is>
      </c>
    </row>
    <row r="31" ht="15.75" customHeight="1" s="35">
      <c r="A31" s="8" t="inlineStr">
        <is>
          <t>2026-04-01_RVRH_at_NRTH</t>
        </is>
      </c>
      <c r="B31" s="2" t="n">
        <v>46113</v>
      </c>
      <c r="C31" s="8" t="inlineStr">
        <is>
          <t>Scrimmage</t>
        </is>
      </c>
      <c r="D31" s="8" t="inlineStr">
        <is>
          <t>RVRH</t>
        </is>
      </c>
      <c r="E31" s="8" t="inlineStr">
        <is>
          <t>RVRH</t>
        </is>
      </c>
      <c r="F31" s="8" t="inlineStr">
        <is>
          <t>NRTH</t>
        </is>
      </c>
      <c r="G31" s="8" t="n">
        <v>7</v>
      </c>
      <c r="H31" s="8" t="inlineStr">
        <is>
          <t>RVRH_Game_1.md</t>
        </is>
      </c>
      <c r="I31" s="8" t="n">
        <v>6</v>
      </c>
      <c r="J31" s="8" t="n">
        <v>9</v>
      </c>
      <c r="K31" s="8" t="n">
        <v>1</v>
      </c>
      <c r="L31" s="8" t="n">
        <v>4</v>
      </c>
      <c r="M31" s="8" t="n">
        <v>3</v>
      </c>
      <c r="N31" s="8" t="n">
        <v>2</v>
      </c>
      <c r="O31" s="8" t="n">
        <v>5</v>
      </c>
      <c r="P31" s="8" t="inlineStr">
        <is>
          <t>RVRH win 6-4, away scrimmage vs. North Point. 7 innings. Courtesy runner C McClellan for G Dang (T1 play #7, T3 play #26). Undocumented pitching transitions: R Walsh B1 entry (Flag #1), E McCoy B4 entry (Flag #2). J Norwood scores on steal of home T3 (embedded play #25) — no RBI awarded. 5 data integrity flags in source log.</t>
        </is>
      </c>
    </row>
    <row r="32" ht="15.75" customHeight="1" s="35">
      <c r="A32" s="8" t="inlineStr">
        <is>
          <t>2026-04-01_OLDM_at_RVRH</t>
        </is>
      </c>
      <c r="B32" s="2" t="n">
        <v>46113</v>
      </c>
      <c r="C32" s="8" t="inlineStr">
        <is>
          <t>Scrimmage</t>
        </is>
      </c>
      <c r="D32" s="8" t="inlineStr">
        <is>
          <t>RVRH</t>
        </is>
      </c>
      <c r="E32" s="8" t="inlineStr">
        <is>
          <t>OLDM</t>
        </is>
      </c>
      <c r="F32" s="8" t="inlineStr">
        <is>
          <t>RVRH</t>
        </is>
      </c>
      <c r="G32" s="8" t="n">
        <v>7</v>
      </c>
      <c r="H32" s="8" t="inlineStr">
        <is>
          <t>RVRH_Game_2.md</t>
        </is>
      </c>
      <c r="I32" s="8" t="n">
        <v>13</v>
      </c>
      <c r="J32" s="8" t="n">
        <v>10</v>
      </c>
      <c r="K32" s="8" t="n">
        <v>1</v>
      </c>
      <c r="L32" s="8" t="n">
        <v>10</v>
      </c>
      <c r="M32" s="8" t="n">
        <v>10</v>
      </c>
      <c r="N32" s="8" t="n">
        <v>2</v>
      </c>
      <c r="O32" s="8" t="n">
        <v>10</v>
      </c>
      <c r="P32" s="8" t="inlineStr">
        <is>
          <t>RVRH loss 10-13, home scrimmage vs. Old Mill. 7 innings. Courtesy runner E Skolkin for H Zhang (B3 play #25). Pinch runners A Jensen (for B Mougey B6, play #58) and J Wilbon (for C Hairston T6, play #54) treated as standard subs — R credited to each. Undocumented pitching transitions: T Martini OLDM B1 (Flag #1), T Richmond OLDM B6 (Flag #2), J Norwood RVRH T7 (Flag #3), C Nichols RVRH T7 (Flag #4), C Koreck OLDM B7 (Flag #5), B Rzepkoski OLDM B7 (Flag #6). S Perron potential illegal re-entry T7 (Flag #8). RVRH RBI=9 vs R=10 — 1-run gap is A Fields scoring on WP (play #81, no RBI). 10 data integrity flags in source log.</t>
        </is>
      </c>
    </row>
    <row r="33" ht="15.75" customHeight="1" s="35">
      <c r="A33" s="8" t="inlineStr">
        <is>
          <t>2026-03-31_DMSC_at_HWRD</t>
        </is>
      </c>
      <c r="B33" s="2" t="n">
        <v>46112</v>
      </c>
      <c r="C33" s="8" t="inlineStr">
        <is>
          <t>In-Season Game</t>
        </is>
      </c>
      <c r="D33" s="8" t="inlineStr">
        <is>
          <t>HWRD</t>
        </is>
      </c>
      <c r="E33" s="8" t="inlineStr">
        <is>
          <t>DMSC</t>
        </is>
      </c>
      <c r="F33" s="8" t="inlineStr">
        <is>
          <t>HWRD</t>
        </is>
      </c>
      <c r="G33" s="8" t="n">
        <v>6</v>
      </c>
      <c r="H33" s="8" t="inlineStr">
        <is>
          <t>Screenshot_2026-04-04_at_12_47_25_PM.png; Screenshot_2026-04-04_at_12_47_31_PM.png</t>
        </is>
      </c>
      <c r="I33" s="8" t="n">
        <v>12</v>
      </c>
      <c r="J33" s="8" t="n">
        <v>10</v>
      </c>
      <c r="K33" s="8" t="n">
        <v>1</v>
      </c>
      <c r="L33" s="8" t="n">
        <v>0</v>
      </c>
      <c r="M33" s="8" t="n">
        <v>2</v>
      </c>
      <c r="N33" s="8" t="n">
        <v>5</v>
      </c>
      <c r="O33" s="8" t="n">
        <v>0</v>
      </c>
      <c r="P33" s="8" t="inlineStr">
        <is>
          <t>DMSC win 12-0, 6 innings, In-Season Game. Damascus Varsity Hornets at Howard Varsity Lions. Data_Tier=2. HWRD pitcher ER sum discrepancy: individual ERs sum to 9 (2+2+4+1) vs team total of 8 — Carter Hudson ER OCR read as 4 [AMBIGUOUS; may be 3]. HBP batter: G Iorio (DMSC) hit by A Proescher (HWRD). HWRD 5 errors attributed to D Alves (x2), C Hudson, Max Parise, Thomas Estrada. [AMBIGUOUS] "Holden #21 (SS)" — single name only; last name not captured in box score.</t>
        </is>
      </c>
    </row>
    <row r="34" ht="15.75" customHeight="1" s="35">
      <c r="A34" s="8" t="inlineStr">
        <is>
          <t>2026-03-21_HWRD_at_HMMN</t>
        </is>
      </c>
      <c r="B34" s="2" t="n">
        <v>46102</v>
      </c>
      <c r="C34" s="8" t="inlineStr">
        <is>
          <t>In-Season Game</t>
        </is>
      </c>
      <c r="D34" s="8" t="inlineStr">
        <is>
          <t>HWRD</t>
        </is>
      </c>
      <c r="E34" s="8" t="inlineStr">
        <is>
          <t>HWRD</t>
        </is>
      </c>
      <c r="F34" s="8" t="inlineStr">
        <is>
          <t>HMMN</t>
        </is>
      </c>
      <c r="G34" s="8" t="n">
        <v>7</v>
      </c>
      <c r="H34" s="8" t="inlineStr">
        <is>
          <t>Screenshot_2026-04-04_at_11_29_39_AM.png; Screenshot_2026-04-04_at_11_30_08_AM.png</t>
        </is>
      </c>
      <c r="I34" s="8" t="n">
        <v>8</v>
      </c>
      <c r="J34" s="8" t="n">
        <v>7</v>
      </c>
      <c r="K34" s="8" t="n">
        <v>4</v>
      </c>
      <c r="L34" s="8" t="n">
        <v>2</v>
      </c>
      <c r="M34" s="8" t="n">
        <v>2</v>
      </c>
      <c r="N34" s="8" t="n">
        <v>5</v>
      </c>
      <c r="O34" s="8" t="n">
        <v>0</v>
      </c>
      <c r="P34" s="8" t="inlineStr">
        <is>
          <t>HWRD win 8-2, 7 innings, In-Season Game. Howard Varsity Lions (Away) at Hammond Varsity Bears (Home). Data_Tier=2. [AMBIGUOUS] Thomas Estrada (HWRD) in SB line but not in batting table — SB not attributed to any row. B Giangrasso ER=0 vs R_Allowed=2 (2 unearned). C Stryker ER=2 vs R_Allowed=5 (3 unearned). G Garris ER=0 vs R_Allowed=1 (1 unearned). HWRD 4 errors: Creighton Lombardi-Gerber (x3), D Alves. HMMN 5 errors: Y Rivera (x3), G Draminski, L Tordella. L Duckworth (HMMN) AB=0 R=1 SB=1 — credited as pinch runner/courtesy runner.</t>
        </is>
      </c>
    </row>
    <row r="35" ht="15.75" customHeight="1" s="35">
      <c r="A35" s="8" t="inlineStr">
        <is>
          <t>2026-03-31_HWRD_at_CRFT</t>
        </is>
      </c>
      <c r="B35" s="2" t="n">
        <v>46112</v>
      </c>
      <c r="C35" s="8" t="inlineStr">
        <is>
          <t>In-Season Game</t>
        </is>
      </c>
      <c r="D35" s="8" t="inlineStr">
        <is>
          <t>HWRD</t>
        </is>
      </c>
      <c r="E35" s="8" t="inlineStr">
        <is>
          <t>HWRD</t>
        </is>
      </c>
      <c r="F35" s="8" t="inlineStr">
        <is>
          <t>CRFT</t>
        </is>
      </c>
      <c r="G35" s="8" t="n">
        <v>5</v>
      </c>
      <c r="H35" s="8" t="inlineStr">
        <is>
          <t>Screenshot_2026-04-04_at_12_46_48_PM.png; Screenshot_2026-04-04_at_12_46_53_PM.png</t>
        </is>
      </c>
      <c r="I35" s="8" t="n">
        <v>12</v>
      </c>
      <c r="J35" s="8" t="n">
        <v>10</v>
      </c>
      <c r="K35" s="8" t="n">
        <v>3</v>
      </c>
      <c r="L35" s="8" t="n">
        <v>11</v>
      </c>
      <c r="M35" s="8" t="n">
        <v>10</v>
      </c>
      <c r="N35" s="8" t="n">
        <v>1</v>
      </c>
      <c r="O35" s="8" t="n">
        <v>0</v>
      </c>
      <c r="P35" s="8" t="inlineStr">
        <is>
          <t>HWRD win 12-11, 5 innings. Howard Varsity Lions at Crofton Varsity Cardinals. Data_Tier=2. Same date as 2026-03-31_DMSC_at_HWRD (HWRD doubleheader — this game 11AM, other 1:30PM). CRFT_#10 ER=0, R_Allowed=5 (5 unearned runs). Z Blair ER=1, R_Allowed=2 (1 unearned run). Ryan Su H_Allowed corrected to 1 via team cross-check (OCR initially read R column as H). CRFT E=1 unattributed (no E line in CRFT batting notes). Advisory: CRFT BB individual sum=9 vs team=8 (1-player discrepancy); CRFT RBI individual sum=8 vs team=9 (CRFT_#10 SF likely not reflected in RBI column).</t>
        </is>
      </c>
    </row>
    <row r="36" ht="15.75" customHeight="1" s="35">
      <c r="A36" s="8" t="inlineStr">
        <is>
          <t>2026-03-30_HWRD_at_MRRT</t>
        </is>
      </c>
      <c r="B36" s="2" t="n">
        <v>46111</v>
      </c>
      <c r="C36" s="8" t="inlineStr">
        <is>
          <t>In-Season Game</t>
        </is>
      </c>
      <c r="D36" s="8" t="inlineStr">
        <is>
          <t>HWRD</t>
        </is>
      </c>
      <c r="E36" s="8" t="inlineStr">
        <is>
          <t>HWRD</t>
        </is>
      </c>
      <c r="F36" s="8" t="inlineStr">
        <is>
          <t>MRRT</t>
        </is>
      </c>
      <c r="G36" s="8" t="n">
        <v>5</v>
      </c>
      <c r="H36" s="8" t="inlineStr">
        <is>
          <t>Screenshot_2026-04-04_at_12_46_23_PM.png; Screenshot_2026-04-04_at_12_46_29_PM.png</t>
        </is>
      </c>
      <c r="I36" s="8" t="n">
        <v>3</v>
      </c>
      <c r="J36" s="8" t="n">
        <v>3</v>
      </c>
      <c r="K36" s="8" t="n">
        <v>5</v>
      </c>
      <c r="L36" s="8" t="n">
        <v>13</v>
      </c>
      <c r="M36" s="8" t="n">
        <v>3</v>
      </c>
      <c r="N36" s="8" t="n">
        <v>2</v>
      </c>
      <c r="O36" s="8" t="n">
        <v>0</v>
      </c>
      <c r="P36" s="8" t="inlineStr">
        <is>
          <t>MRRT win 13-3, 5 innings (mercy rule, B5). Howard Varsity Lions at Marriotts Ridge Varsity Mustangs. Data_Tier=2. HWRD committed 5 errors — heavily impacted unearned run total for MRRT. N Hegedus ER=2, R_Allowed=6 (4 unearned). D Heim ER=5, R_Allowed=6 (1 unearned). Gibson Martin IP=0.0, ER=0, R_Allowed=1 (1 unearned). O Snow ER=1, R_Allowed=3 (2 unearned). CS anomaly: Michael Delmonte (MRRT) in CS line but absent from batting table — likely pinch runner; CS not attributed to any batting row. Advisory: MRRT RBI individual sum=4 vs team=9 (SF RBIs for N Brown and J Devito likely not fully reflected in table; large discrepancy noted).</t>
        </is>
      </c>
    </row>
    <row r="37" ht="15.75" customHeight="1" s="35">
      <c r="A37" s="8" t="inlineStr">
        <is>
          <t>2026-03-23_CPPN_at_PLYV</t>
        </is>
      </c>
      <c r="B37" s="2" t="n">
        <v>46104</v>
      </c>
      <c r="C37" s="8" t="inlineStr">
        <is>
          <t>In-Season Game</t>
        </is>
      </c>
      <c r="D37" s="8" t="inlineStr">
        <is>
          <t>PLYV</t>
        </is>
      </c>
      <c r="E37" s="8" t="inlineStr">
        <is>
          <t>CPPN</t>
        </is>
      </c>
      <c r="F37" s="8" t="inlineStr">
        <is>
          <t>PLYV</t>
        </is>
      </c>
      <c r="G37" s="8" t="n">
        <v>5</v>
      </c>
      <c r="H37" s="8" t="inlineStr">
        <is>
          <t>Screenshot_2026-04-05_at_9_19_31_AM.png; Screenshot_2026-04-05_at_9_19_40_AM.png</t>
        </is>
      </c>
      <c r="I37" s="8" t="n">
        <v>0</v>
      </c>
      <c r="J37" s="8" t="n">
        <v>0</v>
      </c>
      <c r="K37" s="8" t="n">
        <v>3</v>
      </c>
      <c r="L37" s="8" t="n">
        <v>20</v>
      </c>
      <c r="M37" s="8" t="n">
        <v>3</v>
      </c>
      <c r="N37" s="8" t="n">
        <v>1</v>
      </c>
      <c r="O37" s="8" t="n">
        <v>0</v>
      </c>
      <c r="P37" s="8" t="inlineStr">
        <is>
          <t>PLYV win 20-0, 5 innings (mercy rule). Coppin Academy at Poly Varsity Engineers 2026. Data_Tier=2. [AMBIGUOUS] Individual PLYV R values for Hayden Flipovitz (OCR read 0 → corrected 2) and Zachariah Lawrence (OCR read 0 → corrected 1) adjusted via team total cross-check (initial tally 17 vs target 20). CPPN pitching individual ER sum=11 vs TEAM ER=9 (discrepancy of 2; ER not written to schema). Max Freeman threw complete-game shutout no-hitter: 5.0 IP, 0 H, 14 K, 1 BB, 3 WP. K Rice (L) recorded 0 outs with 7 WPs. Both teams new to repository.</t>
        </is>
      </c>
    </row>
    <row r="38" ht="15.75" customHeight="1" s="35">
      <c r="A38" s="8" t="inlineStr">
        <is>
          <t>2026-03-25_DGLS_at_PLYV</t>
        </is>
      </c>
      <c r="B38" s="2" t="n">
        <v>46106</v>
      </c>
      <c r="C38" s="8" t="inlineStr">
        <is>
          <t>In-Season Game</t>
        </is>
      </c>
      <c r="D38" s="8" t="inlineStr">
        <is>
          <t>PLYV</t>
        </is>
      </c>
      <c r="E38" s="8" t="inlineStr">
        <is>
          <t>DGLS</t>
        </is>
      </c>
      <c r="F38" s="8" t="inlineStr">
        <is>
          <t>PLYV</t>
        </is>
      </c>
      <c r="G38" s="8" t="n">
        <v>5</v>
      </c>
      <c r="H38" s="8" t="inlineStr">
        <is>
          <t>Screenshot_2026-04-05_at_12_27_16_PM.png; Screenshot_2026-04-05_at_12_27_27_PM.png</t>
        </is>
      </c>
      <c r="I38" s="8" t="n">
        <v>1</v>
      </c>
      <c r="J38" s="8" t="n">
        <v>3</v>
      </c>
      <c r="K38" s="8" t="n">
        <v>3</v>
      </c>
      <c r="L38" s="8" t="n">
        <v>14</v>
      </c>
      <c r="M38" s="8" t="n">
        <v>11</v>
      </c>
      <c r="N38" s="8" t="n">
        <v>0</v>
      </c>
      <c r="O38" s="8" t="n">
        <v>0</v>
      </c>
      <c r="P38" s="8" t="inlineStr">
        <is>
          <t>PLYV win 14-1, 5 innings. Poly Varsity Engineers 2026 vs. Douglass. Data_Tier=2. DGLS E=3: Isaac Montufar Reyes + leonard jones named; 1 error unattributed. WP: Wilner Vergel-Rivero 1, Deivid Mendoza 1. Ian Dickensheets (W): 4.0 IP, 3H, 1R, 11K. [AMBIGUOUS] PLYV TB line in batting notes includes DGLS player names at end (visual layout overlap); PLYV TB cross-check applied to PLYV players only — all pass.</t>
        </is>
      </c>
    </row>
    <row r="39" ht="15.75" customHeight="1" s="35">
      <c r="A39" s="8" t="inlineStr">
        <is>
          <t>2026-03-27_FRST_at_PLYV</t>
        </is>
      </c>
      <c r="B39" s="2" t="n">
        <v>46108</v>
      </c>
      <c r="C39" s="8" t="inlineStr">
        <is>
          <t>In-Season Game</t>
        </is>
      </c>
      <c r="D39" s="8" t="inlineStr">
        <is>
          <t>PLYV</t>
        </is>
      </c>
      <c r="E39" s="8" t="inlineStr">
        <is>
          <t>FRST</t>
        </is>
      </c>
      <c r="F39" s="8" t="inlineStr">
        <is>
          <t>PLYV</t>
        </is>
      </c>
      <c r="G39" s="8" t="n">
        <v>5</v>
      </c>
      <c r="H39" s="8" t="inlineStr">
        <is>
          <t>Screenshot_2026-04-05_at_1_43_14_PM.png; Screenshot_2026-04-05_at_1_43_21_PM.png</t>
        </is>
      </c>
      <c r="I39" s="8" t="n">
        <v>0</v>
      </c>
      <c r="J39" s="8" t="n">
        <v>0</v>
      </c>
      <c r="K39" s="8" t="n">
        <v>10</v>
      </c>
      <c r="L39" s="8" t="n">
        <v>24</v>
      </c>
      <c r="M39" s="8" t="n">
        <v>13</v>
      </c>
      <c r="N39" s="8" t="n">
        <v>0</v>
      </c>
      <c r="O39" s="8" t="n">
        <v>0</v>
      </c>
      <c r="P39" s="8" t="inlineStr">
        <is>
          <t>PLYV win 24-0, 5 innings. Poly Varsity Engineers 2026 vs. Forest Park Varsity Foresters. Data_Tier=2. FRST E=10: Riddick(3)+Bostic(2)+Laboo(2)+Jones(1)+Moore(1)=9 named; 1 unattributed (G9 advisory). Laboo (L): 2.0 IP, 11 H, 18 R, 7 BB, 1 WP. Riddick: 3.0 IP, HBP_Allowed=1 (Kaden Wooden). PLYV used 5 pitchers, each 1.0 IP, all recorded 3 Ks. No 2B/3B/HR for PLYV — all 13 H are singles; TB cross-check passes for all players. FRST all new to repository (10 new Roster entries).</t>
        </is>
      </c>
    </row>
    <row r="40" ht="15.75" customHeight="1" s="35">
      <c r="A40" s="8" t="inlineStr">
        <is>
          <t>2026-04-04_PLYV_at_ESTR</t>
        </is>
      </c>
      <c r="B40" s="2" t="n">
        <v>46116</v>
      </c>
      <c r="C40" s="8" t="inlineStr">
        <is>
          <t>In-Season Game</t>
        </is>
      </c>
      <c r="D40" s="8" t="inlineStr">
        <is>
          <t>PLYV</t>
        </is>
      </c>
      <c r="E40" s="8" t="inlineStr">
        <is>
          <t>PLYV</t>
        </is>
      </c>
      <c r="F40" s="8" t="inlineStr">
        <is>
          <t>ESTR</t>
        </is>
      </c>
      <c r="G40" s="8" t="n">
        <v>7</v>
      </c>
      <c r="H40" s="8" t="inlineStr">
        <is>
          <t>Screenshot_2026-04-05_at_1_50_56_PM.png; Screenshot_2026-04-05_at_1_51_03_PM.png</t>
        </is>
      </c>
      <c r="I40" s="8" t="n">
        <v>4</v>
      </c>
      <c r="J40" s="8" t="n">
        <v>7</v>
      </c>
      <c r="K40" s="8" t="n">
        <v>3</v>
      </c>
      <c r="L40" s="8" t="n">
        <v>8</v>
      </c>
      <c r="M40" s="8" t="n">
        <v>6</v>
      </c>
      <c r="N40" s="8" t="n">
        <v>3</v>
      </c>
      <c r="O40" s="8" t="n">
        <v>0</v>
      </c>
      <c r="P40" s="8" t="inlineStr">
        <is>
          <t>ESTR win 8-4, 7 innings. Poly Varsity Engineers 2026 at Eastern Tech Varsity Mavericks. Data_Tier=2. [AMBIGUOUS] Ian Dickensheets appears in PLYV CS batting notes line but is absent from PLYV batting table; likely used as courtesy runner — no batting row created; CS not attributed to any batting row. Henry Overton ER=1 vs R_Allowed=4 (3 unearned). Kingston Lawrence ER=1 vs R_Allowed=2 (1 unearned). PLYV E=3: Ikram Khan, Jakeem Mcbride, Kingston Antonio. ESTR E=3: Landry Evans(×2), Nate Noyes. ESTR all new to repository (11 Roster entries).</t>
        </is>
      </c>
    </row>
    <row r="41" ht="15.75" customHeight="1" s="35">
      <c r="A41" s="8" t="inlineStr">
        <is>
          <t>2026-04-04_PRKS_at_PLYV</t>
        </is>
      </c>
      <c r="B41" s="2" t="n">
        <v>46116</v>
      </c>
      <c r="C41" s="8" t="inlineStr">
        <is>
          <t>In-Season Game</t>
        </is>
      </c>
      <c r="D41" s="8" t="inlineStr">
        <is>
          <t>PLYV</t>
        </is>
      </c>
      <c r="E41" s="8" t="inlineStr">
        <is>
          <t>PRKS</t>
        </is>
      </c>
      <c r="F41" s="8" t="inlineStr">
        <is>
          <t>PLYV</t>
        </is>
      </c>
      <c r="G41" s="8" t="n">
        <v>7</v>
      </c>
      <c r="H41" s="8" t="inlineStr">
        <is>
          <t>Screenshot_2026-04-05_at_2_35_02_PM.png; Screenshot_2026-04-05_at_2_35_16_PM.png</t>
        </is>
      </c>
      <c r="I41" s="8" t="n">
        <v>3</v>
      </c>
      <c r="J41" s="8" t="n">
        <v>2</v>
      </c>
      <c r="K41" s="8" t="n">
        <v>4</v>
      </c>
      <c r="L41" s="8" t="n">
        <v>14</v>
      </c>
      <c r="M41" s="8" t="n">
        <v>16</v>
      </c>
      <c r="N41" s="8" t="n">
        <v>3</v>
      </c>
      <c r="O41" s="8" t="n">
        <v>0</v>
      </c>
      <c r="P41" s="8" t="inlineStr">
        <is>
          <t>PLYV win 14-3, 7 innings. Park School Varsity Bruins at Poly Varsity Engineers 2026. Data_Tier=2. Same date as 2026-04-04_PLYV_at_ESTR (PLYV doubleheader). [AMBIGUOUS] Jakeem Mcbride OCR R=0 corrected to R=1 (individual sum 13 vs target 14; walked and scored — consistent with box score context). Advisory: Individual PRKS RBI sum=0 vs TEAM RBI=2 — 3 PRKS runs likely scored via errors/WPs with no RBI credited to batters; noted, not resolvable from box score. Max Freeman (W): 4.0 IP, 1H, 1R, 0 ER, 5K. Nathaniel Barry ER=2=R_Allowed. PLYV E=3: Ashton Hill, Ikram Khan, Kaden Wooden. PRKS E=4: Luca Jordan(×3), Dylan Katz. PRKS all new to repository (12 entries). Kingston Antonio bats and pitches.</t>
        </is>
      </c>
    </row>
    <row r="42" ht="15.75" customHeight="1" s="35">
      <c r="A42" s="8" t="inlineStr">
        <is>
          <t>2026-03-14_CNTN_at_WSTM</t>
        </is>
      </c>
      <c r="B42" s="2" t="n">
        <v>46095</v>
      </c>
      <c r="C42" s="8" t="inlineStr">
        <is>
          <t>In-Season Game</t>
        </is>
      </c>
      <c r="D42" s="8" t="inlineStr">
        <is>
          <t>CNTN</t>
        </is>
      </c>
      <c r="E42" s="8" t="inlineStr">
        <is>
          <t>CNTN</t>
        </is>
      </c>
      <c r="F42" s="8" t="inlineStr">
        <is>
          <t>WSTM</t>
        </is>
      </c>
      <c r="G42" s="8" t="n">
        <v>7</v>
      </c>
      <c r="H42" s="8" t="inlineStr">
        <is>
          <t>Centennial_Game_1.md</t>
        </is>
      </c>
      <c r="I42" s="8" t="n">
        <v>1</v>
      </c>
      <c r="J42" s="8" t="n">
        <v>2</v>
      </c>
      <c r="K42" s="8" t="n">
        <v>4</v>
      </c>
      <c r="L42" s="8" t="n">
        <v>5</v>
      </c>
      <c r="M42" s="8" t="n">
        <v>4</v>
      </c>
      <c r="N42" s="8" t="n">
        <v>0</v>
      </c>
      <c r="O42" s="8" t="n">
        <v>5</v>
      </c>
      <c r="P42" s="8" t="inlineStr">
        <is>
          <t>WSTM wins 5-1 (7 inn). CNTN lone run via PB T4 (C Bade). WSTM runs: error(B2), balk(B3), 1B(B3), WP(B3), WP(B4) — RBI advisory: WSTM 5R, 1 RBI (4 runs via error/balk/WP, no RBI awarded). C Stachera CNTN opening pitcher inferred (Flag #1). W Shepperd WSTM T6 pitcher inferred (Flag #2). B Corrao mid-AB sub for A Gauthier T6. CR J Stone for W Shepperd B4 — SB credited to W Shepperd. Play #54 B7 J Cedeno not counted (Flag #5 — WSTM did not bat). Player IDs per log: "B" and "Paul" are sole identifiers (no last name/jersey). 5 QA flags.</t>
        </is>
      </c>
    </row>
    <row r="43" ht="15.75" customHeight="1" s="35">
      <c r="A43" s="8" t="inlineStr">
        <is>
          <t>2026-03-21_CNTN_at_WLDL</t>
        </is>
      </c>
      <c r="B43" s="2" t="n">
        <v>46102</v>
      </c>
      <c r="C43" s="8" t="inlineStr">
        <is>
          <t>In-Season Game</t>
        </is>
      </c>
      <c r="D43" s="8" t="inlineStr">
        <is>
          <t>CNTN</t>
        </is>
      </c>
      <c r="E43" s="8" t="inlineStr">
        <is>
          <t>CNTN</t>
        </is>
      </c>
      <c r="F43" s="8" t="inlineStr">
        <is>
          <t>WLDL</t>
        </is>
      </c>
      <c r="G43" s="8" t="n">
        <v>5</v>
      </c>
      <c r="H43" s="8" t="inlineStr">
        <is>
          <t>Centennial_Game_2.md</t>
        </is>
      </c>
      <c r="I43" s="8" t="n">
        <v>10</v>
      </c>
      <c r="J43" s="8" t="n">
        <v>9</v>
      </c>
      <c r="K43" s="8" t="n">
        <v>0</v>
      </c>
      <c r="L43" s="8" t="n">
        <v>0</v>
      </c>
      <c r="M43" s="8" t="n">
        <v>0</v>
      </c>
      <c r="N43" s="8" t="n">
        <v>3</v>
      </c>
      <c r="O43" s="8" t="n">
        <v>8</v>
      </c>
      <c r="P43" s="8" t="inlineStr">
        <is>
          <t>CNTN wins 10-0 (5 inn, run rule inferred per Flags #7/#8). Scoring: 2R T1 (WP/error — no RBI for 2 of those runs), 2R T2, 3R T4, 3R T5. RBI advisory: 10R, 8 RBI (2 runs via WP play #4 and error play #5 carry no RBI). R Schmidt T3-T5 pitching inferred (Flag #1); B Habershon T5 inferred (Flag #2); T4 pitcher unidentified — attributed to R Schmidt as last named WLDL pitcher. E Rayne CNTN B5 pitcher inferred (Flag #3). Duplicate C Stachera lineup note play #25 (Flag #4). E Ogg PR for C Stachera T3 — SB credited to E Ogg; C Stachera continues batting/pitching (Flag #6 anomaly). Play #48 T6 B Harris not counted (Flag #8 — line score shows 5 inn only). 8 QA flags.</t>
        </is>
      </c>
    </row>
    <row r="44" ht="15.75" customHeight="1" s="35">
      <c r="A44" s="8" t="inlineStr">
        <is>
          <t>2026-03-23_HMMN_at_CNTN</t>
        </is>
      </c>
      <c r="B44" s="2" t="n">
        <v>46104</v>
      </c>
      <c r="C44" s="8" t="inlineStr">
        <is>
          <t>In-Season Game</t>
        </is>
      </c>
      <c r="D44" s="8" t="inlineStr">
        <is>
          <t>CNTN</t>
        </is>
      </c>
      <c r="E44" s="8" t="inlineStr">
        <is>
          <t>HMMN</t>
        </is>
      </c>
      <c r="F44" s="8" t="inlineStr">
        <is>
          <t>CNTN</t>
        </is>
      </c>
      <c r="G44" s="8" t="n">
        <v>7</v>
      </c>
      <c r="H44" s="8" t="inlineStr">
        <is>
          <t>Centennial_Game_3.md</t>
        </is>
      </c>
      <c r="I44" s="8" t="n">
        <v>1</v>
      </c>
      <c r="J44" s="8" t="n">
        <v>4</v>
      </c>
      <c r="K44" s="8" t="n">
        <v>0</v>
      </c>
      <c r="L44" s="8" t="n">
        <v>10</v>
      </c>
      <c r="M44" s="8" t="n">
        <v>12</v>
      </c>
      <c r="N44" s="8" t="n">
        <v>3</v>
      </c>
      <c r="O44" s="8" t="n">
        <v>7</v>
      </c>
      <c r="P44" s="8" t="inlineStr">
        <is>
          <t>CNTN wins 10-1 (7 inn, CNTN home, B7 not played per Flag #7). HMMN sole run T5: Y Rivera steals 2nd (SB), advances 3rd on CNTN Error #1 (B Harris catcher), scores on CNTN Error #2 (C Bade CF) — all embedded in J Willis AB; no RBI for J Willis (RBI advisory: 1R, 0 RBI). CNTN scoring: 1R B1 (E Rayne 2B), 8R B5 (bases-clearing inning), 1R B6 (L Choe SAC fly). D Bhatt HMMN opening pitcher inferred (Flag #1). B Garris HMMN B5 entry inferred (Flag #2). L Duckworth mid-AB entry documented play #50. E Rayne B2 pop-fly DP (C Stachera Runner Out at home on tag-up; GDP credited to E Rayne). E Ogg CR for B Harris: B3 play #27 (does not score) and B5 play #45 (scores play #47, R credited to B Harris per CR rule; Flags #5, #6). N Macomber bats T7 in D Bhatt slot without documented sub (Flag #6). T Thomas mid-AB sub for G Garris T7 (play #63, documented); K Gardner mid-AB sub for Y Rivera T7 (play #65, documented). C Bade HBP B5 pitch seq ends "Ball 4" not HBP notation (Flag #4). Play #66 B7 E Rayne not counted (Flag #7, line score X). Flag numbering inconsistency in log (two Flag #4s).</t>
        </is>
      </c>
    </row>
    <row r="45" ht="15.75" customHeight="1" s="35">
      <c r="A45" s="8" t="inlineStr">
        <is>
          <t>2026-03-26_MRRT_at_CNTN</t>
        </is>
      </c>
      <c r="B45" s="2" t="n">
        <v>46107</v>
      </c>
      <c r="C45" s="8" t="inlineStr">
        <is>
          <t>In-Season Game</t>
        </is>
      </c>
      <c r="D45" s="8" t="inlineStr">
        <is>
          <t>CNTN</t>
        </is>
      </c>
      <c r="E45" s="8" t="inlineStr">
        <is>
          <t>MRRT</t>
        </is>
      </c>
      <c r="F45" s="8" t="inlineStr">
        <is>
          <t>CNTN</t>
        </is>
      </c>
      <c r="G45" s="8" t="n">
        <v>7</v>
      </c>
      <c r="H45" s="8" t="inlineStr">
        <is>
          <t>Centennial_Game_4.md</t>
        </is>
      </c>
      <c r="I45" s="8" t="n">
        <v>1</v>
      </c>
      <c r="J45" s="8" t="n">
        <v>5</v>
      </c>
      <c r="K45" s="8" t="n">
        <v>1</v>
      </c>
      <c r="L45" s="8" t="n">
        <v>3</v>
      </c>
      <c r="M45" s="8" t="n">
        <v>7</v>
      </c>
      <c r="N45" s="8" t="n">
        <v>1</v>
      </c>
      <c r="O45" s="8" t="n">
        <v>9</v>
      </c>
      <c r="P45" s="8" t="inlineStr">
        <is>
          <t>CNTN win 3-1 (7 inn, CNTN home, B7 not played per Flag #9). MRRT sole run T6: N Brown scores (mechanism not stated, Flag #6) — no RBI awarded (RBI advisory: MRRT 1R, 0 RBI). CNTN scoring: 1R B1 (B Harris 1B, aided by MRRT Error #1 M Delmonte LF), 1R B2 (A Gauthier 2B), 1R B3 (B Harris 2B). T Smith MRRT opening pitcher inferred (Flag #1). B Johnston CNTN T6 entry inferred (Flag #2). SB: C Bade B3 (play #25 embedded), A Gauthier B6 (play #56 embedded). WP: T Smith B2 (play #18 embedded — L Choe adv 2nd). PB: catcher B Harris B6 (J Devito adv 3rd play #52 embedded) — PB not in schema. CR E Ogg for B Harris ×3 (plays #10, #26, #45; Flag #8). M Parson sub for S Grams T7 (Flag #7). A Hlavaty sub for M Delmonte T7. CNTN Error #1: B Johnston (P) play #60 embedded. MRRT Error #1: M Delmonte (LF) play #9.</t>
        </is>
      </c>
    </row>
    <row r="46" ht="15.75" customHeight="1" s="35">
      <c r="A46" s="8" t="inlineStr">
        <is>
          <t>2026-03-31_CRFT_at_CNTN</t>
        </is>
      </c>
      <c r="B46" s="2" t="n">
        <v>46112</v>
      </c>
      <c r="C46" s="8" t="inlineStr">
        <is>
          <t>In-Season Game</t>
        </is>
      </c>
      <c r="D46" s="8" t="inlineStr">
        <is>
          <t>CNTN</t>
        </is>
      </c>
      <c r="E46" s="8" t="inlineStr">
        <is>
          <t>CRFT</t>
        </is>
      </c>
      <c r="F46" s="8" t="inlineStr">
        <is>
          <t>CNTN</t>
        </is>
      </c>
      <c r="G46" s="8" t="n">
        <v>7</v>
      </c>
      <c r="H46" s="8" t="inlineStr">
        <is>
          <t>Centennial_Game_5.md</t>
        </is>
      </c>
      <c r="I46" s="8" t="n">
        <v>9</v>
      </c>
      <c r="J46" s="8" t="n">
        <v>6</v>
      </c>
      <c r="K46" s="8" t="n">
        <v>0</v>
      </c>
      <c r="L46" s="8" t="n">
        <v>0</v>
      </c>
      <c r="M46" s="8" t="n">
        <v>1</v>
      </c>
      <c r="N46" s="8" t="n">
        <v>5</v>
      </c>
      <c r="O46" s="8" t="n">
        <v>8</v>
      </c>
      <c r="P46" s="8" t="inlineStr">
        <is>
          <t>CRFT win 9-0 (7 inn, CNTN home). CRFT scoring: 2R T2 (N Truman &amp; K Willis score on G Gallow 2B); 1R T3 (M Brown-Mitchell scores on B White SacFly); 2R T6 (N Kehs/L Davis CR scores G Gallow 1B; X Bejar scores E Colgan SAC); 4R T7 (B White scores N Kehs 2B; N Kehs &amp; J Gifford score K Willis error #4; K Willis scores — mechanism unstated Flag #6). CRFT opening pitcher A Weber inferred (Flag #1). J Gifford B7 pitcher entry inferred (Flag #2). CR L Davis for N Kehs T6 plays #44,#46 — L Davis run credited to N Kehs. CR E Ogg for B Harris ×3 (plays #9,#32,#52). Phantom T8 entry (play #65) skipped (Flag #8). M Brown-Mitchell T3 triple per scorer despite misplay note (Flag #5). RBI advisory: CRFT 9R, 6 RBI — 3 unaccounted (2 on error play #58, 1 unstated mechanism play #59 Flag #6). CNTN 0R, 0 RBI.</t>
        </is>
      </c>
    </row>
    <row r="47" ht="15.75" customHeight="1" s="35">
      <c r="A47" s="8" t="inlineStr">
        <is>
          <t>2026-03-31_CNTN_at_WLTR</t>
        </is>
      </c>
      <c r="B47" s="2" t="n">
        <v>46112</v>
      </c>
      <c r="C47" s="8" t="inlineStr">
        <is>
          <t>In-Season Game</t>
        </is>
      </c>
      <c r="D47" s="8" t="inlineStr">
        <is>
          <t>CNTN</t>
        </is>
      </c>
      <c r="E47" s="8" t="inlineStr">
        <is>
          <t>CNTN</t>
        </is>
      </c>
      <c r="F47" s="8" t="inlineStr">
        <is>
          <t>WLTR</t>
        </is>
      </c>
      <c r="G47" s="8" t="n">
        <v>7</v>
      </c>
      <c r="H47" s="8" t="inlineStr">
        <is>
          <t>Centennial_Game_6.md</t>
        </is>
      </c>
      <c r="I47" s="8" t="n">
        <v>3</v>
      </c>
      <c r="J47" s="8" t="n">
        <v>5</v>
      </c>
      <c r="K47" s="8" t="n">
        <v>5</v>
      </c>
      <c r="L47" s="8" t="n">
        <v>3</v>
      </c>
      <c r="M47" s="8" t="n">
        <v>6</v>
      </c>
      <c r="N47" s="8" t="n">
        <v>4</v>
      </c>
      <c r="O47" s="8" t="n">
        <v>7</v>
      </c>
      <c r="P47" s="8" t="inlineStr">
        <is>
          <t>3-3 tie — game called during Top 8th (time limit, Flag #7; 7 complete inn). CNTN scoring: 3R T2 (E Ogg/B Harris scores D Hill 1B; B Corrao scores A Gauthier walk; D Hill scores E Rayne walk). WLTR scoring: 1R B1 (C Martin/S Weston CR scores on C Stachera WP); 1R B3 (S Weston scores on C Stachera error CNTN E#3, embedded in G Matalia D3S AB); 1R B6 (H Bauer scores J Gilder SacFly). CR E Ogg for B Harris ×3 (plays #11,#26,#62); CR C Proescher for C Stachera (play #27 T3). CR C Martin for S Weston B1 play #7 — C Martin SB play #7 credited to S Weston; C Martin/S Weston run play #9 credited to S Weston. J Pena Simon caught stealing home B7 play #66 (Flag #2). Phantom T8 entry (play #68) — C Stachera at bat, no outcome, game called (Flag #7). RBI advisory: WLTR 3R, 1 RBI — 2 unaccounted (WP play #9, error play #31). CNTN 3R, 3 RBI — all accounted.</t>
        </is>
      </c>
    </row>
    <row r="48" ht="15.75" customHeight="1" s="35">
      <c r="A48" s="8" t="inlineStr">
        <is>
          <t>2026-03-21_SVRN_at_STHR</t>
        </is>
      </c>
      <c r="B48" s="2" t="n">
        <v>46102</v>
      </c>
      <c r="C48" s="8" t="inlineStr">
        <is>
          <t>In-Season Game</t>
        </is>
      </c>
      <c r="D48" s="8" t="inlineStr">
        <is>
          <t>STHR</t>
        </is>
      </c>
      <c r="E48" s="8" t="inlineStr">
        <is>
          <t>SVRN</t>
        </is>
      </c>
      <c r="F48" s="8" t="inlineStr">
        <is>
          <t>STHR</t>
        </is>
      </c>
      <c r="G48" s="8" t="n">
        <v>6.5</v>
      </c>
      <c r="H48" s="8" t="inlineStr">
        <is>
          <t>Southern_Game_4.md</t>
        </is>
      </c>
      <c r="I48" s="8" t="n">
        <v>2</v>
      </c>
      <c r="J48" s="8" t="n">
        <v>5</v>
      </c>
      <c r="K48" s="8" t="n">
        <v>0</v>
      </c>
      <c r="L48" s="8" t="n">
        <v>4</v>
      </c>
      <c r="M48" s="8" t="n">
        <v>6</v>
      </c>
      <c r="N48" s="8" t="n">
        <v>1</v>
      </c>
      <c r="O48" s="8" t="n">
        <v>7</v>
      </c>
      <c r="P48" s="8" t="inlineStr">
        <is>
          <t>Year not specified in source; 2026 assumed. I Benson (STHR) entered without lineup note, inferred play #39 (Flag #1). A Heinrich (SVRN) started without lineup note, inferred (Flag #1). K Shankovich steal of home T4 play #34 (Flag #3). SVRN RBI advisory: RBI=1 vs R=2; K Shankovich steal of home no RBI per rule.</t>
        </is>
      </c>
    </row>
    <row r="49" ht="15.75" customHeight="1" s="35">
      <c r="A49" s="8" t="inlineStr">
        <is>
          <t>2026-03-23_STHR_at_SRVR</t>
        </is>
      </c>
      <c r="B49" s="2" t="n">
        <v>46104</v>
      </c>
      <c r="C49" s="8" t="inlineStr">
        <is>
          <t>In-Season Game</t>
        </is>
      </c>
      <c r="D49" s="8" t="inlineStr">
        <is>
          <t>STHR</t>
        </is>
      </c>
      <c r="E49" s="8" t="inlineStr">
        <is>
          <t>STHR</t>
        </is>
      </c>
      <c r="F49" s="8" t="inlineStr">
        <is>
          <t>SRVR</t>
        </is>
      </c>
      <c r="G49" s="8" t="n">
        <v>5</v>
      </c>
      <c r="H49" s="8" t="inlineStr">
        <is>
          <t>Southern_Game_5.md</t>
        </is>
      </c>
      <c r="I49" s="8" t="n">
        <v>18</v>
      </c>
      <c r="J49" s="8" t="n">
        <v>12</v>
      </c>
      <c r="K49" s="8" t="n">
        <v>2</v>
      </c>
      <c r="L49" s="8" t="n">
        <v>8</v>
      </c>
      <c r="M49" s="8" t="n">
        <v>7</v>
      </c>
      <c r="N49" s="8" t="n">
        <v>0</v>
      </c>
      <c r="O49" s="8" t="n">
        <v>9</v>
      </c>
      <c r="P49" s="8" t="inlineStr">
        <is>
          <t>Year assumed 2026. Both teams originally abbreviated STHR in source log (Flag #1); South River recoded SRVR. N Youmans (STHR) start inferred, no lineup note (Flag #3). Unknown SRVR starting pitcher replaced before facing any batter (Flag #2). J Hall/#11 dual notation (Flag #8). G Bowen (STHR) enters T5 without lineup note. Courtesy runner J Hall for Decker B3 (play #42): R credited to Decker. N Youmans balk play #26. STHR RBI advisory: RBI=17 vs R=18; B Bowers scores T3 play #30 on WP, no RBI. SRVR RBI advisory: RBI=7 vs R=8; G Kunst scores B2 play #25 on WP, no RBI.</t>
        </is>
      </c>
    </row>
    <row r="50" ht="15.75" customHeight="1" s="35">
      <c r="A50" s="8" t="inlineStr">
        <is>
          <t>2026-03-25_MDVR_at_STHR</t>
        </is>
      </c>
      <c r="B50" s="2" t="n">
        <v>46106</v>
      </c>
      <c r="C50" s="8" t="inlineStr">
        <is>
          <t>In-Season Game</t>
        </is>
      </c>
      <c r="D50" s="8" t="inlineStr">
        <is>
          <t>STHR</t>
        </is>
      </c>
      <c r="E50" s="8" t="inlineStr">
        <is>
          <t>MDVR</t>
        </is>
      </c>
      <c r="F50" s="8" t="inlineStr">
        <is>
          <t>STHR</t>
        </is>
      </c>
      <c r="G50" s="8" t="n">
        <v>4.5</v>
      </c>
      <c r="H50" s="8" t="inlineStr">
        <is>
          <t>Southern_Game_6.md</t>
        </is>
      </c>
      <c r="I50" s="8" t="n">
        <v>0</v>
      </c>
      <c r="J50" s="8" t="n">
        <v>0</v>
      </c>
      <c r="K50" s="8" t="n">
        <v>9</v>
      </c>
      <c r="L50" s="8" t="n">
        <v>30</v>
      </c>
      <c r="M50" s="8" t="n">
        <v>11</v>
      </c>
      <c r="N50" s="8" t="n">
        <v>0</v>
      </c>
      <c r="O50" s="8" t="n">
        <v>9</v>
      </c>
      <c r="P50" s="8" t="inlineStr">
        <is>
          <t>Year assumed 2026. STHR combined no-hitter (I Benson, A Richard, T Evan; Flag #1). T Evan (STHR) entered T5 as pitcher without lineup note (Flag #2); was batter B2-B4. T Veith (STHR) and G Godfrey (STHR) entered lineup without lineup notes. J Dunkerly PH for B Crandell #26; N Simmons PH for G Crandell #28; T Evan PH for N Youmans #29; G Perkins PH for C Perkins #34. A Richard balk play #41 (L Groff adv 2nd). L Dejesus balk play #64 (C Parks adv 2nd). 3 MDVR errors with unknown fielder (Flag #7: plays #36, #54, #62). STHR RBI advisory: RBI=17 vs R=30; 13 runs on WP(×6), E(×4), PB(×1), ROE(×2) — no RBI per rule.</t>
        </is>
      </c>
    </row>
    <row r="51" ht="15.75" customHeight="1" s="35">
      <c r="A51" s="8" t="inlineStr">
        <is>
          <t>2026-03-14_NRTH_at_STHR</t>
        </is>
      </c>
      <c r="B51" s="3" t="n">
        <v>46095</v>
      </c>
      <c r="C51" s="8" t="inlineStr">
        <is>
          <t>In-Season Game</t>
        </is>
      </c>
      <c r="D51" s="8" t="inlineStr">
        <is>
          <t>STHR</t>
        </is>
      </c>
      <c r="E51" s="8" t="inlineStr">
        <is>
          <t>NRTH</t>
        </is>
      </c>
      <c r="F51" s="8" t="inlineStr">
        <is>
          <t>STHR</t>
        </is>
      </c>
      <c r="G51" s="8" t="n">
        <v>7</v>
      </c>
      <c r="H51" s="8" t="inlineStr">
        <is>
          <t>Southern_Game_1.md</t>
        </is>
      </c>
      <c r="I51" s="8" t="n">
        <v>12</v>
      </c>
      <c r="J51" s="8" t="n">
        <v>8</v>
      </c>
      <c r="K51" s="8" t="n">
        <v>5</v>
      </c>
      <c r="L51" s="8" t="n">
        <v>9</v>
      </c>
      <c r="M51" s="8" t="n">
        <v>11</v>
      </c>
      <c r="N51" s="8" t="n">
        <v>4</v>
      </c>
      <c r="O51" s="8" t="n">
        <v>6</v>
      </c>
      <c r="P51" s="8" t="inlineStr">
        <is>
          <t>NRTH win 12-9, 7 innings. Year not in log; 2026 inferred from repository context. B Irvin (NRTH) entry inferred from play descriptions, no lineup-change note (Flag #1). Courtesy runner W Thomas in for G Bowen play #66; R credited to G Bowen. 4 NRTH runs scored without RBI (error plays #36 #55; WP play #45; PB play #54). 2 STHR runs scored without RBI on error play #79. Sub inconsistencies per Flags #2 #5. 6 data integrity flags in source log.</t>
        </is>
      </c>
    </row>
    <row r="52" ht="15.75" customHeight="1" s="35">
      <c r="A52" s="8" t="inlineStr">
        <is>
          <t>2026-03-14_STHR_at_ATHL</t>
        </is>
      </c>
      <c r="B52" s="3" t="n">
        <v>46095</v>
      </c>
      <c r="C52" s="8" t="inlineStr">
        <is>
          <t>In-Season Game</t>
        </is>
      </c>
      <c r="D52" s="8" t="inlineStr">
        <is>
          <t>STHR</t>
        </is>
      </c>
      <c r="E52" s="8" t="inlineStr">
        <is>
          <t>STHR</t>
        </is>
      </c>
      <c r="F52" s="8" t="inlineStr">
        <is>
          <t>ATHL</t>
        </is>
      </c>
      <c r="G52" s="8" t="n">
        <v>7</v>
      </c>
      <c r="H52" s="8" t="inlineStr">
        <is>
          <t>Southern_Game_2.md</t>
        </is>
      </c>
      <c r="I52" s="8" t="n">
        <v>9</v>
      </c>
      <c r="J52" s="8" t="n">
        <v>9</v>
      </c>
      <c r="K52" s="8" t="n">
        <v>3</v>
      </c>
      <c r="L52" s="8" t="n">
        <v>10</v>
      </c>
      <c r="M52" s="8" t="n">
        <v>12</v>
      </c>
      <c r="N52" s="8" t="n">
        <v>2</v>
      </c>
      <c r="O52" s="8" t="n">
        <v>7</v>
      </c>
      <c r="P52" s="8" t="inlineStr">
        <is>
          <t>ATHL wins 10-9, 7 innings (walk-off WP B7). Year not in log; 2026 inferred from Game 1 context. N Youmans (STHR) entry inferred play #5, no lineup-change note (Flag #1). Pinch runner J Dunkerly in for G Crandell play #60; run (WP) credited to G Crandell per CR rule. Courtesy runner T Veith in for C Perkins play #70; C Perkins did not score. RBI advisory: STHR 9R, 7 RBI — 2 unaccounted (steal of home play #61 J Colton; WP play #60 G Crandell via J Dunkerly). ATHL 10R, 6 RBI — 4 unaccounted (error play #42, WP plays #44, #56, #76).</t>
        </is>
      </c>
    </row>
    <row r="53" ht="15.75" customHeight="1" s="35">
      <c r="A53" s="8" t="inlineStr">
        <is>
          <t>2026-03-18_PTXN_at_STHR</t>
        </is>
      </c>
      <c r="B53" s="3" t="n">
        <v>46099</v>
      </c>
      <c r="C53" s="8" t="inlineStr">
        <is>
          <t>In-Season Game</t>
        </is>
      </c>
      <c r="D53" s="8" t="inlineStr">
        <is>
          <t>STHR</t>
        </is>
      </c>
      <c r="E53" s="8" t="inlineStr">
        <is>
          <t>PTXN</t>
        </is>
      </c>
      <c r="F53" s="8" t="inlineStr">
        <is>
          <t>STHR</t>
        </is>
      </c>
      <c r="G53" s="8" t="n">
        <v>7</v>
      </c>
      <c r="H53" s="8" t="inlineStr">
        <is>
          <t>Southern_Game_3.md</t>
        </is>
      </c>
      <c r="I53" s="8" t="n">
        <v>8</v>
      </c>
      <c r="J53" s="8" t="n">
        <v>4</v>
      </c>
      <c r="K53" s="8" t="n">
        <v>2</v>
      </c>
      <c r="L53" s="8" t="n">
        <v>2</v>
      </c>
      <c r="M53" s="8" t="n">
        <v>2</v>
      </c>
      <c r="N53" s="8" t="n">
        <v>3</v>
      </c>
      <c r="O53" s="8" t="n">
        <v>9</v>
      </c>
      <c r="P53" s="8" t="inlineStr">
        <is>
          <t>PTXN wins 8-2, 7 innings. Year not in log; 2026 inferred. PTXN pitchers R Whitney (B1), T Lakey (B2), N Kelly (B3) entries inferred — no lineup-change notes (Flag #2). CR J Dunkerly for C Perkins B3; J Dunkerly CS play #23 — no run scored. CR G Bowen for C Parks B4; G Bowen out on FC play #37 — no run scored. Scorekeeper-ended inning T5 play #45 (Flag #5); outs counter authoritative at 3. Balk by A Richard play #42 (Flag #8). Play #45 not counted as additional N Sands PA. RBI advisory: PTXN 8R, 4 RBI — 4 unaccounted (WP #28, PB #30, WP #43, error #53). STHR 2R, 2 RBI — all accounted. Flag #6: incomplete T8 header ignored (7-inning complete game).</t>
        </is>
      </c>
    </row>
    <row r="54" ht="15.75" customHeight="1" s="35">
      <c r="A54" s="8" t="inlineStr">
        <is>
          <t>2026-03-26_ANNP_at_STHR</t>
        </is>
      </c>
      <c r="B54" s="3" t="inlineStr">
        <is>
          <t>2026-03-26</t>
        </is>
      </c>
      <c r="C54" s="8" t="inlineStr">
        <is>
          <t>In-Season Game</t>
        </is>
      </c>
      <c r="D54" s="8" t="inlineStr">
        <is>
          <t>STHR</t>
        </is>
      </c>
      <c r="E54" s="8" t="inlineStr">
        <is>
          <t>ANNP</t>
        </is>
      </c>
      <c r="F54" s="8" t="inlineStr">
        <is>
          <t>STHR</t>
        </is>
      </c>
      <c r="G54" s="8" t="n">
        <v>7</v>
      </c>
      <c r="H54" s="8" t="inlineStr">
        <is>
          <t>Southern_Game_7.md</t>
        </is>
      </c>
      <c r="I54" s="8" t="n">
        <v>11</v>
      </c>
      <c r="J54" s="8" t="n">
        <v>7</v>
      </c>
      <c r="K54" s="8" t="n">
        <v>1</v>
      </c>
      <c r="L54" s="8" t="n">
        <v>9</v>
      </c>
      <c r="M54" s="8" t="n">
        <v>6</v>
      </c>
      <c r="N54" s="8" t="n">
        <v>2</v>
      </c>
      <c r="O54" s="8" t="n">
        <v>8</v>
      </c>
      <c r="P54" s="8" t="inlineStr">
        <is>
          <t>ANNP wins 11-9, 7 innings. Year not in log; 2026 inferred from repository context. C Parks (STHR) entry as pitcher inferred from play descriptions, no lineup-change note (Flag #1). B Sale (ANNP) entry as starting pitcher inferred, no lineup-change note (Flag #1). W Thomas (STHR) dual role: bats Bottom 2/4/6, pitches Top 6-7; duplicate pitcher notation play #66 is re-confirmation (Flag #6). J Dunkerly permanent pinch runner for B Bowers play #60; run credited to J Dunkerly. Courtesy runner J Boivin in for M Keen play #57 (M Keen singled); J Boivin does not score — no run credited to M Keen. ANNP RBI advisory: 11 R, 9 RBI — 2 unaccounted (W Meyer and C LaRouche score on W Goulet error play #52). STHR RBI advisory: 9 R, 7 RBI — 2 unaccounted (G Crandell scores on error play #70; J Colton scores on WP play #74). Incomplete Top 8 header with no completed plays ignored (Flag #4).</t>
        </is>
      </c>
    </row>
    <row r="55" ht="15.75" customHeight="1" s="35">
      <c r="A55" s="8" t="inlineStr">
        <is>
          <t>2026-03-28_PRKS_at_STHR</t>
        </is>
      </c>
      <c r="B55" s="3" t="inlineStr">
        <is>
          <t>2026-03-28</t>
        </is>
      </c>
      <c r="C55" s="8" t="inlineStr">
        <is>
          <t>In-Season Game</t>
        </is>
      </c>
      <c r="D55" s="8" t="inlineStr">
        <is>
          <t>STHR</t>
        </is>
      </c>
      <c r="E55" s="8" t="inlineStr">
        <is>
          <t>PRKS</t>
        </is>
      </c>
      <c r="F55" s="8" t="inlineStr">
        <is>
          <t>STHR</t>
        </is>
      </c>
      <c r="G55" s="8" t="n">
        <v>7</v>
      </c>
      <c r="H55" s="8" t="inlineStr">
        <is>
          <t>Southern_Game_8.md</t>
        </is>
      </c>
      <c r="I55" s="8" t="n">
        <v>14</v>
      </c>
      <c r="J55" s="8" t="n">
        <v>12</v>
      </c>
      <c r="K55" s="8" t="n">
        <v>3</v>
      </c>
      <c r="L55" s="8" t="n">
        <v>2</v>
      </c>
      <c r="M55" s="8" t="n">
        <v>8</v>
      </c>
      <c r="N55" s="8" t="n">
        <v>6</v>
      </c>
      <c r="O55" s="8" t="n">
        <v>9</v>
      </c>
      <c r="P55" s="8" t="inlineStr">
        <is>
          <t>PRKS wins 14-2, 7 innings. Year not in log; 2026 inferred from repository context. N Youmans (STHR) documented starting pitcher play #1. G Godfrey (STHR) entry as pitcher inferred, no lineup-change note (plays #43-44 then Top 6) — Flag #2. W Thomas (STHR) entry as pitcher inferred at play #70, no lineup-change note — Flag #2. P Green (PRKS) and A Kinhart (PRKS) entry as pitchers inferred, no lineup-change notes — Flag #2. P Green (PRKS) and A Kinhart (PRKS) are two-way players (bat Top innings, pitch Bottom innings). G Godfrey (STHR) two-way player (pitches Top innings, bats Bottom innings). Error play #29: catcher C Perkins error recorded under PRKS errors per game log (C Perkins bats for STHR; inconsistency recorded as logged — Flag #1). B Michaud thrown out at home on B Crandell 1B play #62 (complex relay, Flag #7). P Green steal of home play #66 (embedded, Flag #4). PRKS RBI advisory: 14 R, 7 RBI — 7 unaccounted (error plays #20 #29 #38 #57x2; WP play #41; steal of home play #66). STHR RBI advisory: 2 R, 1 RBI — 1 unaccounted (B Crandell scores on A Agoglia error play #24). Incomplete Top 8 header with no completed plays ignored (Flag #8).</t>
        </is>
      </c>
    </row>
    <row r="56" ht="15.75" customHeight="1" s="35">
      <c r="A56" s="0" t="inlineStr">
        <is>
          <t>2026-04-08_GLNL_at_GLFR</t>
        </is>
      </c>
      <c r="B56" s="0" t="inlineStr">
        <is>
          <t>2026-04-08</t>
        </is>
      </c>
      <c r="C56" s="0" t="inlineStr">
        <is>
          <t>In-Season Game</t>
        </is>
      </c>
      <c r="D56" s="0" t="inlineStr">
        <is>
          <t>GLNL</t>
        </is>
      </c>
      <c r="E56" s="0" t="inlineStr">
        <is>
          <t>GLNL</t>
        </is>
      </c>
      <c r="F56" s="0" t="inlineStr">
        <is>
          <t>GLFR</t>
        </is>
      </c>
      <c r="G56" s="0" t="n">
        <v>5</v>
      </c>
      <c r="H56" s="0" t="inlineStr">
        <is>
          <t>RVRH_Game_1.md</t>
        </is>
      </c>
      <c r="I56" s="0" t="n">
        <v>25</v>
      </c>
      <c r="J56" s="0" t="n">
        <v>13</v>
      </c>
      <c r="K56" s="0" t="n">
        <v>2</v>
      </c>
      <c r="L56" s="0" t="n">
        <v>5</v>
      </c>
      <c r="M56" s="0" t="n">
        <v>6</v>
      </c>
      <c r="N56" s="0" t="n">
        <v>5</v>
      </c>
      <c r="O56" s="0" t="n">
        <v>9</v>
      </c>
      <c r="P56" s="0" t="inlineStr">
        <is>
          <t>Game ended after 5 innings (25-5 GLNL). Known discrepancy: GLNL hits - Section 2 reports 13 but play log yields 19 hits, using Section 2 figure per protocol. Courtesy runner J Jones credited runs to G Melhuish. Multiple balks, embedded SB events noted. Undocumented M Melhuish pitcher entry flagged.</t>
        </is>
      </c>
    </row>
    <row r="57" ht="15.75" customHeight="1" s="35">
      <c r="A57" s="0" t="inlineStr">
        <is>
          <t>2026-04-09_RVRH_at_CNTN</t>
        </is>
      </c>
      <c r="B57" s="0" t="inlineStr">
        <is>
          <t>2026-04-09</t>
        </is>
      </c>
      <c r="C57" s="0" t="inlineStr">
        <is>
          <t>In-Season Game</t>
        </is>
      </c>
      <c r="D57" s="0" t="inlineStr">
        <is>
          <t>RVRH</t>
        </is>
      </c>
      <c r="E57" s="0" t="inlineStr">
        <is>
          <t>RVRH</t>
        </is>
      </c>
      <c r="F57" s="0" t="inlineStr">
        <is>
          <t>CNTN</t>
        </is>
      </c>
      <c r="G57" s="0" t="n">
        <v>7</v>
      </c>
      <c r="H57" s="0" t="inlineStr">
        <is>
          <t>RVRH_Game_01.md</t>
        </is>
      </c>
      <c r="I57" s="0" t="n">
        <v>3</v>
      </c>
      <c r="J57" s="0" t="n">
        <v>7</v>
      </c>
      <c r="K57" s="0" t="n">
        <v>0</v>
      </c>
      <c r="L57" s="0" t="n">
        <v>1</v>
      </c>
      <c r="M57" s="0" t="n">
        <v>2</v>
      </c>
      <c r="N57" s="0" t="n">
        <v>1</v>
      </c>
      <c r="O57" s="0" t="n">
        <v>1</v>
      </c>
      <c r="P57" s="0" t="inlineStr">
        <is>
          <t>Complete 7-inning game, RVRH wins 3-1. Two courtesy runners used: E Skolkin for G Dang (credited to G Dang), B Bixby for R Walsh (credited to R Walsh). One error by E Rayne (CNTN pitcher). Flag #1: incomplete pitch sequence on Runner Out play #30.</t>
        </is>
      </c>
    </row>
    <row r="58" ht="15.75" customHeight="1" s="35">
      <c r="A58" t="inlineStr">
        <is>
          <t>2026-04-08_HWRD_at_RVRH</t>
        </is>
      </c>
      <c r="B58" t="inlineStr">
        <is>
          <t>2026-04-08</t>
        </is>
      </c>
      <c r="C58" t="inlineStr">
        <is>
          <t>In-Season Game</t>
        </is>
      </c>
      <c r="D58" t="inlineStr">
        <is>
          <t>RVRH</t>
        </is>
      </c>
      <c r="E58" t="inlineStr">
        <is>
          <t>HWRD</t>
        </is>
      </c>
      <c r="F58" t="inlineStr">
        <is>
          <t>RVRH</t>
        </is>
      </c>
      <c r="G58" t="n">
        <v>7</v>
      </c>
      <c r="H58" t="inlineStr">
        <is>
          <t>RVRH_Game_1.md</t>
        </is>
      </c>
      <c r="I58" t="n">
        <v>3</v>
      </c>
      <c r="J58" t="n">
        <v>6</v>
      </c>
      <c r="K58" t="n">
        <v>1</v>
      </c>
      <c r="L58" t="n">
        <v>3</v>
      </c>
      <c r="M58" t="n">
        <v>9</v>
      </c>
      <c r="N58" t="n">
        <v>2</v>
      </c>
      <c r="O58" t="n">
        <v>5</v>
      </c>
      <c r="P58" t="inlineStr">
        <is>
          <t>Walk-off HR by J Norwood in 7th; Courtesy runners: M Parise for A Proescher (R credited to A Proescher), T Estrada for N Hegedus (R credited to N Hegedus), C McClellan for G Dang (R credited to G Dang), E Skolkin for H Zhang (no runs); Known discrepancy: G2 target substituted from play-by-play (3) vs team total (2) per Flag #1</t>
        </is>
      </c>
    </row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290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F2" sqref="F2"/>
    </sheetView>
  </sheetViews>
  <sheetFormatPr baseColWidth="8" defaultColWidth="14.43" defaultRowHeight="15" customHeight="1"/>
  <cols>
    <col width="28" customWidth="1" style="35" min="1" max="1"/>
    <col width="12" customWidth="1" style="35" min="2" max="2"/>
    <col width="22" customWidth="1" style="35" min="3" max="3"/>
    <col width="6" customWidth="1" style="35" min="4" max="4"/>
    <col width="16" customWidth="1" style="35" min="5" max="5"/>
    <col width="5" customWidth="1" style="35" min="6" max="24"/>
    <col width="70" customWidth="1" style="35" min="25" max="25"/>
  </cols>
  <sheetData>
    <row r="1">
      <c r="A1" s="4" t="inlineStr">
        <is>
          <t>Game_ID</t>
        </is>
      </c>
      <c r="B1" s="4" t="inlineStr">
        <is>
          <t>Game_Date</t>
        </is>
      </c>
      <c r="C1" s="4" t="inlineStr">
        <is>
          <t>Opponent</t>
        </is>
      </c>
      <c r="D1" s="4" t="inlineStr">
        <is>
          <t>Team</t>
        </is>
      </c>
      <c r="E1" s="4" t="inlineStr">
        <is>
          <t>Player</t>
        </is>
      </c>
      <c r="F1" s="4" t="inlineStr">
        <is>
          <t>PA</t>
        </is>
      </c>
      <c r="G1" s="4" t="inlineStr">
        <is>
          <t>AB</t>
        </is>
      </c>
      <c r="H1" s="4" t="inlineStr">
        <is>
          <t>H</t>
        </is>
      </c>
      <c r="I1" s="4" t="inlineStr">
        <is>
          <t>1B</t>
        </is>
      </c>
      <c r="J1" s="4" t="inlineStr">
        <is>
          <t>2B</t>
        </is>
      </c>
      <c r="K1" s="4" t="inlineStr">
        <is>
          <t>3B</t>
        </is>
      </c>
      <c r="L1" s="4" t="inlineStr">
        <is>
          <t>HR</t>
        </is>
      </c>
      <c r="M1" s="4" t="inlineStr">
        <is>
          <t>BB</t>
        </is>
      </c>
      <c r="N1" s="4" t="inlineStr">
        <is>
          <t>HBP</t>
        </is>
      </c>
      <c r="O1" s="4" t="inlineStr">
        <is>
          <t>K</t>
        </is>
      </c>
      <c r="P1" s="4" t="inlineStr">
        <is>
          <t>K_L</t>
        </is>
      </c>
      <c r="Q1" s="4" t="inlineStr">
        <is>
          <t>K_S</t>
        </is>
      </c>
      <c r="R1" s="4" t="inlineStr">
        <is>
          <t>R</t>
        </is>
      </c>
      <c r="S1" s="4" t="inlineStr">
        <is>
          <t>RBI</t>
        </is>
      </c>
      <c r="T1" s="4" t="inlineStr">
        <is>
          <t>SB</t>
        </is>
      </c>
      <c r="U1" s="4" t="inlineStr">
        <is>
          <t>CS</t>
        </is>
      </c>
      <c r="V1" s="4" t="inlineStr">
        <is>
          <t>GDP</t>
        </is>
      </c>
      <c r="W1" s="4" t="inlineStr">
        <is>
          <t>SAC</t>
        </is>
      </c>
      <c r="X1" s="4" t="inlineStr">
        <is>
          <t>FC</t>
        </is>
      </c>
      <c r="Y1" s="4" t="inlineStr">
        <is>
          <t>Notes</t>
        </is>
      </c>
    </row>
    <row r="2" ht="31.5" customHeight="1" s="35">
      <c r="A2" s="8" t="inlineStr">
        <is>
          <t>2026-03-10_RVRH_at_WSTF</t>
        </is>
      </c>
      <c r="B2" s="2" t="n">
        <v>46091</v>
      </c>
      <c r="C2" s="8" t="inlineStr">
        <is>
          <t>Westfield High School</t>
        </is>
      </c>
      <c r="D2" s="8" t="inlineStr">
        <is>
          <t>RVRH</t>
        </is>
      </c>
      <c r="E2" s="8" t="inlineStr">
        <is>
          <t>R Walsh</t>
        </is>
      </c>
      <c r="F2" s="8" t="n">
        <v>4</v>
      </c>
      <c r="G2" s="8" t="n">
        <v>3</v>
      </c>
      <c r="H2" s="8" t="n">
        <v>2</v>
      </c>
      <c r="I2" s="8" t="n">
        <v>1</v>
      </c>
      <c r="J2" s="8" t="n">
        <v>1</v>
      </c>
      <c r="K2" s="8" t="n">
        <v>0</v>
      </c>
      <c r="L2" s="8" t="n">
        <v>0</v>
      </c>
      <c r="M2" s="8" t="n">
        <v>1</v>
      </c>
      <c r="N2" s="8" t="n">
        <v>0</v>
      </c>
      <c r="O2" s="8" t="n">
        <v>0</v>
      </c>
      <c r="P2" s="8" t="n">
        <v>0</v>
      </c>
      <c r="Q2" s="8" t="n">
        <v>0</v>
      </c>
      <c r="R2" s="8" t="n">
        <v>2</v>
      </c>
      <c r="S2" s="8" t="n">
        <v>2</v>
      </c>
      <c r="T2" s="8" t="n">
        <v>0</v>
      </c>
      <c r="U2" s="8" t="n">
        <v>0</v>
      </c>
      <c r="V2" s="8" t="n">
        <v>0</v>
      </c>
      <c r="W2" s="8" t="n">
        <v>0</v>
      </c>
      <c r="X2" s="8" t="n">
        <v>0</v>
      </c>
      <c r="Y2" s="8" t="inlineStr">
        <is>
          <t>R in T1 via CR B Bixby (play #3); 2 RBI on T4 single (play #33); replaced by L Kreisl PH in T8</t>
        </is>
      </c>
    </row>
    <row r="3" ht="31.5" customHeight="1" s="35">
      <c r="A3" s="8" t="inlineStr">
        <is>
          <t>2026-03-10_RVRH_at_WSTF</t>
        </is>
      </c>
      <c r="B3" s="2" t="n">
        <v>46091</v>
      </c>
      <c r="C3" s="8" t="inlineStr">
        <is>
          <t>Westfield High School</t>
        </is>
      </c>
      <c r="D3" s="8" t="inlineStr">
        <is>
          <t>RVRH</t>
        </is>
      </c>
      <c r="E3" s="8" t="inlineStr">
        <is>
          <t>C Reis</t>
        </is>
      </c>
      <c r="F3" s="8" t="n">
        <v>4</v>
      </c>
      <c r="G3" s="8" t="n">
        <v>4</v>
      </c>
      <c r="H3" s="8" t="n">
        <v>2</v>
      </c>
      <c r="I3" s="8" t="n">
        <v>2</v>
      </c>
      <c r="J3" s="8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8" t="n">
        <v>0</v>
      </c>
      <c r="P3" s="8" t="n">
        <v>0</v>
      </c>
      <c r="Q3" s="8" t="n">
        <v>0</v>
      </c>
      <c r="R3" s="8" t="n">
        <v>1</v>
      </c>
      <c r="S3" s="8" t="n">
        <v>2</v>
      </c>
      <c r="T3" s="8" t="n">
        <v>0</v>
      </c>
      <c r="U3" s="8" t="n">
        <v>0</v>
      </c>
      <c r="V3" s="8" t="n">
        <v>0</v>
      </c>
      <c r="W3" s="8" t="n">
        <v>0</v>
      </c>
      <c r="X3" s="8" t="n">
        <v>0</v>
      </c>
      <c r="Y3" s="8" t="inlineStr">
        <is>
          <t>Scores T1 play #4 (H Zhang singles); 2 RBI on T4 single (play #34); also pitches B7</t>
        </is>
      </c>
    </row>
    <row r="4" ht="31.5" customHeight="1" s="35">
      <c r="A4" s="8" t="inlineStr">
        <is>
          <t>2026-03-10_RVRH_at_WSTF</t>
        </is>
      </c>
      <c r="B4" s="2" t="n">
        <v>46091</v>
      </c>
      <c r="C4" s="8" t="inlineStr">
        <is>
          <t>Westfield High School</t>
        </is>
      </c>
      <c r="D4" s="8" t="inlineStr">
        <is>
          <t>RVRH</t>
        </is>
      </c>
      <c r="E4" s="8" t="inlineStr">
        <is>
          <t>J Norwood</t>
        </is>
      </c>
      <c r="F4" s="8" t="n">
        <v>4</v>
      </c>
      <c r="G4" s="8" t="n">
        <v>4</v>
      </c>
      <c r="H4" s="8" t="n">
        <v>3</v>
      </c>
      <c r="I4" s="8" t="n">
        <v>2</v>
      </c>
      <c r="J4" s="8" t="n">
        <v>1</v>
      </c>
      <c r="K4" s="8" t="n">
        <v>0</v>
      </c>
      <c r="L4" s="8" t="n">
        <v>0</v>
      </c>
      <c r="M4" s="8" t="n">
        <v>0</v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1</v>
      </c>
      <c r="S4" s="8" t="n">
        <v>1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1</v>
      </c>
      <c r="Y4" s="8" t="inlineStr">
        <is>
          <t>FC play #35; sub inconsistency plays #58/#59 (Flag #1); CR B Bixby used T3+T7; also pitches B3 (inferred)</t>
        </is>
      </c>
    </row>
    <row r="5" ht="31.5" customHeight="1" s="35">
      <c r="A5" s="8" t="inlineStr">
        <is>
          <t>2026-03-10_RVRH_at_WSTF</t>
        </is>
      </c>
      <c r="B5" s="2" t="n">
        <v>46091</v>
      </c>
      <c r="C5" s="8" t="inlineStr">
        <is>
          <t>Westfield High School</t>
        </is>
      </c>
      <c r="D5" s="8" t="inlineStr">
        <is>
          <t>RVRH</t>
        </is>
      </c>
      <c r="E5" s="8" t="inlineStr">
        <is>
          <t>H Zhang</t>
        </is>
      </c>
      <c r="F5" s="8" t="n">
        <v>3</v>
      </c>
      <c r="G5" s="8" t="n">
        <v>2</v>
      </c>
      <c r="H5" s="8" t="n">
        <v>1</v>
      </c>
      <c r="I5" s="8" t="n">
        <v>1</v>
      </c>
      <c r="J5" s="8" t="n">
        <v>0</v>
      </c>
      <c r="K5" s="8" t="n">
        <v>0</v>
      </c>
      <c r="L5" s="8" t="n">
        <v>0</v>
      </c>
      <c r="M5" s="8" t="n">
        <v>1</v>
      </c>
      <c r="N5" s="8" t="n">
        <v>0</v>
      </c>
      <c r="O5" s="8" t="n">
        <v>1</v>
      </c>
      <c r="P5" s="8" t="n">
        <v>0</v>
      </c>
      <c r="Q5" s="8" t="n">
        <v>1</v>
      </c>
      <c r="R5" s="8" t="n">
        <v>0</v>
      </c>
      <c r="S5" s="8" t="n">
        <v>1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inlineStr">
        <is>
          <t>RBI on T1 single (play #4); K_S in T5</t>
        </is>
      </c>
    </row>
    <row r="6" ht="31.5" customHeight="1" s="35">
      <c r="A6" s="8" t="inlineStr">
        <is>
          <t>2026-03-10_RVRH_at_WSTF</t>
        </is>
      </c>
      <c r="B6" s="2" t="n">
        <v>46091</v>
      </c>
      <c r="C6" s="8" t="inlineStr">
        <is>
          <t>Westfield High School</t>
        </is>
      </c>
      <c r="D6" s="8" t="inlineStr">
        <is>
          <t>RVRH</t>
        </is>
      </c>
      <c r="E6" s="8" t="inlineStr">
        <is>
          <t>C Naecker</t>
        </is>
      </c>
      <c r="F6" s="8" t="n">
        <v>3</v>
      </c>
      <c r="G6" s="8" t="n">
        <v>2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1</v>
      </c>
      <c r="N6" s="8" t="n">
        <v>0</v>
      </c>
      <c r="O6" s="8" t="n">
        <v>1</v>
      </c>
      <c r="P6" s="8" t="n">
        <v>0</v>
      </c>
      <c r="Q6" s="8" t="n">
        <v>1</v>
      </c>
      <c r="R6" s="8" t="n">
        <v>0</v>
      </c>
      <c r="S6" s="8" t="n">
        <v>1</v>
      </c>
      <c r="T6" s="8" t="n">
        <v>1</v>
      </c>
      <c r="U6" s="8" t="n">
        <v>0</v>
      </c>
      <c r="V6" s="8" t="n">
        <v>0</v>
      </c>
      <c r="W6" s="8" t="n">
        <v>0</v>
      </c>
      <c r="X6" s="8" t="n">
        <v>0</v>
      </c>
      <c r="Y6" s="8" t="inlineStr">
        <is>
          <t>RBI via productive GO T1 (play #5); SB embedded in play #43 pitch seq; replaced by R Ronayne PH T7</t>
        </is>
      </c>
    </row>
    <row r="7" ht="31.5" customHeight="1" s="35">
      <c r="A7" s="8" t="inlineStr">
        <is>
          <t>2026-03-10_RVRH_at_WSTF</t>
        </is>
      </c>
      <c r="B7" s="2" t="n">
        <v>46091</v>
      </c>
      <c r="C7" s="8" t="inlineStr">
        <is>
          <t>Westfield High School</t>
        </is>
      </c>
      <c r="D7" s="8" t="inlineStr">
        <is>
          <t>RVRH</t>
        </is>
      </c>
      <c r="E7" s="8" t="inlineStr">
        <is>
          <t>G Dang</t>
        </is>
      </c>
      <c r="F7" s="8" t="n">
        <v>3</v>
      </c>
      <c r="G7" s="8" t="n">
        <v>3</v>
      </c>
      <c r="H7" s="8" t="n">
        <v>1</v>
      </c>
      <c r="I7" s="8" t="n">
        <v>1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1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1</v>
      </c>
      <c r="Y7" s="8" t="inlineStr">
        <is>
          <t>R via CR E Skolkin scoring play #33; CR used from T4 onward; FC play #6</t>
        </is>
      </c>
    </row>
    <row r="8" ht="31.5" customHeight="1" s="35">
      <c r="A8" s="8" t="inlineStr">
        <is>
          <t>2026-03-10_RVRH_at_WSTF</t>
        </is>
      </c>
      <c r="B8" s="2" t="n">
        <v>46091</v>
      </c>
      <c r="C8" s="8" t="inlineStr">
        <is>
          <t>Westfield High School</t>
        </is>
      </c>
      <c r="D8" s="8" t="inlineStr">
        <is>
          <t>RVRH</t>
        </is>
      </c>
      <c r="E8" s="8" t="inlineStr">
        <is>
          <t>A Fields</t>
        </is>
      </c>
      <c r="F8" s="8" t="n">
        <v>4</v>
      </c>
      <c r="G8" s="8" t="n">
        <v>2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2</v>
      </c>
      <c r="N8" s="8" t="n">
        <v>0</v>
      </c>
      <c r="O8" s="8" t="n">
        <v>1</v>
      </c>
      <c r="P8" s="8" t="n">
        <v>1</v>
      </c>
      <c r="Q8" s="8" t="n">
        <v>0</v>
      </c>
      <c r="R8" s="8" t="n">
        <v>1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inlineStr">
        <is>
          <t>K_L play #44; scores on throw play #33; 2 BB; also plays 2B</t>
        </is>
      </c>
    </row>
    <row r="9" ht="31.5" customHeight="1" s="35">
      <c r="A9" s="8" t="inlineStr">
        <is>
          <t>2026-03-10_RVRH_at_WSTF</t>
        </is>
      </c>
      <c r="B9" s="2" t="n">
        <v>46091</v>
      </c>
      <c r="C9" s="8" t="inlineStr">
        <is>
          <t>Westfield High School</t>
        </is>
      </c>
      <c r="D9" s="8" t="inlineStr">
        <is>
          <t>RVRH</t>
        </is>
      </c>
      <c r="E9" s="8" t="inlineStr">
        <is>
          <t>E McCoy</t>
        </is>
      </c>
      <c r="F9" s="8" t="n">
        <v>4</v>
      </c>
      <c r="G9" s="8" t="n">
        <v>3</v>
      </c>
      <c r="H9" s="8" t="n">
        <v>1</v>
      </c>
      <c r="I9" s="8" t="n">
        <v>1</v>
      </c>
      <c r="J9" s="8" t="n">
        <v>0</v>
      </c>
      <c r="K9" s="8" t="n">
        <v>0</v>
      </c>
      <c r="L9" s="8" t="n">
        <v>0</v>
      </c>
      <c r="M9" s="8" t="n">
        <v>1</v>
      </c>
      <c r="N9" s="8" t="n">
        <v>0</v>
      </c>
      <c r="O9" s="8" t="n">
        <v>2</v>
      </c>
      <c r="P9" s="8" t="n">
        <v>0</v>
      </c>
      <c r="Q9" s="8" t="n">
        <v>2</v>
      </c>
      <c r="R9" s="8" t="n">
        <v>1</v>
      </c>
      <c r="S9" s="8" t="n">
        <v>0</v>
      </c>
      <c r="T9" s="8" t="n">
        <v>0</v>
      </c>
      <c r="U9" s="8" t="n">
        <v>1</v>
      </c>
      <c r="V9" s="8" t="n">
        <v>0</v>
      </c>
      <c r="W9" s="8" t="n">
        <v>0</v>
      </c>
      <c r="X9" s="8" t="n">
        <v>0</v>
      </c>
      <c r="Y9" s="8" t="inlineStr">
        <is>
          <t>K play #62 was dropped 3rd strike (out at 1B); CS embedded in play #52 pitch seq; also plays CF</t>
        </is>
      </c>
    </row>
    <row r="10" ht="31.5" customHeight="1" s="35">
      <c r="A10" s="8" t="inlineStr">
        <is>
          <t>2026-03-10_RVRH_at_WSTF</t>
        </is>
      </c>
      <c r="B10" s="2" t="n">
        <v>46091</v>
      </c>
      <c r="C10" s="8" t="inlineStr">
        <is>
          <t>Westfield High School</t>
        </is>
      </c>
      <c r="D10" s="8" t="inlineStr">
        <is>
          <t>RVRH</t>
        </is>
      </c>
      <c r="E10" s="8" t="inlineStr">
        <is>
          <t>C Nichols</t>
        </is>
      </c>
      <c r="F10" s="8" t="n">
        <v>3</v>
      </c>
      <c r="G10" s="8" t="n">
        <v>3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3</v>
      </c>
      <c r="P10" s="8" t="n">
        <v>1</v>
      </c>
      <c r="Q10" s="8" t="n">
        <v>2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inlineStr">
        <is>
          <t>K_L play #66; K_S plays #14 and #31; also pitches B8</t>
        </is>
      </c>
    </row>
    <row r="11" ht="31.5" customHeight="1" s="35">
      <c r="A11" s="8" t="inlineStr">
        <is>
          <t>2026-03-10_RVRH_at_WSTF</t>
        </is>
      </c>
      <c r="B11" s="2" t="n">
        <v>46091</v>
      </c>
      <c r="C11" s="8" t="inlineStr">
        <is>
          <t>Westfield High School</t>
        </is>
      </c>
      <c r="D11" s="8" t="inlineStr">
        <is>
          <t>RVRH</t>
        </is>
      </c>
      <c r="E11" s="8" t="inlineStr">
        <is>
          <t>A Contreras</t>
        </is>
      </c>
      <c r="F11" s="8" t="n">
        <v>3</v>
      </c>
      <c r="G11" s="8" t="n">
        <v>3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1</v>
      </c>
      <c r="P11" s="8" t="n">
        <v>0</v>
      </c>
      <c r="Q11" s="8" t="n">
        <v>1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inlineStr">
        <is>
          <t>Replaced by B Mougey PH in T8</t>
        </is>
      </c>
    </row>
    <row r="12" ht="31.5" customHeight="1" s="35">
      <c r="A12" s="8" t="inlineStr">
        <is>
          <t>2026-03-10_RVRH_at_WSTF</t>
        </is>
      </c>
      <c r="B12" s="2" t="n">
        <v>46091</v>
      </c>
      <c r="C12" s="8" t="inlineStr">
        <is>
          <t>Westfield High School</t>
        </is>
      </c>
      <c r="D12" s="8" t="inlineStr">
        <is>
          <t>RVRH</t>
        </is>
      </c>
      <c r="E12" s="8" t="inlineStr">
        <is>
          <t>B Bixby</t>
        </is>
      </c>
      <c r="F12" s="8" t="n">
        <v>1</v>
      </c>
      <c r="G12" s="8" t="n">
        <v>1</v>
      </c>
      <c r="H12" s="8" t="n">
        <v>0</v>
      </c>
      <c r="I12" s="8" t="n">
        <v>0</v>
      </c>
      <c r="J12" s="8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inlineStr">
        <is>
          <t>Bats T7 play #58; CR for R Walsh (T1) and J Norwood (T3); sub inconsistency see Flag #1</t>
        </is>
      </c>
    </row>
    <row r="13" ht="31.5" customHeight="1" s="35">
      <c r="A13" s="8" t="inlineStr">
        <is>
          <t>2026-03-10_RVRH_at_WSTF</t>
        </is>
      </c>
      <c r="B13" s="2" t="n">
        <v>46091</v>
      </c>
      <c r="C13" s="8" t="inlineStr">
        <is>
          <t>Westfield High School</t>
        </is>
      </c>
      <c r="D13" s="8" t="inlineStr">
        <is>
          <t>RVRH</t>
        </is>
      </c>
      <c r="E13" s="8" t="inlineStr">
        <is>
          <t>R Ronayne</t>
        </is>
      </c>
      <c r="F13" s="8" t="n">
        <v>1</v>
      </c>
      <c r="G13" s="8" t="n">
        <v>1</v>
      </c>
      <c r="H13" s="8" t="n">
        <v>0</v>
      </c>
      <c r="I13" s="8" t="n">
        <v>0</v>
      </c>
      <c r="J13" s="8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8" t="n">
        <v>1</v>
      </c>
      <c r="P13" s="8" t="n">
        <v>0</v>
      </c>
      <c r="Q13" s="8" t="n">
        <v>1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inlineStr">
        <is>
          <t>PH for C Naecker T7 (play #60); also pitches B5-B6</t>
        </is>
      </c>
    </row>
    <row r="14" ht="31.5" customHeight="1" s="35">
      <c r="A14" s="8" t="inlineStr">
        <is>
          <t>2026-03-10_RVRH_at_WSTF</t>
        </is>
      </c>
      <c r="B14" s="2" t="n">
        <v>46091</v>
      </c>
      <c r="C14" s="8" t="inlineStr">
        <is>
          <t>Westfield High School</t>
        </is>
      </c>
      <c r="D14" s="8" t="inlineStr">
        <is>
          <t>RVRH</t>
        </is>
      </c>
      <c r="E14" s="8" t="inlineStr">
        <is>
          <t>B Mougey</t>
        </is>
      </c>
      <c r="F14" s="8" t="n">
        <v>1</v>
      </c>
      <c r="G14" s="8" t="n">
        <v>1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  <c r="N14" s="8" t="n">
        <v>0</v>
      </c>
      <c r="O14" s="8" t="n">
        <v>1</v>
      </c>
      <c r="P14" s="8" t="n">
        <v>0</v>
      </c>
      <c r="Q14" s="8" t="n">
        <v>1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inlineStr">
        <is>
          <t>PH for A Contreras T8 (play #67)</t>
        </is>
      </c>
    </row>
    <row r="15" ht="31.5" customHeight="1" s="35">
      <c r="A15" s="8" t="inlineStr">
        <is>
          <t>2026-03-10_RVRH_at_WSTF</t>
        </is>
      </c>
      <c r="B15" s="2" t="n">
        <v>46091</v>
      </c>
      <c r="C15" s="8" t="inlineStr">
        <is>
          <t>Westfield High School</t>
        </is>
      </c>
      <c r="D15" s="8" t="inlineStr">
        <is>
          <t>RVRH</t>
        </is>
      </c>
      <c r="E15" s="8" t="inlineStr">
        <is>
          <t>L Kreisl</t>
        </is>
      </c>
      <c r="F15" s="8" t="n">
        <v>1</v>
      </c>
      <c r="G15" s="8" t="n">
        <v>1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  <c r="N15" s="8" t="n">
        <v>0</v>
      </c>
      <c r="O15" s="8" t="n">
        <v>1</v>
      </c>
      <c r="P15" s="8" t="n">
        <v>0</v>
      </c>
      <c r="Q15" s="8" t="n">
        <v>1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inlineStr">
        <is>
          <t>PH for R Walsh T8 (play #68); also plays LF</t>
        </is>
      </c>
    </row>
    <row r="16" ht="31.5" customHeight="1" s="35">
      <c r="A16" s="8" t="inlineStr">
        <is>
          <t>2026-03-10_RVRH_at_WSTF</t>
        </is>
      </c>
      <c r="B16" s="2" t="n">
        <v>46091</v>
      </c>
      <c r="C16" s="8" t="inlineStr">
        <is>
          <t>Westfield High School</t>
        </is>
      </c>
      <c r="D16" s="8" t="inlineStr">
        <is>
          <t>WSTF</t>
        </is>
      </c>
      <c r="E16" s="8" t="inlineStr">
        <is>
          <t>WSTF_#1</t>
        </is>
      </c>
      <c r="F16" s="8" t="n">
        <v>6</v>
      </c>
      <c r="G16" s="8" t="n">
        <v>5</v>
      </c>
      <c r="H16" s="8" t="n">
        <v>1</v>
      </c>
      <c r="I16" s="8" t="n">
        <v>1</v>
      </c>
      <c r="J16" s="8" t="n">
        <v>0</v>
      </c>
      <c r="K16" s="8" t="n">
        <v>0</v>
      </c>
      <c r="L16" s="8" t="n">
        <v>0</v>
      </c>
      <c r="M16" s="8" t="n">
        <v>1</v>
      </c>
      <c r="N16" s="8" t="n">
        <v>0</v>
      </c>
      <c r="O16" s="8" t="n">
        <v>1</v>
      </c>
      <c r="P16" s="8" t="n">
        <v>0</v>
      </c>
      <c r="Q16" s="8" t="n">
        <v>1</v>
      </c>
      <c r="R16" s="8" t="n">
        <v>0</v>
      </c>
      <c r="S16" s="8" t="n">
        <v>1</v>
      </c>
      <c r="T16" s="8" t="n">
        <v>0</v>
      </c>
      <c r="U16" s="8" t="n">
        <v>0</v>
      </c>
      <c r="V16" s="8" t="n">
        <v>1</v>
      </c>
      <c r="W16" s="8" t="n">
        <v>0</v>
      </c>
      <c r="X16" s="8" t="n">
        <v>0</v>
      </c>
      <c r="Y16" s="8" t="inlineStr">
        <is>
          <t>GDP play #64 (double play to 2B); RBI on 1B play #46 (#9 scores); 6 PA ties team-high</t>
        </is>
      </c>
    </row>
    <row r="17" ht="31.5" customHeight="1" s="35">
      <c r="A17" s="8" t="inlineStr">
        <is>
          <t>2026-03-10_RVRH_at_WSTF</t>
        </is>
      </c>
      <c r="B17" s="2" t="n">
        <v>46091</v>
      </c>
      <c r="C17" s="8" t="inlineStr">
        <is>
          <t>Westfield High School</t>
        </is>
      </c>
      <c r="D17" s="8" t="inlineStr">
        <is>
          <t>WSTF</t>
        </is>
      </c>
      <c r="E17" s="8" t="inlineStr">
        <is>
          <t>WSTF_#2</t>
        </is>
      </c>
      <c r="F17" s="8" t="n">
        <v>5</v>
      </c>
      <c r="G17" s="8" t="n">
        <v>5</v>
      </c>
      <c r="H17" s="8" t="n">
        <v>1</v>
      </c>
      <c r="I17" s="8" t="n">
        <v>1</v>
      </c>
      <c r="J17" s="8" t="n">
        <v>0</v>
      </c>
      <c r="K17" s="8" t="n">
        <v>0</v>
      </c>
      <c r="L17" s="8" t="n">
        <v>0</v>
      </c>
      <c r="M17" s="8" t="n">
        <v>0</v>
      </c>
      <c r="N17" s="8" t="n">
        <v>0</v>
      </c>
      <c r="O17" s="8" t="n">
        <v>2</v>
      </c>
      <c r="P17" s="8" t="n">
        <v>0</v>
      </c>
      <c r="Q17" s="8" t="n">
        <v>2</v>
      </c>
      <c r="R17" s="8" t="n">
        <v>1</v>
      </c>
      <c r="S17" s="8" t="n">
        <v>1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1</v>
      </c>
      <c r="Y17" s="8" t="inlineStr">
        <is>
          <t>Walk-off RBI single play #77; FC play #47; K_S plays #9 and #26</t>
        </is>
      </c>
    </row>
    <row r="18" ht="31.5" customHeight="1" s="35">
      <c r="A18" s="8" t="inlineStr">
        <is>
          <t>2026-03-10_RVRH_at_WSTF</t>
        </is>
      </c>
      <c r="B18" s="2" t="n">
        <v>46091</v>
      </c>
      <c r="C18" s="8" t="inlineStr">
        <is>
          <t>Westfield High School</t>
        </is>
      </c>
      <c r="D18" s="8" t="inlineStr">
        <is>
          <t>WSTF</t>
        </is>
      </c>
      <c r="E18" s="8" t="inlineStr">
        <is>
          <t>WSTF_#3</t>
        </is>
      </c>
      <c r="F18" s="8" t="n">
        <v>4</v>
      </c>
      <c r="G18" s="8" t="n">
        <v>4</v>
      </c>
      <c r="H18" s="8" t="n">
        <v>1</v>
      </c>
      <c r="I18" s="8" t="n">
        <v>1</v>
      </c>
      <c r="J18" s="8" t="n">
        <v>0</v>
      </c>
      <c r="K18" s="8" t="n">
        <v>0</v>
      </c>
      <c r="L18" s="8" t="n">
        <v>0</v>
      </c>
      <c r="M18" s="8" t="n">
        <v>0</v>
      </c>
      <c r="N18" s="8" t="n">
        <v>0</v>
      </c>
      <c r="O18" s="8" t="n">
        <v>1</v>
      </c>
      <c r="P18" s="8" t="n">
        <v>1</v>
      </c>
      <c r="Q18" s="8" t="n">
        <v>0</v>
      </c>
      <c r="R18" s="8" t="n">
        <v>1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inlineStr">
        <is>
          <t>Reached on error play #69 (AB, not H); K_L play #48; scores play #72 on #6 triple; also pitches T5-T6 (partial)</t>
        </is>
      </c>
    </row>
    <row r="19" ht="31.5" customHeight="1" s="35">
      <c r="A19" s="8" t="inlineStr">
        <is>
          <t>2026-03-10_RVRH_at_WSTF</t>
        </is>
      </c>
      <c r="B19" s="2" t="n">
        <v>46091</v>
      </c>
      <c r="C19" s="8" t="inlineStr">
        <is>
          <t>Westfield High School</t>
        </is>
      </c>
      <c r="D19" s="8" t="inlineStr">
        <is>
          <t>WSTF</t>
        </is>
      </c>
      <c r="E19" s="8" t="inlineStr">
        <is>
          <t>WSTF_#4</t>
        </is>
      </c>
      <c r="F19" s="8" t="n">
        <v>4</v>
      </c>
      <c r="G19" s="8" t="n">
        <v>3</v>
      </c>
      <c r="H19" s="8" t="n">
        <v>2</v>
      </c>
      <c r="I19" s="8" t="n">
        <v>2</v>
      </c>
      <c r="J19" s="8" t="n">
        <v>0</v>
      </c>
      <c r="K19" s="8" t="n">
        <v>0</v>
      </c>
      <c r="L19" s="8" t="n">
        <v>0</v>
      </c>
      <c r="M19" s="8" t="n">
        <v>1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1</v>
      </c>
      <c r="S19" s="8" t="n">
        <v>1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inlineStr">
        <is>
          <t>RBI on 1B play #49 (#2 scores on throw); scores play #72 on #6 triple</t>
        </is>
      </c>
    </row>
    <row r="20" ht="31.5" customHeight="1" s="35">
      <c r="A20" s="8" t="inlineStr">
        <is>
          <t>2026-03-10_RVRH_at_WSTF</t>
        </is>
      </c>
      <c r="B20" s="2" t="n">
        <v>46091</v>
      </c>
      <c r="C20" s="8" t="inlineStr">
        <is>
          <t>Westfield High School</t>
        </is>
      </c>
      <c r="D20" s="8" t="inlineStr">
        <is>
          <t>WSTF</t>
        </is>
      </c>
      <c r="E20" s="8" t="inlineStr">
        <is>
          <t>WSTF_#5</t>
        </is>
      </c>
      <c r="F20" s="8" t="n">
        <v>4</v>
      </c>
      <c r="G20" s="8" t="n">
        <v>3</v>
      </c>
      <c r="H20" s="8" t="n">
        <v>1</v>
      </c>
      <c r="I20" s="8" t="n">
        <v>1</v>
      </c>
      <c r="J20" s="8" t="n">
        <v>0</v>
      </c>
      <c r="K20" s="8" t="n">
        <v>0</v>
      </c>
      <c r="L20" s="8" t="n">
        <v>0</v>
      </c>
      <c r="M20" s="8" t="n">
        <v>1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2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1</v>
      </c>
      <c r="Y20" s="8" t="inlineStr">
        <is>
          <t>FC play #12; scores B4 play #39 (GO by #7) and B8 play #72 (#6 triple)</t>
        </is>
      </c>
    </row>
    <row r="21" ht="31.5" customHeight="1" s="35">
      <c r="A21" s="8" t="inlineStr">
        <is>
          <t>2026-03-10_RVRH_at_WSTF</t>
        </is>
      </c>
      <c r="B21" s="2" t="n">
        <v>46091</v>
      </c>
      <c r="C21" s="8" t="inlineStr">
        <is>
          <t>Westfield High School</t>
        </is>
      </c>
      <c r="D21" s="8" t="inlineStr">
        <is>
          <t>WSTF</t>
        </is>
      </c>
      <c r="E21" s="8" t="inlineStr">
        <is>
          <t>WSTF_#6</t>
        </is>
      </c>
      <c r="F21" s="8" t="n">
        <v>4</v>
      </c>
      <c r="G21" s="8" t="n">
        <v>4</v>
      </c>
      <c r="H21" s="8" t="n">
        <v>2</v>
      </c>
      <c r="I21" s="8" t="n">
        <v>1</v>
      </c>
      <c r="J21" s="8" t="n">
        <v>0</v>
      </c>
      <c r="K21" s="8" t="n">
        <v>1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1</v>
      </c>
      <c r="S21" s="8" t="n">
        <v>3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inlineStr">
        <is>
          <t>3B play #72 scores 3 runs (3 RBI); scores play #73 on #7 GO</t>
        </is>
      </c>
    </row>
    <row r="22" ht="31.5" customHeight="1" s="35">
      <c r="A22" s="8" t="inlineStr">
        <is>
          <t>2026-03-10_RVRH_at_WSTF</t>
        </is>
      </c>
      <c r="B22" s="2" t="n">
        <v>46091</v>
      </c>
      <c r="C22" s="8" t="inlineStr">
        <is>
          <t>Westfield High School</t>
        </is>
      </c>
      <c r="D22" s="8" t="inlineStr">
        <is>
          <t>WSTF</t>
        </is>
      </c>
      <c r="E22" s="8" t="inlineStr">
        <is>
          <t>WSTF_#7</t>
        </is>
      </c>
      <c r="F22" s="8" t="n">
        <v>4</v>
      </c>
      <c r="G22" s="8" t="n">
        <v>4</v>
      </c>
      <c r="H22" s="8" t="n">
        <v>0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  <c r="N22" s="8" t="n">
        <v>0</v>
      </c>
      <c r="O22" s="8" t="n">
        <v>1</v>
      </c>
      <c r="P22" s="8" t="n">
        <v>1</v>
      </c>
      <c r="Q22" s="8" t="n">
        <v>0</v>
      </c>
      <c r="R22" s="8" t="n">
        <v>0</v>
      </c>
      <c r="S22" s="8" t="n">
        <v>2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inlineStr">
        <is>
          <t>K_L play #17; 2 productive GOs score runs (plays #39 and #73)</t>
        </is>
      </c>
    </row>
    <row r="23" ht="31.5" customHeight="1" s="35">
      <c r="A23" s="8" t="inlineStr">
        <is>
          <t>2026-03-10_RVRH_at_WSTF</t>
        </is>
      </c>
      <c r="B23" s="2" t="n">
        <v>46091</v>
      </c>
      <c r="C23" s="8" t="inlineStr">
        <is>
          <t>Westfield High School</t>
        </is>
      </c>
      <c r="D23" s="8" t="inlineStr">
        <is>
          <t>WSTF</t>
        </is>
      </c>
      <c r="E23" s="8" t="inlineStr">
        <is>
          <t>WSTF_#8</t>
        </is>
      </c>
      <c r="F23" s="8" t="n">
        <v>4</v>
      </c>
      <c r="G23" s="8" t="n">
        <v>3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1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inlineStr">
        <is>
          <t>Also pitches partial T4-T5</t>
        </is>
      </c>
    </row>
    <row r="24" ht="31.5" customHeight="1" s="35">
      <c r="A24" s="8" t="inlineStr">
        <is>
          <t>2026-03-10_RVRH_at_WSTF</t>
        </is>
      </c>
      <c r="B24" s="2" t="n">
        <v>46091</v>
      </c>
      <c r="C24" s="8" t="inlineStr">
        <is>
          <t>Westfield High School</t>
        </is>
      </c>
      <c r="D24" s="8" t="inlineStr">
        <is>
          <t>WSTF</t>
        </is>
      </c>
      <c r="E24" s="8" t="inlineStr">
        <is>
          <t>WSTF_#9</t>
        </is>
      </c>
      <c r="F24" s="8" t="n">
        <v>4</v>
      </c>
      <c r="G24" s="8" t="n">
        <v>2</v>
      </c>
      <c r="H24" s="8" t="n">
        <v>1</v>
      </c>
      <c r="I24" s="8" t="n">
        <v>1</v>
      </c>
      <c r="J24" s="8" t="n">
        <v>0</v>
      </c>
      <c r="K24" s="8" t="n">
        <v>0</v>
      </c>
      <c r="L24" s="8" t="n">
        <v>0</v>
      </c>
      <c r="M24" s="8" t="n">
        <v>1</v>
      </c>
      <c r="N24" s="8" t="n">
        <v>1</v>
      </c>
      <c r="O24" s="8" t="n">
        <v>0</v>
      </c>
      <c r="P24" s="8" t="n">
        <v>0</v>
      </c>
      <c r="Q24" s="8" t="n">
        <v>0</v>
      </c>
      <c r="R24" s="8" t="n">
        <v>2</v>
      </c>
      <c r="S24" s="8" t="n">
        <v>0</v>
      </c>
      <c r="T24" s="8" t="n">
        <v>1</v>
      </c>
      <c r="U24" s="8" t="n">
        <v>0</v>
      </c>
      <c r="V24" s="8" t="n">
        <v>0</v>
      </c>
      <c r="W24" s="8" t="n">
        <v>0</v>
      </c>
      <c r="X24" s="8" t="n">
        <v>0</v>
      </c>
      <c r="Y24" s="8" t="inlineStr">
        <is>
          <t>HBP play #45; SB embedded play #46 pitch seq; scores B5 play #46 and B8 play #77; also pitches T3, partial T4, T8</t>
        </is>
      </c>
    </row>
    <row r="25" ht="15.75" customHeight="1" s="35">
      <c r="A25" s="8" t="inlineStr">
        <is>
          <t>2026-03-14_WTTN_at_RVRH</t>
        </is>
      </c>
      <c r="B25" s="2" t="n">
        <v>46095</v>
      </c>
      <c r="C25" s="8" t="inlineStr">
        <is>
          <t>Wootton Varsity Patriots</t>
        </is>
      </c>
      <c r="D25" s="8" t="inlineStr">
        <is>
          <t>RVRH</t>
        </is>
      </c>
      <c r="E25" s="8" t="inlineStr">
        <is>
          <t>R Walsh</t>
        </is>
      </c>
      <c r="F25" s="8" t="n">
        <v>4</v>
      </c>
      <c r="G25" s="8" t="n">
        <v>4</v>
      </c>
      <c r="H25" s="8" t="n">
        <v>0</v>
      </c>
      <c r="I25" s="8" t="n">
        <v>0</v>
      </c>
      <c r="J25" s="8" t="n">
        <v>0</v>
      </c>
      <c r="K25" s="8" t="n">
        <v>0</v>
      </c>
      <c r="L25" s="8" t="n">
        <v>0</v>
      </c>
      <c r="M25" s="8" t="n">
        <v>0</v>
      </c>
      <c r="N25" s="8" t="n">
        <v>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inlineStr">
        <is>
          <t>No notable events.</t>
        </is>
      </c>
    </row>
    <row r="26" ht="15.75" customHeight="1" s="35">
      <c r="A26" s="8" t="inlineStr">
        <is>
          <t>2026-03-14_WTTN_at_RVRH</t>
        </is>
      </c>
      <c r="B26" s="2" t="n">
        <v>46095</v>
      </c>
      <c r="C26" s="8" t="inlineStr">
        <is>
          <t>Wootton Varsity Patriots</t>
        </is>
      </c>
      <c r="D26" s="8" t="inlineStr">
        <is>
          <t>RVRH</t>
        </is>
      </c>
      <c r="E26" s="8" t="inlineStr">
        <is>
          <t>C Reis</t>
        </is>
      </c>
      <c r="F26" s="8" t="n">
        <v>4</v>
      </c>
      <c r="G26" s="8" t="n">
        <v>3</v>
      </c>
      <c r="H26" s="8" t="n">
        <v>3</v>
      </c>
      <c r="I26" s="8" t="n">
        <v>3</v>
      </c>
      <c r="J26" s="8" t="n">
        <v>0</v>
      </c>
      <c r="K26" s="8" t="n">
        <v>0</v>
      </c>
      <c r="L26" s="8" t="n">
        <v>0</v>
      </c>
      <c r="M26" s="8" t="n">
        <v>1</v>
      </c>
      <c r="N26" s="8" t="n">
        <v>0</v>
      </c>
      <c r="O26" s="8" t="n">
        <v>0</v>
      </c>
      <c r="P26" s="8" t="n">
        <v>0</v>
      </c>
      <c r="Q26" s="8" t="n">
        <v>0</v>
      </c>
      <c r="R26" s="8" t="n">
        <v>3</v>
      </c>
      <c r="S26" s="8" t="n">
        <v>1</v>
      </c>
      <c r="T26" s="8" t="n">
        <v>0</v>
      </c>
      <c r="U26" s="8" t="n">
        <v>0</v>
      </c>
      <c r="V26" s="8" t="n">
        <v>0</v>
      </c>
      <c r="W26" s="8" t="n">
        <v>0</v>
      </c>
      <c r="X26" s="8" t="n">
        <v>0</v>
      </c>
      <c r="Y26" s="8" t="inlineStr">
        <is>
          <t>R B3 (play #26), B5 (play #47), B7 (play #68 via CR E Skolkin); CR E Skolkin used B7 (play #67)</t>
        </is>
      </c>
    </row>
    <row r="27" ht="15.75" customHeight="1" s="35">
      <c r="A27" s="8" t="inlineStr">
        <is>
          <t>2026-03-14_WTTN_at_RVRH</t>
        </is>
      </c>
      <c r="B27" s="2" t="n">
        <v>46095</v>
      </c>
      <c r="C27" s="8" t="inlineStr">
        <is>
          <t>Wootton Varsity Patriots</t>
        </is>
      </c>
      <c r="D27" s="8" t="inlineStr">
        <is>
          <t>RVRH</t>
        </is>
      </c>
      <c r="E27" s="8" t="inlineStr">
        <is>
          <t>J Norwood</t>
        </is>
      </c>
      <c r="F27" s="8" t="n">
        <v>4</v>
      </c>
      <c r="G27" s="8" t="n">
        <v>2</v>
      </c>
      <c r="H27" s="8" t="n">
        <v>1</v>
      </c>
      <c r="I27" s="8" t="n">
        <v>0</v>
      </c>
      <c r="J27" s="8" t="n">
        <v>1</v>
      </c>
      <c r="K27" s="8" t="n">
        <v>0</v>
      </c>
      <c r="L27" s="8" t="n">
        <v>0</v>
      </c>
      <c r="M27" s="8" t="n">
        <v>1</v>
      </c>
      <c r="N27" s="8" t="n">
        <v>1</v>
      </c>
      <c r="O27" s="8" t="n">
        <v>0</v>
      </c>
      <c r="P27" s="8" t="n">
        <v>0</v>
      </c>
      <c r="Q27" s="8" t="n">
        <v>0</v>
      </c>
      <c r="R27" s="8" t="n">
        <v>2</v>
      </c>
      <c r="S27" s="8" t="n">
        <v>1</v>
      </c>
      <c r="T27" s="8" t="n">
        <v>0</v>
      </c>
      <c r="U27" s="8" t="n">
        <v>0</v>
      </c>
      <c r="V27" s="8" t="n">
        <v>0</v>
      </c>
      <c r="W27" s="8" t="n">
        <v>0</v>
      </c>
      <c r="X27" s="8" t="n">
        <v>0</v>
      </c>
      <c r="Y27" s="8" t="inlineStr">
        <is>
          <t>R B3 (play #26), B7 (play #69); RBI B3 play #24 (A Contreras scores); also pitches T5 (Flag #10)</t>
        </is>
      </c>
    </row>
    <row r="28" ht="15.75" customHeight="1" s="35">
      <c r="A28" s="8" t="inlineStr">
        <is>
          <t>2026-03-14_WTTN_at_RVRH</t>
        </is>
      </c>
      <c r="B28" s="2" t="n">
        <v>46095</v>
      </c>
      <c r="C28" s="8" t="inlineStr">
        <is>
          <t>Wootton Varsity Patriots</t>
        </is>
      </c>
      <c r="D28" s="8" t="inlineStr">
        <is>
          <t>RVRH</t>
        </is>
      </c>
      <c r="E28" s="8" t="inlineStr">
        <is>
          <t>H Zhang</t>
        </is>
      </c>
      <c r="F28" s="8" t="n">
        <v>4</v>
      </c>
      <c r="G28" s="8" t="n">
        <v>2</v>
      </c>
      <c r="H28" s="8" t="n">
        <v>0</v>
      </c>
      <c r="I28" s="8" t="n">
        <v>0</v>
      </c>
      <c r="J28" s="8" t="n">
        <v>0</v>
      </c>
      <c r="K28" s="8" t="n">
        <v>0</v>
      </c>
      <c r="L28" s="8" t="n">
        <v>0</v>
      </c>
      <c r="M28" s="8" t="n">
        <v>1</v>
      </c>
      <c r="N28" s="8" t="n">
        <v>1</v>
      </c>
      <c r="O28" s="8" t="n">
        <v>0</v>
      </c>
      <c r="P28" s="8" t="n">
        <v>0</v>
      </c>
      <c r="Q28" s="8" t="n">
        <v>0</v>
      </c>
      <c r="R28" s="8" t="n">
        <v>0</v>
      </c>
      <c r="S28" s="8" t="n">
        <v>0</v>
      </c>
      <c r="T28" s="8" t="n">
        <v>0</v>
      </c>
      <c r="U28" s="8" t="n">
        <v>0</v>
      </c>
      <c r="V28" s="8" t="n">
        <v>1</v>
      </c>
      <c r="W28" s="8" t="n">
        <v>0</v>
      </c>
      <c r="X28" s="8" t="n">
        <v>0</v>
      </c>
      <c r="Y28" s="8" t="inlineStr">
        <is>
          <t>GDP B1 play #9; also pitches T1-T2; CR J Jenkins used B5 play #48 (inning-ending play, no run scored)</t>
        </is>
      </c>
    </row>
    <row r="29" ht="15.75" customHeight="1" s="35">
      <c r="A29" s="8" t="inlineStr">
        <is>
          <t>2026-03-14_WTTN_at_RVRH</t>
        </is>
      </c>
      <c r="B29" s="2" t="n">
        <v>46095</v>
      </c>
      <c r="C29" s="8" t="inlineStr">
        <is>
          <t>Wootton Varsity Patriots</t>
        </is>
      </c>
      <c r="D29" s="8" t="inlineStr">
        <is>
          <t>RVRH</t>
        </is>
      </c>
      <c r="E29" s="8" t="inlineStr">
        <is>
          <t>C Naecker</t>
        </is>
      </c>
      <c r="F29" s="8" t="n">
        <v>4</v>
      </c>
      <c r="G29" s="8" t="n">
        <v>4</v>
      </c>
      <c r="H29" s="8" t="n">
        <v>3</v>
      </c>
      <c r="I29" s="8" t="n">
        <v>2</v>
      </c>
      <c r="J29" s="8" t="n">
        <v>1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4</v>
      </c>
      <c r="T29" s="8" t="n">
        <v>0</v>
      </c>
      <c r="U29" s="8" t="n">
        <v>1</v>
      </c>
      <c r="V29" s="8" t="n">
        <v>0</v>
      </c>
      <c r="W29" s="8" t="n">
        <v>0</v>
      </c>
      <c r="X29" s="8" t="n">
        <v>0</v>
      </c>
      <c r="Y29" s="8" t="inlineStr">
        <is>
          <t>CS (pickoff) play #15 embedded in Section 4; RBI: 2 on 2B play #26, 1 on GO play #47, 1 on 1B play #68 (E Skolkin CR scores)</t>
        </is>
      </c>
    </row>
    <row r="30" ht="15.75" customHeight="1" s="35">
      <c r="A30" s="8" t="inlineStr">
        <is>
          <t>2026-03-14_WTTN_at_RVRH</t>
        </is>
      </c>
      <c r="B30" s="2" t="n">
        <v>46095</v>
      </c>
      <c r="C30" s="8" t="inlineStr">
        <is>
          <t>Wootton Varsity Patriots</t>
        </is>
      </c>
      <c r="D30" s="8" t="inlineStr">
        <is>
          <t>RVRH</t>
        </is>
      </c>
      <c r="E30" s="8" t="inlineStr">
        <is>
          <t>G Dang</t>
        </is>
      </c>
      <c r="F30" s="8" t="n">
        <v>4</v>
      </c>
      <c r="G30" s="8" t="n">
        <v>4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1</v>
      </c>
      <c r="P30" s="8" t="n">
        <v>1</v>
      </c>
      <c r="Q30" s="8" t="n">
        <v>0</v>
      </c>
      <c r="R30" s="8" t="n">
        <v>0</v>
      </c>
      <c r="S30" s="8" t="n">
        <v>1</v>
      </c>
      <c r="T30" s="8" t="n">
        <v>0</v>
      </c>
      <c r="U30" s="8" t="n">
        <v>0</v>
      </c>
      <c r="V30" s="8" t="n">
        <v>0</v>
      </c>
      <c r="W30" s="8" t="n">
        <v>0</v>
      </c>
      <c r="X30" s="8" t="n">
        <v>0</v>
      </c>
      <c r="Y30" s="8" t="inlineStr">
        <is>
          <t>K_L play #27 (Section 4 final pitch 'Strike 3 looking'); RBI B7 play #69 (J Norwood tags up and scores)</t>
        </is>
      </c>
    </row>
    <row r="31" ht="15.75" customHeight="1" s="35">
      <c r="A31" s="8" t="inlineStr">
        <is>
          <t>2026-03-14_WTTN_at_RVRH</t>
        </is>
      </c>
      <c r="B31" s="2" t="n">
        <v>46095</v>
      </c>
      <c r="C31" s="8" t="inlineStr">
        <is>
          <t>Wootton Varsity Patriots</t>
        </is>
      </c>
      <c r="D31" s="8" t="inlineStr">
        <is>
          <t>RVRH</t>
        </is>
      </c>
      <c r="E31" s="8" t="inlineStr">
        <is>
          <t>A Fields</t>
        </is>
      </c>
      <c r="F31" s="8" t="n">
        <v>4</v>
      </c>
      <c r="G31" s="8" t="n">
        <v>3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1</v>
      </c>
      <c r="N31" s="8" t="n">
        <v>0</v>
      </c>
      <c r="O31" s="8" t="n">
        <v>1</v>
      </c>
      <c r="P31" s="8" t="n">
        <v>0</v>
      </c>
      <c r="Q31" s="8" t="n">
        <v>1</v>
      </c>
      <c r="R31" s="8" t="n">
        <v>0</v>
      </c>
      <c r="S31" s="8" t="n">
        <v>0</v>
      </c>
      <c r="T31" s="8" t="n">
        <v>0</v>
      </c>
      <c r="U31" s="8" t="n">
        <v>0</v>
      </c>
      <c r="V31" s="8" t="n">
        <v>0</v>
      </c>
      <c r="W31" s="8" t="n">
        <v>0</v>
      </c>
      <c r="X31" s="8" t="n">
        <v>0</v>
      </c>
      <c r="Y31" s="8" t="inlineStr">
        <is>
          <t>K_S play #56 (Section 4 final pitch 'Strike 3 swinging')</t>
        </is>
      </c>
    </row>
    <row r="32" ht="15.75" customHeight="1" s="35">
      <c r="A32" s="8" t="inlineStr">
        <is>
          <t>2026-03-14_WTTN_at_RVRH</t>
        </is>
      </c>
      <c r="B32" s="2" t="n">
        <v>46095</v>
      </c>
      <c r="C32" s="8" t="inlineStr">
        <is>
          <t>Wootton Varsity Patriots</t>
        </is>
      </c>
      <c r="D32" s="8" t="inlineStr">
        <is>
          <t>RVRH</t>
        </is>
      </c>
      <c r="E32" s="8" t="inlineStr">
        <is>
          <t>E McCoy</t>
        </is>
      </c>
      <c r="F32" s="8" t="n">
        <v>2</v>
      </c>
      <c r="G32" s="8" t="n">
        <v>2</v>
      </c>
      <c r="H32" s="8" t="n">
        <v>1</v>
      </c>
      <c r="I32" s="8" t="n">
        <v>1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1</v>
      </c>
      <c r="S32" s="8" t="n">
        <v>0</v>
      </c>
      <c r="T32" s="8" t="n">
        <v>0</v>
      </c>
      <c r="U32" s="8" t="n">
        <v>0</v>
      </c>
      <c r="V32" s="8" t="n">
        <v>0</v>
      </c>
      <c r="W32" s="8" t="n">
        <v>0</v>
      </c>
      <c r="X32" s="8" t="n">
        <v>0</v>
      </c>
      <c r="Y32" s="8" t="inlineStr">
        <is>
          <t>R B3 play #23; replaced in B6 by A Contreras (play #57); also pitches T7 and T8 (Flag #1)</t>
        </is>
      </c>
    </row>
    <row r="33" ht="15.75" customHeight="1" s="35">
      <c r="A33" s="8" t="inlineStr">
        <is>
          <t>2026-03-14_WTTN_at_RVRH</t>
        </is>
      </c>
      <c r="B33" s="2" t="n">
        <v>46095</v>
      </c>
      <c r="C33" s="8" t="inlineStr">
        <is>
          <t>Wootton Varsity Patriots</t>
        </is>
      </c>
      <c r="D33" s="8" t="inlineStr">
        <is>
          <t>RVRH</t>
        </is>
      </c>
      <c r="E33" s="8" t="inlineStr">
        <is>
          <t>C Nichols</t>
        </is>
      </c>
      <c r="F33" s="8" t="n">
        <v>2</v>
      </c>
      <c r="G33" s="8" t="n">
        <v>0</v>
      </c>
      <c r="H33" s="8" t="n">
        <v>0</v>
      </c>
      <c r="I33" s="8" t="n">
        <v>0</v>
      </c>
      <c r="J33" s="8" t="n">
        <v>0</v>
      </c>
      <c r="K33" s="8" t="n">
        <v>0</v>
      </c>
      <c r="L33" s="8" t="n">
        <v>0</v>
      </c>
      <c r="M33" s="8" t="n">
        <v>1</v>
      </c>
      <c r="N33" s="8" t="n">
        <v>0</v>
      </c>
      <c r="O33" s="8" t="n">
        <v>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8" t="n">
        <v>0</v>
      </c>
      <c r="V33" s="8" t="n">
        <v>0</v>
      </c>
      <c r="W33" s="8" t="n">
        <v>1</v>
      </c>
      <c r="X33" s="8" t="n">
        <v>0</v>
      </c>
      <c r="Y33" s="8" t="inlineStr">
        <is>
          <t>SAC B3 play #20 (outcome explicitly says 'sacrifices'); replaced in B6 by R Ronayne (play #58 note)</t>
        </is>
      </c>
    </row>
    <row r="34" ht="15.75" customHeight="1" s="35">
      <c r="A34" s="8" t="inlineStr">
        <is>
          <t>2026-03-14_WTTN_at_RVRH</t>
        </is>
      </c>
      <c r="B34" s="2" t="n">
        <v>46095</v>
      </c>
      <c r="C34" s="8" t="inlineStr">
        <is>
          <t>Wootton Varsity Patriots</t>
        </is>
      </c>
      <c r="D34" s="8" t="inlineStr">
        <is>
          <t>RVRH</t>
        </is>
      </c>
      <c r="E34" s="8" t="inlineStr">
        <is>
          <t>A Contreras</t>
        </is>
      </c>
      <c r="F34" s="8" t="n">
        <v>3</v>
      </c>
      <c r="G34" s="8" t="n">
        <v>2</v>
      </c>
      <c r="H34" s="8" t="n">
        <v>0</v>
      </c>
      <c r="I34" s="8" t="n">
        <v>0</v>
      </c>
      <c r="J34" s="8" t="n">
        <v>0</v>
      </c>
      <c r="K34" s="8" t="n">
        <v>0</v>
      </c>
      <c r="L34" s="8" t="n">
        <v>0</v>
      </c>
      <c r="M34" s="8" t="n">
        <v>0</v>
      </c>
      <c r="N34" s="8" t="n">
        <v>1</v>
      </c>
      <c r="O34" s="8" t="n">
        <v>0</v>
      </c>
      <c r="P34" s="8" t="n">
        <v>0</v>
      </c>
      <c r="Q34" s="8" t="n">
        <v>0</v>
      </c>
      <c r="R34" s="8" t="n">
        <v>1</v>
      </c>
      <c r="S34" s="8" t="n">
        <v>0</v>
      </c>
      <c r="T34" s="8" t="n">
        <v>0</v>
      </c>
      <c r="U34" s="8" t="n">
        <v>0</v>
      </c>
      <c r="V34" s="8" t="n">
        <v>0</v>
      </c>
      <c r="W34" s="8" t="n">
        <v>0</v>
      </c>
      <c r="X34" s="8" t="n">
        <v>1</v>
      </c>
      <c r="Y34" s="8" t="inlineStr">
        <is>
          <t>R B3 play #24 (J Norwood doubles, A Contreras scores); HBP B3 play #21; FC B4 play #38; sub in for E McCoy B6 (play #57)</t>
        </is>
      </c>
    </row>
    <row r="35" ht="15.75" customHeight="1" s="35">
      <c r="A35" s="8" t="inlineStr">
        <is>
          <t>2026-03-14_WTTN_at_RVRH</t>
        </is>
      </c>
      <c r="B35" s="2" t="n">
        <v>46095</v>
      </c>
      <c r="C35" s="8" t="inlineStr">
        <is>
          <t>Wootton Varsity Patriots</t>
        </is>
      </c>
      <c r="D35" s="8" t="inlineStr">
        <is>
          <t>RVRH</t>
        </is>
      </c>
      <c r="E35" s="8" t="inlineStr">
        <is>
          <t>R Ronayne</t>
        </is>
      </c>
      <c r="F35" s="8" t="n">
        <v>1</v>
      </c>
      <c r="G35" s="8" t="n">
        <v>0</v>
      </c>
      <c r="H35" s="8" t="n">
        <v>0</v>
      </c>
      <c r="I35" s="8" t="n">
        <v>0</v>
      </c>
      <c r="J35" s="8" t="n">
        <v>0</v>
      </c>
      <c r="K35" s="8" t="n">
        <v>0</v>
      </c>
      <c r="L35" s="8" t="n">
        <v>0</v>
      </c>
      <c r="M35" s="8" t="n">
        <v>1</v>
      </c>
      <c r="N35" s="8" t="n">
        <v>0</v>
      </c>
      <c r="O35" s="8" t="n">
        <v>0</v>
      </c>
      <c r="P35" s="8" t="n">
        <v>0</v>
      </c>
      <c r="Q35" s="8" t="n">
        <v>0</v>
      </c>
      <c r="R35" s="8" t="n">
        <v>0</v>
      </c>
      <c r="S35" s="8" t="n">
        <v>0</v>
      </c>
      <c r="T35" s="8" t="n">
        <v>0</v>
      </c>
      <c r="U35" s="8" t="n">
        <v>0</v>
      </c>
      <c r="V35" s="8" t="n">
        <v>0</v>
      </c>
      <c r="W35" s="8" t="n">
        <v>0</v>
      </c>
      <c r="X35" s="8" t="n">
        <v>0</v>
      </c>
      <c r="Y35" s="8" t="inlineStr">
        <is>
          <t>Sub for C Nichols B6 (play #58 note)</t>
        </is>
      </c>
    </row>
    <row r="36" ht="15.75" customHeight="1" s="35">
      <c r="A36" s="8" t="inlineStr">
        <is>
          <t>2026-03-14_WTTN_at_RVRH</t>
        </is>
      </c>
      <c r="B36" s="2" t="n">
        <v>46095</v>
      </c>
      <c r="C36" s="8" t="inlineStr">
        <is>
          <t>Wootton Varsity Patriots</t>
        </is>
      </c>
      <c r="D36" s="8" t="inlineStr">
        <is>
          <t>RVRH</t>
        </is>
      </c>
      <c r="E36" s="8" t="inlineStr">
        <is>
          <t>B Bixby</t>
        </is>
      </c>
      <c r="F36" s="8" t="n">
        <v>1</v>
      </c>
      <c r="G36" s="8" t="n">
        <v>1</v>
      </c>
      <c r="H36" s="8" t="n">
        <v>0</v>
      </c>
      <c r="I36" s="8" t="n">
        <v>0</v>
      </c>
      <c r="J36" s="8" t="n">
        <v>0</v>
      </c>
      <c r="K36" s="8" t="n">
        <v>0</v>
      </c>
      <c r="L36" s="8" t="n">
        <v>0</v>
      </c>
      <c r="M36" s="8" t="n">
        <v>0</v>
      </c>
      <c r="N36" s="8" t="n">
        <v>0</v>
      </c>
      <c r="O36" s="8" t="n">
        <v>0</v>
      </c>
      <c r="P36" s="8" t="n">
        <v>0</v>
      </c>
      <c r="Q36" s="8" t="n">
        <v>0</v>
      </c>
      <c r="R36" s="8" t="n">
        <v>0</v>
      </c>
      <c r="S36" s="8" t="n">
        <v>0</v>
      </c>
      <c r="T36" s="8" t="n">
        <v>0</v>
      </c>
      <c r="U36" s="8" t="n">
        <v>0</v>
      </c>
      <c r="V36" s="8" t="n">
        <v>0</v>
      </c>
      <c r="W36" s="8" t="n">
        <v>0</v>
      </c>
      <c r="X36" s="8" t="n">
        <v>0</v>
      </c>
      <c r="Y36" s="8" t="inlineStr">
        <is>
          <t>Pop out B6 play #59; 2 errors as LF in T6 (plays #49, #52)</t>
        </is>
      </c>
    </row>
    <row r="37" ht="15.75" customHeight="1" s="35">
      <c r="A37" s="8" t="inlineStr">
        <is>
          <t>2026-03-14_WTTN_at_RVRH</t>
        </is>
      </c>
      <c r="B37" s="2" t="n">
        <v>46095</v>
      </c>
      <c r="C37" s="8" t="inlineStr">
        <is>
          <t>Wootton Varsity Patriots</t>
        </is>
      </c>
      <c r="D37" s="8" t="inlineStr">
        <is>
          <t>WTTN</t>
        </is>
      </c>
      <c r="E37" s="8" t="inlineStr">
        <is>
          <t>T Cornet</t>
        </is>
      </c>
      <c r="F37" s="8" t="n">
        <v>4</v>
      </c>
      <c r="G37" s="8" t="n">
        <v>4</v>
      </c>
      <c r="H37" s="8" t="n">
        <v>0</v>
      </c>
      <c r="I37" s="8" t="n">
        <v>0</v>
      </c>
      <c r="J37" s="8" t="n">
        <v>0</v>
      </c>
      <c r="K37" s="8" t="n">
        <v>0</v>
      </c>
      <c r="L37" s="8" t="n">
        <v>0</v>
      </c>
      <c r="M37" s="8" t="n">
        <v>0</v>
      </c>
      <c r="N37" s="8" t="n">
        <v>0</v>
      </c>
      <c r="O37" s="8" t="n">
        <v>2</v>
      </c>
      <c r="P37" s="8" t="n">
        <v>1</v>
      </c>
      <c r="Q37" s="8" t="n">
        <v>1</v>
      </c>
      <c r="R37" s="8" t="n">
        <v>0</v>
      </c>
      <c r="S37" s="8" t="n">
        <v>0</v>
      </c>
      <c r="T37" s="8" t="n">
        <v>0</v>
      </c>
      <c r="U37" s="8" t="n">
        <v>0</v>
      </c>
      <c r="V37" s="8" t="n">
        <v>0</v>
      </c>
      <c r="W37" s="8" t="n">
        <v>0</v>
      </c>
      <c r="X37" s="8" t="n">
        <v>0</v>
      </c>
      <c r="Y37" s="8" t="inlineStr">
        <is>
          <t>K_L play #17 (Section 4 final pitch 'Strike 3 looking'); K_S play #41 (Section 4 final pitch 'Strike 3 swinging'); also pitches B6</t>
        </is>
      </c>
    </row>
    <row r="38" ht="15.75" customHeight="1" s="35">
      <c r="A38" s="8" t="inlineStr">
        <is>
          <t>2026-03-14_WTTN_at_RVRH</t>
        </is>
      </c>
      <c r="B38" s="2" t="n">
        <v>46095</v>
      </c>
      <c r="C38" s="8" t="inlineStr">
        <is>
          <t>Wootton Varsity Patriots</t>
        </is>
      </c>
      <c r="D38" s="8" t="inlineStr">
        <is>
          <t>WTTN</t>
        </is>
      </c>
      <c r="E38" s="8" t="inlineStr">
        <is>
          <t>J Reid</t>
        </is>
      </c>
      <c r="F38" s="8" t="n">
        <v>4</v>
      </c>
      <c r="G38" s="8" t="n">
        <v>4</v>
      </c>
      <c r="H38" s="8" t="n">
        <v>1</v>
      </c>
      <c r="I38" s="8" t="n">
        <v>1</v>
      </c>
      <c r="J38" s="8" t="n">
        <v>0</v>
      </c>
      <c r="K38" s="8" t="n">
        <v>0</v>
      </c>
      <c r="L38" s="8" t="n">
        <v>0</v>
      </c>
      <c r="M38" s="8" t="n">
        <v>0</v>
      </c>
      <c r="N38" s="8" t="n">
        <v>0</v>
      </c>
      <c r="O38" s="8" t="n">
        <v>0</v>
      </c>
      <c r="P38" s="8" t="n">
        <v>0</v>
      </c>
      <c r="Q38" s="8" t="n">
        <v>0</v>
      </c>
      <c r="R38" s="8" t="n">
        <v>1</v>
      </c>
      <c r="S38" s="8" t="n">
        <v>0</v>
      </c>
      <c r="T38" s="8" t="n">
        <v>0</v>
      </c>
      <c r="U38" s="8" t="n">
        <v>0</v>
      </c>
      <c r="V38" s="8" t="n">
        <v>0</v>
      </c>
      <c r="W38" s="8" t="n">
        <v>0</v>
      </c>
      <c r="X38" s="8" t="n">
        <v>0</v>
      </c>
      <c r="Y38" s="8" t="inlineStr">
        <is>
          <t>R scored T1 play #3 (J Arnold doubles, J Reid scores); error play #42 T5 (not a hit)</t>
        </is>
      </c>
    </row>
    <row r="39" ht="15.75" customHeight="1" s="35">
      <c r="A39" s="8" t="inlineStr">
        <is>
          <t>2026-03-14_WTTN_at_RVRH</t>
        </is>
      </c>
      <c r="B39" s="2" t="n">
        <v>46095</v>
      </c>
      <c r="C39" s="8" t="inlineStr">
        <is>
          <t>Wootton Varsity Patriots</t>
        </is>
      </c>
      <c r="D39" s="8" t="inlineStr">
        <is>
          <t>WTTN</t>
        </is>
      </c>
      <c r="E39" s="8" t="inlineStr">
        <is>
          <t>J Arnold</t>
        </is>
      </c>
      <c r="F39" s="8" t="n">
        <v>4</v>
      </c>
      <c r="G39" s="8" t="n">
        <v>4</v>
      </c>
      <c r="H39" s="8" t="n">
        <v>1</v>
      </c>
      <c r="I39" s="8" t="n">
        <v>0</v>
      </c>
      <c r="J39" s="8" t="n">
        <v>1</v>
      </c>
      <c r="K39" s="8" t="n">
        <v>0</v>
      </c>
      <c r="L39" s="8" t="n">
        <v>0</v>
      </c>
      <c r="M39" s="8" t="n">
        <v>0</v>
      </c>
      <c r="N39" s="8" t="n">
        <v>0</v>
      </c>
      <c r="O39" s="8" t="n">
        <v>1</v>
      </c>
      <c r="P39" s="8" t="n">
        <v>1</v>
      </c>
      <c r="Q39" s="8" t="n">
        <v>0</v>
      </c>
      <c r="R39" s="8" t="n">
        <v>0</v>
      </c>
      <c r="S39" s="8" t="n">
        <v>1</v>
      </c>
      <c r="T39" s="8" t="n">
        <v>0</v>
      </c>
      <c r="U39" s="8" t="n">
        <v>0</v>
      </c>
      <c r="V39" s="8" t="n">
        <v>0</v>
      </c>
      <c r="W39" s="8" t="n">
        <v>0</v>
      </c>
      <c r="X39" s="8" t="n">
        <v>0</v>
      </c>
      <c r="Y39" s="8" t="inlineStr">
        <is>
          <t>RBI play #3 (J Reid scores on 2B); K_L play #61 (Section 4 final pitch 'Strike 3 looking')</t>
        </is>
      </c>
    </row>
    <row r="40" ht="15.75" customHeight="1" s="35">
      <c r="A40" s="8" t="inlineStr">
        <is>
          <t>2026-03-14_WTTN_at_RVRH</t>
        </is>
      </c>
      <c r="B40" s="2" t="n">
        <v>46095</v>
      </c>
      <c r="C40" s="8" t="inlineStr">
        <is>
          <t>Wootton Varsity Patriots</t>
        </is>
      </c>
      <c r="D40" s="8" t="inlineStr">
        <is>
          <t>WTTN</t>
        </is>
      </c>
      <c r="E40" s="8" t="inlineStr">
        <is>
          <t>A Grainger</t>
        </is>
      </c>
      <c r="F40" s="8" t="n">
        <v>4</v>
      </c>
      <c r="G40" s="8" t="n">
        <v>4</v>
      </c>
      <c r="H40" s="8" t="n">
        <v>2</v>
      </c>
      <c r="I40" s="8" t="n">
        <v>2</v>
      </c>
      <c r="J40" s="8" t="n">
        <v>0</v>
      </c>
      <c r="K40" s="8" t="n">
        <v>0</v>
      </c>
      <c r="L40" s="8" t="n">
        <v>0</v>
      </c>
      <c r="M40" s="8" t="n">
        <v>0</v>
      </c>
      <c r="N40" s="8" t="n">
        <v>0</v>
      </c>
      <c r="O40" s="8" t="n">
        <v>1</v>
      </c>
      <c r="P40" s="8" t="n">
        <v>0</v>
      </c>
      <c r="Q40" s="8" t="n">
        <v>1</v>
      </c>
      <c r="R40" s="8" t="n">
        <v>2</v>
      </c>
      <c r="S40" s="8" t="n">
        <v>0</v>
      </c>
      <c r="T40" s="8" t="n">
        <v>1</v>
      </c>
      <c r="U40" s="8" t="n">
        <v>0</v>
      </c>
      <c r="V40" s="8" t="n">
        <v>0</v>
      </c>
      <c r="W40" s="8" t="n">
        <v>0</v>
      </c>
      <c r="X40" s="8" t="n">
        <v>0</v>
      </c>
      <c r="Y40" s="8" t="inlineStr">
        <is>
          <t>R T4 play #32 (WP during N Zweig K), R T6 play #52 (N Zweig error, A Grainger scores); SB T6 play #50 (embedded Section 4 during L Avila K AB); K_S play #4 — Section 3 says 'looking' but Section 4 final pitch 'swinging' — K_S recorded per Section 4; error play #49 T6 (not a hit)</t>
        </is>
      </c>
    </row>
    <row r="41" ht="15.75" customHeight="1" s="35">
      <c r="A41" s="8" t="inlineStr">
        <is>
          <t>2026-03-14_WTTN_at_RVRH</t>
        </is>
      </c>
      <c r="B41" s="2" t="n">
        <v>46095</v>
      </c>
      <c r="C41" s="8" t="inlineStr">
        <is>
          <t>Wootton Varsity Patriots</t>
        </is>
      </c>
      <c r="D41" s="8" t="inlineStr">
        <is>
          <t>WTTN</t>
        </is>
      </c>
      <c r="E41" s="8" t="inlineStr">
        <is>
          <t>L Avila</t>
        </is>
      </c>
      <c r="F41" s="8" t="n">
        <v>4</v>
      </c>
      <c r="G41" s="8" t="n">
        <v>3</v>
      </c>
      <c r="H41" s="8" t="n">
        <v>0</v>
      </c>
      <c r="I41" s="8" t="n">
        <v>0</v>
      </c>
      <c r="J41" s="8" t="n">
        <v>0</v>
      </c>
      <c r="K41" s="8" t="n">
        <v>0</v>
      </c>
      <c r="L41" s="8" t="n">
        <v>0</v>
      </c>
      <c r="M41" s="8" t="n">
        <v>1</v>
      </c>
      <c r="N41" s="8" t="n">
        <v>0</v>
      </c>
      <c r="O41" s="8" t="n">
        <v>2</v>
      </c>
      <c r="P41" s="8" t="n">
        <v>0</v>
      </c>
      <c r="Q41" s="8" t="n">
        <v>2</v>
      </c>
      <c r="R41" s="8" t="n">
        <v>1</v>
      </c>
      <c r="S41" s="8" t="n">
        <v>0</v>
      </c>
      <c r="T41" s="8" t="n">
        <v>0</v>
      </c>
      <c r="U41" s="8" t="n">
        <v>0</v>
      </c>
      <c r="V41" s="8" t="n">
        <v>0</v>
      </c>
      <c r="W41" s="8" t="n">
        <v>0</v>
      </c>
      <c r="X41" s="8" t="n">
        <v>0</v>
      </c>
      <c r="Y41" s="8" t="inlineStr">
        <is>
          <t>R T4 play #33 (K Schmelzer singles, L Avila scores); K_S plays #5 and #50; also pitches B1-B3 (Flag #11)</t>
        </is>
      </c>
    </row>
    <row r="42" ht="15.75" customHeight="1" s="35">
      <c r="A42" s="8" t="inlineStr">
        <is>
          <t>2026-03-14_WTTN_at_RVRH</t>
        </is>
      </c>
      <c r="B42" s="2" t="n">
        <v>46095</v>
      </c>
      <c r="C42" s="8" t="inlineStr">
        <is>
          <t>Wootton Varsity Patriots</t>
        </is>
      </c>
      <c r="D42" s="8" t="inlineStr">
        <is>
          <t>WTTN</t>
        </is>
      </c>
      <c r="E42" s="8" t="inlineStr">
        <is>
          <t>J Allen</t>
        </is>
      </c>
      <c r="F42" s="8" t="n">
        <v>3</v>
      </c>
      <c r="G42" s="8" t="n">
        <v>3</v>
      </c>
      <c r="H42" s="8" t="n">
        <v>2</v>
      </c>
      <c r="I42" s="8" t="n">
        <v>2</v>
      </c>
      <c r="J42" s="8" t="n">
        <v>0</v>
      </c>
      <c r="K42" s="8" t="n">
        <v>0</v>
      </c>
      <c r="L42" s="8" t="n">
        <v>0</v>
      </c>
      <c r="M42" s="8" t="n">
        <v>0</v>
      </c>
      <c r="N42" s="8" t="n">
        <v>0</v>
      </c>
      <c r="O42" s="8" t="n">
        <v>0</v>
      </c>
      <c r="P42" s="8" t="n">
        <v>0</v>
      </c>
      <c r="Q42" s="8" t="n">
        <v>0</v>
      </c>
      <c r="R42" s="8" t="n">
        <v>0</v>
      </c>
      <c r="S42" s="8" t="n">
        <v>0</v>
      </c>
      <c r="T42" s="8" t="n">
        <v>0</v>
      </c>
      <c r="U42" s="8" t="n">
        <v>0</v>
      </c>
      <c r="V42" s="8" t="n">
        <v>0</v>
      </c>
      <c r="W42" s="8" t="n">
        <v>0</v>
      </c>
      <c r="X42" s="8" t="n">
        <v>0</v>
      </c>
      <c r="Y42" s="8" t="inlineStr">
        <is>
          <t>Play #71 T8 has no recorded outcome — not counted (Flag #1); also pitches B4</t>
        </is>
      </c>
    </row>
    <row r="43" ht="15.75" customHeight="1" s="35">
      <c r="A43" s="8" t="inlineStr">
        <is>
          <t>2026-03-14_WTTN_at_RVRH</t>
        </is>
      </c>
      <c r="B43" s="2" t="n">
        <v>46095</v>
      </c>
      <c r="C43" s="8" t="inlineStr">
        <is>
          <t>Wootton Varsity Patriots</t>
        </is>
      </c>
      <c r="D43" s="8" t="inlineStr">
        <is>
          <t>WTTN</t>
        </is>
      </c>
      <c r="E43" s="8" t="inlineStr">
        <is>
          <t>N Zweig</t>
        </is>
      </c>
      <c r="F43" s="8" t="n">
        <v>3</v>
      </c>
      <c r="G43" s="8" t="n">
        <v>2</v>
      </c>
      <c r="H43" s="8" t="n">
        <v>0</v>
      </c>
      <c r="I43" s="8" t="n">
        <v>0</v>
      </c>
      <c r="J43" s="8" t="n">
        <v>0</v>
      </c>
      <c r="K43" s="8" t="n">
        <v>0</v>
      </c>
      <c r="L43" s="8" t="n">
        <v>0</v>
      </c>
      <c r="M43" s="8" t="n">
        <v>1</v>
      </c>
      <c r="N43" s="8" t="n">
        <v>0</v>
      </c>
      <c r="O43" s="8" t="n">
        <v>1</v>
      </c>
      <c r="P43" s="8" t="n">
        <v>0</v>
      </c>
      <c r="Q43" s="8" t="n">
        <v>1</v>
      </c>
      <c r="R43" s="8" t="n">
        <v>0</v>
      </c>
      <c r="S43" s="8" t="n">
        <v>0</v>
      </c>
      <c r="T43" s="8" t="n">
        <v>0</v>
      </c>
      <c r="U43" s="8" t="n">
        <v>0</v>
      </c>
      <c r="V43" s="8" t="n">
        <v>0</v>
      </c>
      <c r="W43" s="8" t="n">
        <v>0</v>
      </c>
      <c r="X43" s="8" t="n">
        <v>0</v>
      </c>
      <c r="Y43" s="8" t="inlineStr">
        <is>
          <t>K_S play #32 (Section 4 final pitch 'Strike 3 swinging'); reaches on error play #52 (not a hit)</t>
        </is>
      </c>
    </row>
    <row r="44" ht="15.75" customHeight="1" s="35">
      <c r="A44" s="8" t="inlineStr">
        <is>
          <t>2026-03-14_WTTN_at_RVRH</t>
        </is>
      </c>
      <c r="B44" s="2" t="n">
        <v>46095</v>
      </c>
      <c r="C44" s="8" t="inlineStr">
        <is>
          <t>Wootton Varsity Patriots</t>
        </is>
      </c>
      <c r="D44" s="8" t="inlineStr">
        <is>
          <t>WTTN</t>
        </is>
      </c>
      <c r="E44" s="8" t="inlineStr">
        <is>
          <t>K Schmelzer</t>
        </is>
      </c>
      <c r="F44" s="8" t="n">
        <v>3</v>
      </c>
      <c r="G44" s="8" t="n">
        <v>2</v>
      </c>
      <c r="H44" s="8" t="n">
        <v>1</v>
      </c>
      <c r="I44" s="8" t="n">
        <v>1</v>
      </c>
      <c r="J44" s="8" t="n">
        <v>0</v>
      </c>
      <c r="K44" s="8" t="n">
        <v>0</v>
      </c>
      <c r="L44" s="8" t="n">
        <v>0</v>
      </c>
      <c r="M44" s="8" t="n">
        <v>1</v>
      </c>
      <c r="N44" s="8" t="n">
        <v>0</v>
      </c>
      <c r="O44" s="8" t="n">
        <v>0</v>
      </c>
      <c r="P44" s="8" t="n">
        <v>0</v>
      </c>
      <c r="Q44" s="8" t="n">
        <v>0</v>
      </c>
      <c r="R44" s="8" t="n">
        <v>0</v>
      </c>
      <c r="S44" s="8" t="n">
        <v>1</v>
      </c>
      <c r="T44" s="8" t="n">
        <v>0</v>
      </c>
      <c r="U44" s="8" t="n">
        <v>1</v>
      </c>
      <c r="V44" s="8" t="n">
        <v>1</v>
      </c>
      <c r="W44" s="8" t="n">
        <v>0</v>
      </c>
      <c r="X44" s="8" t="n">
        <v>0</v>
      </c>
      <c r="Y44" s="8" t="inlineStr">
        <is>
          <t>CS play #34 (caught stealing 2nd explicitly logged); GDP play #12; RBI play #33 (L Avila scores on 1B); IBB play #53</t>
        </is>
      </c>
    </row>
    <row r="45" ht="15.75" customHeight="1" s="35">
      <c r="A45" s="8" t="inlineStr">
        <is>
          <t>2026-03-14_WTTN_at_RVRH</t>
        </is>
      </c>
      <c r="B45" s="2" t="n">
        <v>46095</v>
      </c>
      <c r="C45" s="8" t="inlineStr">
        <is>
          <t>Wootton Varsity Patriots</t>
        </is>
      </c>
      <c r="D45" s="8" t="inlineStr">
        <is>
          <t>WTTN</t>
        </is>
      </c>
      <c r="E45" s="8" t="inlineStr">
        <is>
          <t>A Yang</t>
        </is>
      </c>
      <c r="F45" s="8" t="n">
        <v>3</v>
      </c>
      <c r="G45" s="8" t="n">
        <v>3</v>
      </c>
      <c r="H45" s="8" t="n">
        <v>0</v>
      </c>
      <c r="I45" s="8" t="n">
        <v>0</v>
      </c>
      <c r="J45" s="8" t="n">
        <v>0</v>
      </c>
      <c r="K45" s="8" t="n">
        <v>0</v>
      </c>
      <c r="L45" s="8" t="n">
        <v>0</v>
      </c>
      <c r="M45" s="8" t="n">
        <v>0</v>
      </c>
      <c r="N45" s="8" t="n">
        <v>0</v>
      </c>
      <c r="O45" s="8" t="n">
        <v>2</v>
      </c>
      <c r="P45" s="8" t="n">
        <v>1</v>
      </c>
      <c r="Q45" s="8" t="n">
        <v>1</v>
      </c>
      <c r="R45" s="8" t="n">
        <v>0</v>
      </c>
      <c r="S45" s="8" t="n">
        <v>0</v>
      </c>
      <c r="T45" s="8" t="n">
        <v>0</v>
      </c>
      <c r="U45" s="8" t="n">
        <v>0</v>
      </c>
      <c r="V45" s="8" t="n">
        <v>0</v>
      </c>
      <c r="W45" s="8" t="n">
        <v>0</v>
      </c>
      <c r="X45" s="8" t="n">
        <v>0</v>
      </c>
      <c r="Y45" s="8" t="inlineStr">
        <is>
          <t>K_S play #16 (Section 4 final pitch 'Strike 3 swinging'); K_L play #40 (Section 4 final pitch 'Strike 3 looking'); sub for A Lim play #16</t>
        </is>
      </c>
    </row>
    <row r="46" ht="15.75" customHeight="1" s="35">
      <c r="A46" s="8" t="inlineStr">
        <is>
          <t>2026-03-21_RVRH_at_GLFR</t>
        </is>
      </c>
      <c r="B46" s="2" t="n">
        <v>46102</v>
      </c>
      <c r="C46" s="8" t="inlineStr">
        <is>
          <t>Guilford Park Varsity Panthers</t>
        </is>
      </c>
      <c r="D46" s="8" t="inlineStr">
        <is>
          <t>RVRH</t>
        </is>
      </c>
      <c r="E46" s="8" t="inlineStr">
        <is>
          <t>R Walsh</t>
        </is>
      </c>
      <c r="F46" s="8" t="n">
        <v>4</v>
      </c>
      <c r="G46" s="8" t="n">
        <v>4</v>
      </c>
      <c r="H46" s="8" t="n">
        <v>2</v>
      </c>
      <c r="I46" s="8" t="n">
        <v>1</v>
      </c>
      <c r="J46" s="8" t="n">
        <v>1</v>
      </c>
      <c r="K46" s="8" t="n">
        <v>0</v>
      </c>
      <c r="L46" s="8" t="n">
        <v>0</v>
      </c>
      <c r="M46" s="8" t="n">
        <v>0</v>
      </c>
      <c r="N46" s="8" t="n">
        <v>0</v>
      </c>
      <c r="O46" s="8" t="n">
        <v>2</v>
      </c>
      <c r="P46" s="8" t="n">
        <v>1</v>
      </c>
      <c r="Q46" s="8" t="n">
        <v>1</v>
      </c>
      <c r="R46" s="8" t="n">
        <v>2</v>
      </c>
      <c r="S46" s="8" t="n">
        <v>4</v>
      </c>
      <c r="T46" s="8" t="n">
        <v>0</v>
      </c>
      <c r="U46" s="8" t="n">
        <v>0</v>
      </c>
      <c r="V46" s="8" t="n">
        <v>0</v>
      </c>
      <c r="W46" s="8" t="n">
        <v>0</v>
      </c>
      <c r="X46" s="8" t="n">
        <v>0</v>
      </c>
      <c r="Y46" s="8" t="inlineStr">
        <is>
          <t>Dropped 3rd strike play #1 (K_S, Sec4 #1 'Strike 3 swinging'); 1B play #10 (2 RBI: A Fields + B Bixby/G Dang score); K_L play #24 (Sec4 #24 'Strike 3 looking'); 2B play #57 (2 RBI: E Skolkin + L Kreisl score); R scored play #4 (H Zhang FC); R scored play #11 via CR E Skolkin (credited to R Walsh)</t>
        </is>
      </c>
    </row>
    <row r="47" ht="15.75" customHeight="1" s="35">
      <c r="A47" s="8" t="inlineStr">
        <is>
          <t>2026-03-21_RVRH_at_GLFR</t>
        </is>
      </c>
      <c r="B47" s="2" t="n">
        <v>46102</v>
      </c>
      <c r="C47" s="8" t="inlineStr">
        <is>
          <t>Guilford Park Varsity Panthers</t>
        </is>
      </c>
      <c r="D47" s="8" t="inlineStr">
        <is>
          <t>RVRH</t>
        </is>
      </c>
      <c r="E47" s="8" t="inlineStr">
        <is>
          <t>C Reis</t>
        </is>
      </c>
      <c r="F47" s="8" t="n">
        <v>4</v>
      </c>
      <c r="G47" s="8" t="n">
        <v>4</v>
      </c>
      <c r="H47" s="8" t="n">
        <v>4</v>
      </c>
      <c r="I47" s="8" t="n">
        <v>3</v>
      </c>
      <c r="J47" s="8" t="n">
        <v>1</v>
      </c>
      <c r="K47" s="8" t="n">
        <v>0</v>
      </c>
      <c r="L47" s="8" t="n">
        <v>0</v>
      </c>
      <c r="M47" s="8" t="n">
        <v>0</v>
      </c>
      <c r="N47" s="8" t="n">
        <v>0</v>
      </c>
      <c r="O47" s="8" t="n">
        <v>0</v>
      </c>
      <c r="P47" s="8" t="n">
        <v>0</v>
      </c>
      <c r="Q47" s="8" t="n">
        <v>0</v>
      </c>
      <c r="R47" s="8" t="n">
        <v>3</v>
      </c>
      <c r="S47" s="8" t="n">
        <v>4</v>
      </c>
      <c r="T47" s="8" t="n">
        <v>0</v>
      </c>
      <c r="U47" s="8" t="n">
        <v>0</v>
      </c>
      <c r="V47" s="8" t="n">
        <v>0</v>
      </c>
      <c r="W47" s="8" t="n">
        <v>0</v>
      </c>
      <c r="X47" s="8" t="n">
        <v>0</v>
      </c>
      <c r="Y47" s="8" t="inlineStr">
        <is>
          <t>1B play #2; 1B play #11 (2 RBI: E Skolkin/R Walsh + A Contreras score); 1B play #25 (2 RBI: A Contreras + E McCoy score, no error per Flag #5); 2B play #43; R scored play #5, play #14, play #44 via CR R Miller (credited to C Reis)</t>
        </is>
      </c>
    </row>
    <row r="48" ht="15.75" customHeight="1" s="35">
      <c r="A48" s="8" t="inlineStr">
        <is>
          <t>2026-03-21_RVRH_at_GLFR</t>
        </is>
      </c>
      <c r="B48" s="2" t="n">
        <v>46102</v>
      </c>
      <c r="C48" s="8" t="inlineStr">
        <is>
          <t>Guilford Park Varsity Panthers</t>
        </is>
      </c>
      <c r="D48" s="8" t="inlineStr">
        <is>
          <t>RVRH</t>
        </is>
      </c>
      <c r="E48" s="8" t="inlineStr">
        <is>
          <t>J Norwood</t>
        </is>
      </c>
      <c r="F48" s="8" t="n">
        <v>4</v>
      </c>
      <c r="G48" s="8" t="n">
        <v>2</v>
      </c>
      <c r="H48" s="8" t="n">
        <v>1</v>
      </c>
      <c r="I48" s="8" t="n">
        <v>1</v>
      </c>
      <c r="J48" s="8" t="n">
        <v>0</v>
      </c>
      <c r="K48" s="8" t="n">
        <v>0</v>
      </c>
      <c r="L48" s="8" t="n">
        <v>0</v>
      </c>
      <c r="M48" s="8" t="n">
        <v>1</v>
      </c>
      <c r="N48" s="8" t="n">
        <v>0</v>
      </c>
      <c r="O48" s="8" t="n">
        <v>1</v>
      </c>
      <c r="P48" s="8" t="n">
        <v>0</v>
      </c>
      <c r="Q48" s="8" t="n">
        <v>1</v>
      </c>
      <c r="R48" s="8" t="n">
        <v>1</v>
      </c>
      <c r="S48" s="8" t="n">
        <v>2</v>
      </c>
      <c r="T48" s="8" t="n">
        <v>0</v>
      </c>
      <c r="U48" s="8" t="n">
        <v>0</v>
      </c>
      <c r="V48" s="8" t="n">
        <v>0</v>
      </c>
      <c r="W48" s="8" t="n">
        <v>1</v>
      </c>
      <c r="X48" s="8" t="n">
        <v>0</v>
      </c>
      <c r="Y48" s="8" t="inlineStr">
        <is>
          <t>BB play #3; Fly Out play #12; 1B play #44 (1 RBI: R Miller/C Reis CR scores); SAC Fly play #59 (1 RBI: B Bixby scores); Foul Tip Out play #26 classified as K_S (foul tip on 3rd strike, contact made); R scored play #5 (C Naecker 1B); also pitches B4–B5 (Flag #7)</t>
        </is>
      </c>
    </row>
    <row r="49" ht="15.75" customHeight="1" s="35">
      <c r="A49" s="8" t="inlineStr">
        <is>
          <t>2026-03-21_RVRH_at_GLFR</t>
        </is>
      </c>
      <c r="B49" s="2" t="n">
        <v>46102</v>
      </c>
      <c r="C49" s="8" t="inlineStr">
        <is>
          <t>Guilford Park Varsity Panthers</t>
        </is>
      </c>
      <c r="D49" s="8" t="inlineStr">
        <is>
          <t>RVRH</t>
        </is>
      </c>
      <c r="E49" s="8" t="inlineStr">
        <is>
          <t>H Zhang</t>
        </is>
      </c>
      <c r="F49" s="8" t="n">
        <v>5</v>
      </c>
      <c r="G49" s="8" t="n">
        <v>3</v>
      </c>
      <c r="H49" s="8" t="n">
        <v>0</v>
      </c>
      <c r="I49" s="8" t="n">
        <v>0</v>
      </c>
      <c r="J49" s="8" t="n">
        <v>0</v>
      </c>
      <c r="K49" s="8" t="n">
        <v>0</v>
      </c>
      <c r="L49" s="8" t="n">
        <v>0</v>
      </c>
      <c r="M49" s="8" t="n">
        <v>1</v>
      </c>
      <c r="N49" s="8" t="n">
        <v>1</v>
      </c>
      <c r="O49" s="8" t="n">
        <v>0</v>
      </c>
      <c r="P49" s="8" t="n">
        <v>0</v>
      </c>
      <c r="Q49" s="8" t="n">
        <v>0</v>
      </c>
      <c r="R49" s="8" t="n">
        <v>2</v>
      </c>
      <c r="S49" s="8" t="n">
        <v>1</v>
      </c>
      <c r="T49" s="8" t="n">
        <v>0</v>
      </c>
      <c r="U49" s="8" t="n">
        <v>0</v>
      </c>
      <c r="V49" s="8" t="n">
        <v>0</v>
      </c>
      <c r="W49" s="8" t="n">
        <v>0</v>
      </c>
      <c r="X49" s="8" t="n">
        <v>1</v>
      </c>
      <c r="Y49" s="8" t="inlineStr">
        <is>
          <t>FC play #4 (1 RBI: R Walsh scores, no error); HBP play #13; Fly Out play #27; Ground Out play #45; Walk play #60; R scored play #7 (A Fields 1B) + play #15 (G Dang error — R via error, contributes to R total)</t>
        </is>
      </c>
    </row>
    <row r="50" ht="15.75" customHeight="1" s="35">
      <c r="A50" s="8" t="inlineStr">
        <is>
          <t>2026-03-21_RVRH_at_GLFR</t>
        </is>
      </c>
      <c r="B50" s="2" t="n">
        <v>46102</v>
      </c>
      <c r="C50" s="8" t="inlineStr">
        <is>
          <t>Guilford Park Varsity Panthers</t>
        </is>
      </c>
      <c r="D50" s="8" t="inlineStr">
        <is>
          <t>RVRH</t>
        </is>
      </c>
      <c r="E50" s="8" t="inlineStr">
        <is>
          <t>C Naecker</t>
        </is>
      </c>
      <c r="F50" s="8" t="n">
        <v>3</v>
      </c>
      <c r="G50" s="8" t="n">
        <v>3</v>
      </c>
      <c r="H50" s="8" t="n">
        <v>2</v>
      </c>
      <c r="I50" s="8" t="n">
        <v>2</v>
      </c>
      <c r="J50" s="8" t="n">
        <v>0</v>
      </c>
      <c r="K50" s="8" t="n">
        <v>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8" t="n">
        <v>2</v>
      </c>
      <c r="S50" s="8" t="n">
        <v>2</v>
      </c>
      <c r="T50" s="8" t="n">
        <v>0</v>
      </c>
      <c r="U50" s="8" t="n">
        <v>0</v>
      </c>
      <c r="V50" s="8" t="n">
        <v>0</v>
      </c>
      <c r="W50" s="8" t="n">
        <v>0</v>
      </c>
      <c r="X50" s="8" t="n">
        <v>0</v>
      </c>
      <c r="Y50" s="8" t="inlineStr">
        <is>
          <t>1B play #5 (2 RBI: J Norwood + C Reis score, no error per Flag #4); Error play #14 (not a hit; C Reis scores on error — no RBI); 1B play #32; R scored play #9 (A Contreras BB, forced) + play #15 (G Dang error); subbed by B Mougey T5 (play #52)</t>
        </is>
      </c>
    </row>
    <row r="51" ht="15.75" customHeight="1" s="35">
      <c r="A51" s="8" t="inlineStr">
        <is>
          <t>2026-03-21_RVRH_at_GLFR</t>
        </is>
      </c>
      <c r="B51" s="2" t="n">
        <v>46102</v>
      </c>
      <c r="C51" s="8" t="inlineStr">
        <is>
          <t>Guilford Park Varsity Panthers</t>
        </is>
      </c>
      <c r="D51" s="8" t="inlineStr">
        <is>
          <t>RVRH</t>
        </is>
      </c>
      <c r="E51" s="8" t="inlineStr">
        <is>
          <t>G Dang</t>
        </is>
      </c>
      <c r="F51" s="8" t="n">
        <v>3</v>
      </c>
      <c r="G51" s="8" t="n">
        <v>2</v>
      </c>
      <c r="H51" s="8" t="n">
        <v>0</v>
      </c>
      <c r="I51" s="8" t="n">
        <v>0</v>
      </c>
      <c r="J51" s="8" t="n">
        <v>0</v>
      </c>
      <c r="K51" s="8" t="n">
        <v>0</v>
      </c>
      <c r="L51" s="8" t="n">
        <v>0</v>
      </c>
      <c r="M51" s="8" t="n">
        <v>0</v>
      </c>
      <c r="N51" s="8" t="n">
        <v>1</v>
      </c>
      <c r="O51" s="8" t="n">
        <v>0</v>
      </c>
      <c r="P51" s="8" t="n">
        <v>0</v>
      </c>
      <c r="Q51" s="8" t="n">
        <v>0</v>
      </c>
      <c r="R51" s="8" t="n">
        <v>1</v>
      </c>
      <c r="S51" s="8" t="n">
        <v>0</v>
      </c>
      <c r="T51" s="8" t="n">
        <v>0</v>
      </c>
      <c r="U51" s="8" t="n">
        <v>0</v>
      </c>
      <c r="V51" s="8" t="n">
        <v>0</v>
      </c>
      <c r="W51" s="8" t="n">
        <v>0</v>
      </c>
      <c r="X51" s="8" t="n">
        <v>0</v>
      </c>
      <c r="Y51" s="8" t="inlineStr">
        <is>
          <t>HBP play #6; CR B Bixby used T1 (play #7 Sec4); Error play #15 (not a hit; runs scored on error — no RBI); Ground Out play #33; R credited play #10 via CR B Bixby (B Bixby scores on R Walsh 1B)</t>
        </is>
      </c>
    </row>
    <row r="52" ht="15.75" customHeight="1" s="35">
      <c r="A52" s="8" t="inlineStr">
        <is>
          <t>2026-03-21_RVRH_at_GLFR</t>
        </is>
      </c>
      <c r="B52" s="2" t="n">
        <v>46102</v>
      </c>
      <c r="C52" s="8" t="inlineStr">
        <is>
          <t>Guilford Park Varsity Panthers</t>
        </is>
      </c>
      <c r="D52" s="8" t="inlineStr">
        <is>
          <t>RVRH</t>
        </is>
      </c>
      <c r="E52" s="8" t="inlineStr">
        <is>
          <t>A Fields</t>
        </is>
      </c>
      <c r="F52" s="8" t="n">
        <v>3</v>
      </c>
      <c r="G52" s="8" t="n">
        <v>3</v>
      </c>
      <c r="H52" s="8" t="n">
        <v>1</v>
      </c>
      <c r="I52" s="8" t="n">
        <v>1</v>
      </c>
      <c r="J52" s="8" t="n">
        <v>0</v>
      </c>
      <c r="K52" s="8" t="n">
        <v>0</v>
      </c>
      <c r="L52" s="8" t="n">
        <v>0</v>
      </c>
      <c r="M52" s="8" t="n">
        <v>0</v>
      </c>
      <c r="N52" s="8" t="n">
        <v>0</v>
      </c>
      <c r="O52" s="8" t="n">
        <v>1</v>
      </c>
      <c r="P52" s="8" t="n">
        <v>1</v>
      </c>
      <c r="Q52" s="8" t="n">
        <v>0</v>
      </c>
      <c r="R52" s="8" t="n">
        <v>1</v>
      </c>
      <c r="S52" s="8" t="n">
        <v>1</v>
      </c>
      <c r="T52" s="8" t="n">
        <v>0</v>
      </c>
      <c r="U52" s="8" t="n">
        <v>0</v>
      </c>
      <c r="V52" s="8" t="n">
        <v>0</v>
      </c>
      <c r="W52" s="8" t="n">
        <v>0</v>
      </c>
      <c r="X52" s="8" t="n">
        <v>0</v>
      </c>
      <c r="Y52" s="8" t="inlineStr">
        <is>
          <t>1B play #7 (1 RBI: H Zhang scores); Fly Out play #16; K_L play #34 (Sec4 #34 final pitch 'Strike 3 looking'); R scored play #10 (R Walsh 1B)</t>
        </is>
      </c>
    </row>
    <row r="53" ht="15.75" customHeight="1" s="35">
      <c r="A53" s="8" t="inlineStr">
        <is>
          <t>2026-03-21_RVRH_at_GLFR</t>
        </is>
      </c>
      <c r="B53" s="2" t="n">
        <v>46102</v>
      </c>
      <c r="C53" s="8" t="inlineStr">
        <is>
          <t>Guilford Park Varsity Panthers</t>
        </is>
      </c>
      <c r="D53" s="8" t="inlineStr">
        <is>
          <t>RVRH</t>
        </is>
      </c>
      <c r="E53" s="8" t="inlineStr">
        <is>
          <t>E McCoy</t>
        </is>
      </c>
      <c r="F53" s="8" t="n">
        <v>3</v>
      </c>
      <c r="G53" s="8" t="n">
        <v>2</v>
      </c>
      <c r="H53" s="8" t="n">
        <v>0</v>
      </c>
      <c r="I53" s="8" t="n">
        <v>0</v>
      </c>
      <c r="J53" s="8" t="n">
        <v>0</v>
      </c>
      <c r="K53" s="8" t="n">
        <v>0</v>
      </c>
      <c r="L53" s="8" t="n">
        <v>0</v>
      </c>
      <c r="M53" s="8" t="n">
        <v>1</v>
      </c>
      <c r="N53" s="8" t="n">
        <v>0</v>
      </c>
      <c r="O53" s="8" t="n">
        <v>1</v>
      </c>
      <c r="P53" s="8" t="n">
        <v>0</v>
      </c>
      <c r="Q53" s="8" t="n">
        <v>1</v>
      </c>
      <c r="R53" s="8" t="n">
        <v>1</v>
      </c>
      <c r="S53" s="8" t="n">
        <v>0</v>
      </c>
      <c r="T53" s="8" t="n">
        <v>0</v>
      </c>
      <c r="U53" s="8" t="n">
        <v>0</v>
      </c>
      <c r="V53" s="8" t="n">
        <v>0</v>
      </c>
      <c r="W53" s="8" t="n">
        <v>0</v>
      </c>
      <c r="X53" s="8" t="n">
        <v>0</v>
      </c>
      <c r="Y53" s="8" t="inlineStr">
        <is>
          <t>K_S play #8 (Sec4 #8 'Strike 3 swinging'); Walk play #22; Ground Out play #35; R scored play #25 (C Reis 1B, no error per Flag #5)</t>
        </is>
      </c>
    </row>
    <row r="54" ht="15.75" customHeight="1" s="35">
      <c r="A54" s="8" t="inlineStr">
        <is>
          <t>2026-03-21_RVRH_at_GLFR</t>
        </is>
      </c>
      <c r="B54" s="2" t="n">
        <v>46102</v>
      </c>
      <c r="C54" s="8" t="inlineStr">
        <is>
          <t>Guilford Park Varsity Panthers</t>
        </is>
      </c>
      <c r="D54" s="8" t="inlineStr">
        <is>
          <t>RVRH</t>
        </is>
      </c>
      <c r="E54" s="8" t="inlineStr">
        <is>
          <t>A Contreras</t>
        </is>
      </c>
      <c r="F54" s="8" t="n">
        <v>3</v>
      </c>
      <c r="G54" s="8" t="n">
        <v>2</v>
      </c>
      <c r="H54" s="8" t="n">
        <v>1</v>
      </c>
      <c r="I54" s="8" t="n">
        <v>1</v>
      </c>
      <c r="J54" s="8" t="n">
        <v>0</v>
      </c>
      <c r="K54" s="8" t="n">
        <v>0</v>
      </c>
      <c r="L54" s="8" t="n">
        <v>0</v>
      </c>
      <c r="M54" s="8" t="n">
        <v>1</v>
      </c>
      <c r="N54" s="8" t="n">
        <v>0</v>
      </c>
      <c r="O54" s="8" t="n">
        <v>0</v>
      </c>
      <c r="P54" s="8" t="n">
        <v>0</v>
      </c>
      <c r="Q54" s="8" t="n">
        <v>0</v>
      </c>
      <c r="R54" s="8" t="n">
        <v>2</v>
      </c>
      <c r="S54" s="8" t="n">
        <v>1</v>
      </c>
      <c r="T54" s="8" t="n">
        <v>0</v>
      </c>
      <c r="U54" s="8" t="n">
        <v>0</v>
      </c>
      <c r="V54" s="8" t="n">
        <v>0</v>
      </c>
      <c r="W54" s="8" t="n">
        <v>0</v>
      </c>
      <c r="X54" s="8" t="n">
        <v>0</v>
      </c>
      <c r="Y54" s="8" t="inlineStr">
        <is>
          <t>Walk play #9 (1 RBI: C Naecker scores, bases-loaded); 1B play #23; Pop Out play #41; R scored play #11 (C Reis 1B) + play #25 (C Reis 1B, advances to 3rd on throw, then scores)</t>
        </is>
      </c>
    </row>
    <row r="55" ht="15.75" customHeight="1" s="35">
      <c r="A55" s="8" t="inlineStr">
        <is>
          <t>2026-03-21_RVRH_at_GLFR</t>
        </is>
      </c>
      <c r="B55" s="2" t="n">
        <v>46102</v>
      </c>
      <c r="C55" s="8" t="inlineStr">
        <is>
          <t>Guilford Park Varsity Panthers</t>
        </is>
      </c>
      <c r="D55" s="8" t="inlineStr">
        <is>
          <t>RVRH</t>
        </is>
      </c>
      <c r="E55" s="8" t="inlineStr">
        <is>
          <t>E Skolkin</t>
        </is>
      </c>
      <c r="F55" s="8" t="n">
        <v>1</v>
      </c>
      <c r="G55" s="8" t="n">
        <v>1</v>
      </c>
      <c r="H55" s="8" t="n">
        <v>0</v>
      </c>
      <c r="I55" s="8" t="n">
        <v>0</v>
      </c>
      <c r="J55" s="8" t="n">
        <v>0</v>
      </c>
      <c r="K55" s="8" t="n">
        <v>0</v>
      </c>
      <c r="L55" s="8" t="n">
        <v>0</v>
      </c>
      <c r="M55" s="8" t="n">
        <v>0</v>
      </c>
      <c r="N55" s="8" t="n">
        <v>0</v>
      </c>
      <c r="O55" s="8" t="n">
        <v>0</v>
      </c>
      <c r="P55" s="8" t="n">
        <v>0</v>
      </c>
      <c r="Q55" s="8" t="n">
        <v>0</v>
      </c>
      <c r="R55" s="8" t="n">
        <v>1</v>
      </c>
      <c r="S55" s="8" t="n">
        <v>0</v>
      </c>
      <c r="T55" s="8" t="n">
        <v>0</v>
      </c>
      <c r="U55" s="8" t="n">
        <v>0</v>
      </c>
      <c r="V55" s="8" t="n">
        <v>0</v>
      </c>
      <c r="W55" s="8" t="n">
        <v>0</v>
      </c>
      <c r="X55" s="8" t="n">
        <v>1</v>
      </c>
      <c r="Y55" s="8" t="inlineStr">
        <is>
          <t>FC play #54 (T5); R scored play #57 (R Walsh 2B); also used as CR for R Walsh T1 (play #11 Sec4) — run credited to R Walsh, not E Skolkin</t>
        </is>
      </c>
    </row>
    <row r="56" ht="15.75" customHeight="1" s="35">
      <c r="A56" s="8" t="inlineStr">
        <is>
          <t>2026-03-21_RVRH_at_GLFR</t>
        </is>
      </c>
      <c r="B56" s="2" t="n">
        <v>46102</v>
      </c>
      <c r="C56" s="8" t="inlineStr">
        <is>
          <t>Guilford Park Varsity Panthers</t>
        </is>
      </c>
      <c r="D56" s="8" t="inlineStr">
        <is>
          <t>RVRH</t>
        </is>
      </c>
      <c r="E56" s="8" t="inlineStr">
        <is>
          <t>B Bixby</t>
        </is>
      </c>
      <c r="F56" s="8" t="n">
        <v>1</v>
      </c>
      <c r="G56" s="8" t="n">
        <v>0</v>
      </c>
      <c r="H56" s="8" t="n">
        <v>0</v>
      </c>
      <c r="I56" s="8" t="n">
        <v>0</v>
      </c>
      <c r="J56" s="8" t="n">
        <v>0</v>
      </c>
      <c r="K56" s="8" t="n">
        <v>0</v>
      </c>
      <c r="L56" s="8" t="n">
        <v>0</v>
      </c>
      <c r="M56" s="8" t="n">
        <v>1</v>
      </c>
      <c r="N56" s="8" t="n">
        <v>0</v>
      </c>
      <c r="O56" s="8" t="n">
        <v>0</v>
      </c>
      <c r="P56" s="8" t="n">
        <v>0</v>
      </c>
      <c r="Q56" s="8" t="n">
        <v>0</v>
      </c>
      <c r="R56" s="8" t="n">
        <v>1</v>
      </c>
      <c r="S56" s="8" t="n">
        <v>1</v>
      </c>
      <c r="T56" s="8" t="n">
        <v>0</v>
      </c>
      <c r="U56" s="8" t="n">
        <v>0</v>
      </c>
      <c r="V56" s="8" t="n">
        <v>0</v>
      </c>
      <c r="W56" s="8" t="n">
        <v>0</v>
      </c>
      <c r="X56" s="8" t="n">
        <v>0</v>
      </c>
      <c r="Y56" s="8" t="inlineStr">
        <is>
          <t>Walk play #56 (T5; 1 RBI: B Mougey scores, forced); R scored play #59 (J Norwood SAC Fly); also used as CR for G Dang T1 (play #7 Sec4) — run from that CR credited to G Dang; 2 errors as LF T6 (plays #49, #52 — separate from batting)</t>
        </is>
      </c>
    </row>
    <row r="57" ht="15.75" customHeight="1" s="35">
      <c r="A57" s="8" t="inlineStr">
        <is>
          <t>2026-03-21_RVRH_at_GLFR</t>
        </is>
      </c>
      <c r="B57" s="2" t="n">
        <v>46102</v>
      </c>
      <c r="C57" s="8" t="inlineStr">
        <is>
          <t>Guilford Park Varsity Panthers</t>
        </is>
      </c>
      <c r="D57" s="8" t="inlineStr">
        <is>
          <t>RVRH</t>
        </is>
      </c>
      <c r="E57" s="8" t="inlineStr">
        <is>
          <t>R Ronayne</t>
        </is>
      </c>
      <c r="F57" s="8" t="n">
        <v>1</v>
      </c>
      <c r="G57" s="8" t="n">
        <v>0</v>
      </c>
      <c r="H57" s="8" t="n">
        <v>0</v>
      </c>
      <c r="I57" s="8" t="n">
        <v>0</v>
      </c>
      <c r="J57" s="8" t="n">
        <v>0</v>
      </c>
      <c r="K57" s="8" t="n">
        <v>0</v>
      </c>
      <c r="L57" s="8" t="n">
        <v>0</v>
      </c>
      <c r="M57" s="8" t="n">
        <v>1</v>
      </c>
      <c r="N57" s="8" t="n">
        <v>0</v>
      </c>
      <c r="O57" s="8" t="n">
        <v>0</v>
      </c>
      <c r="P57" s="8" t="n">
        <v>0</v>
      </c>
      <c r="Q57" s="8" t="n">
        <v>0</v>
      </c>
      <c r="R57" s="8" t="n">
        <v>0</v>
      </c>
      <c r="S57" s="8" t="n">
        <v>0</v>
      </c>
      <c r="T57" s="8" t="n">
        <v>0</v>
      </c>
      <c r="U57" s="8" t="n">
        <v>0</v>
      </c>
      <c r="V57" s="8" t="n">
        <v>0</v>
      </c>
      <c r="W57" s="8" t="n">
        <v>0</v>
      </c>
      <c r="X57" s="8" t="n">
        <v>0</v>
      </c>
      <c r="Y57" s="8" t="inlineStr">
        <is>
          <t>Walk play #53 (T5); out on FC play #54 (E Skolkin FC, R Ronayne out advancing to 2nd); T6 play #69 AB not counted (no outcome recorded, Flag #1)</t>
        </is>
      </c>
    </row>
    <row r="58" ht="15.75" customHeight="1" s="35">
      <c r="A58" s="8" t="inlineStr">
        <is>
          <t>2026-03-21_RVRH_at_GLFR</t>
        </is>
      </c>
      <c r="B58" s="2" t="n">
        <v>46102</v>
      </c>
      <c r="C58" s="8" t="inlineStr">
        <is>
          <t>Guilford Park Varsity Panthers</t>
        </is>
      </c>
      <c r="D58" s="8" t="inlineStr">
        <is>
          <t>RVRH</t>
        </is>
      </c>
      <c r="E58" s="8" t="inlineStr">
        <is>
          <t>B Mougey</t>
        </is>
      </c>
      <c r="F58" s="8" t="n">
        <v>2</v>
      </c>
      <c r="G58" s="8" t="n">
        <v>2</v>
      </c>
      <c r="H58" s="8" t="n">
        <v>1</v>
      </c>
      <c r="I58" s="8" t="n">
        <v>1</v>
      </c>
      <c r="J58" s="8" t="n">
        <v>0</v>
      </c>
      <c r="K58" s="8" t="n">
        <v>0</v>
      </c>
      <c r="L58" s="8" t="n">
        <v>0</v>
      </c>
      <c r="M58" s="8" t="n">
        <v>0</v>
      </c>
      <c r="N58" s="8" t="n">
        <v>0</v>
      </c>
      <c r="O58" s="8" t="n">
        <v>1</v>
      </c>
      <c r="P58" s="8" t="n">
        <v>1</v>
      </c>
      <c r="Q58" s="8" t="n">
        <v>0</v>
      </c>
      <c r="R58" s="8" t="n">
        <v>1</v>
      </c>
      <c r="S58" s="8" t="n">
        <v>0</v>
      </c>
      <c r="T58" s="8" t="n">
        <v>0</v>
      </c>
      <c r="U58" s="8" t="n">
        <v>0</v>
      </c>
      <c r="V58" s="8" t="n">
        <v>0</v>
      </c>
      <c r="W58" s="8" t="n">
        <v>0</v>
      </c>
      <c r="X58" s="8" t="n">
        <v>0</v>
      </c>
      <c r="Y58" s="8" t="inlineStr">
        <is>
          <t>Sub for C Naecker T5 (play #52 Sec4); 1B play #52; K_L play #61 (Sec4 #61 'Strike 3 looking'); R scored play #56 (B Bixby BB, B Mougey forced home from 3rd)</t>
        </is>
      </c>
    </row>
    <row r="59" ht="15.75" customHeight="1" s="35">
      <c r="A59" s="8" t="inlineStr">
        <is>
          <t>2026-03-21_RVRH_at_GLFR</t>
        </is>
      </c>
      <c r="B59" s="2" t="n">
        <v>46102</v>
      </c>
      <c r="C59" s="8" t="inlineStr">
        <is>
          <t>Guilford Park Varsity Panthers</t>
        </is>
      </c>
      <c r="D59" s="8" t="inlineStr">
        <is>
          <t>RVRH</t>
        </is>
      </c>
      <c r="E59" s="8" t="inlineStr">
        <is>
          <t>L Kreisl</t>
        </is>
      </c>
      <c r="F59" s="8" t="n">
        <v>1</v>
      </c>
      <c r="G59" s="8" t="n">
        <v>0</v>
      </c>
      <c r="H59" s="8" t="n">
        <v>0</v>
      </c>
      <c r="I59" s="8" t="n">
        <v>0</v>
      </c>
      <c r="J59" s="8" t="n">
        <v>0</v>
      </c>
      <c r="K59" s="8" t="n">
        <v>0</v>
      </c>
      <c r="L59" s="8" t="n">
        <v>0</v>
      </c>
      <c r="M59" s="8" t="n">
        <v>1</v>
      </c>
      <c r="N59" s="8" t="n">
        <v>0</v>
      </c>
      <c r="O59" s="8" t="n">
        <v>0</v>
      </c>
      <c r="P59" s="8" t="n">
        <v>0</v>
      </c>
      <c r="Q59" s="8" t="n">
        <v>0</v>
      </c>
      <c r="R59" s="8" t="n">
        <v>1</v>
      </c>
      <c r="S59" s="8" t="n">
        <v>0</v>
      </c>
      <c r="T59" s="8" t="n">
        <v>0</v>
      </c>
      <c r="U59" s="8" t="n">
        <v>0</v>
      </c>
      <c r="V59" s="8" t="n">
        <v>0</v>
      </c>
      <c r="W59" s="8" t="n">
        <v>0</v>
      </c>
      <c r="X59" s="8" t="n">
        <v>0</v>
      </c>
      <c r="Y59" s="8" t="inlineStr">
        <is>
          <t>Walk play #55 (T5); R scored play #57 (R Walsh 2B)</t>
        </is>
      </c>
    </row>
    <row r="60" ht="15.75" customHeight="1" s="35">
      <c r="A60" s="8" t="inlineStr">
        <is>
          <t>2026-03-21_RVRH_at_GLFR</t>
        </is>
      </c>
      <c r="B60" s="2" t="n">
        <v>46102</v>
      </c>
      <c r="C60" s="8" t="inlineStr">
        <is>
          <t>Guilford Park Varsity Panthers</t>
        </is>
      </c>
      <c r="D60" s="8" t="inlineStr">
        <is>
          <t>RVRH</t>
        </is>
      </c>
      <c r="E60" s="8" t="inlineStr">
        <is>
          <t>R Miller</t>
        </is>
      </c>
      <c r="F60" s="8" t="n">
        <v>1</v>
      </c>
      <c r="G60" s="8" t="n">
        <v>0</v>
      </c>
      <c r="H60" s="8" t="n">
        <v>0</v>
      </c>
      <c r="I60" s="8" t="n">
        <v>0</v>
      </c>
      <c r="J60" s="8" t="n">
        <v>0</v>
      </c>
      <c r="K60" s="8" t="n">
        <v>0</v>
      </c>
      <c r="L60" s="8" t="n">
        <v>0</v>
      </c>
      <c r="M60" s="8" t="n">
        <v>1</v>
      </c>
      <c r="N60" s="8" t="n">
        <v>0</v>
      </c>
      <c r="O60" s="8" t="n">
        <v>0</v>
      </c>
      <c r="P60" s="8" t="n">
        <v>0</v>
      </c>
      <c r="Q60" s="8" t="n">
        <v>0</v>
      </c>
      <c r="R60" s="8" t="n">
        <v>0</v>
      </c>
      <c r="S60" s="8" t="n">
        <v>0</v>
      </c>
      <c r="T60" s="8" t="n">
        <v>0</v>
      </c>
      <c r="U60" s="8" t="n">
        <v>0</v>
      </c>
      <c r="V60" s="8" t="n">
        <v>0</v>
      </c>
      <c r="W60" s="8" t="n">
        <v>0</v>
      </c>
      <c r="X60" s="8" t="n">
        <v>0</v>
      </c>
      <c r="Y60" s="8" t="inlineStr">
        <is>
          <t>Walk play #58 (T5); stranded at 2nd (B Mougey K ends inning); also used as CR for C Reis T4 (play #44 Sec4) — run credited to C Reis, not R Miller</t>
        </is>
      </c>
    </row>
    <row r="61" ht="15.75" customHeight="1" s="35">
      <c r="A61" s="8" t="inlineStr">
        <is>
          <t>2026-03-21_RVRH_at_GLFR</t>
        </is>
      </c>
      <c r="B61" s="2" t="n">
        <v>46102</v>
      </c>
      <c r="C61" s="8" t="inlineStr">
        <is>
          <t>Guilford Park Varsity Panthers</t>
        </is>
      </c>
      <c r="D61" s="8" t="inlineStr">
        <is>
          <t>GLFR</t>
        </is>
      </c>
      <c r="E61" s="8" t="inlineStr">
        <is>
          <t>GLFR_BS</t>
        </is>
      </c>
      <c r="F61" s="8" t="n">
        <v>3</v>
      </c>
      <c r="G61" s="8" t="n">
        <v>2</v>
      </c>
      <c r="H61" s="8" t="n">
        <v>1</v>
      </c>
      <c r="I61" s="8" t="n">
        <v>1</v>
      </c>
      <c r="J61" s="8" t="n">
        <v>0</v>
      </c>
      <c r="K61" s="8" t="n">
        <v>0</v>
      </c>
      <c r="L61" s="8" t="n">
        <v>0</v>
      </c>
      <c r="M61" s="8" t="n">
        <v>1</v>
      </c>
      <c r="N61" s="8" t="n">
        <v>0</v>
      </c>
      <c r="O61" s="8" t="n">
        <v>1</v>
      </c>
      <c r="P61" s="8" t="n">
        <v>0</v>
      </c>
      <c r="Q61" s="8" t="n">
        <v>1</v>
      </c>
      <c r="R61" s="8" t="n">
        <v>1</v>
      </c>
      <c r="S61" s="8" t="n">
        <v>2</v>
      </c>
      <c r="T61" s="8" t="n">
        <v>0</v>
      </c>
      <c r="U61" s="8" t="n">
        <v>0</v>
      </c>
      <c r="V61" s="8" t="n">
        <v>0</v>
      </c>
      <c r="W61" s="8" t="n">
        <v>0</v>
      </c>
      <c r="X61" s="8" t="n">
        <v>0</v>
      </c>
      <c r="Y61" s="8" t="inlineStr">
        <is>
          <t>Dropped 3rd strike B1 play #17 — out at first (K_S, Sec4 #17 'Strike 3 swinging'; Flag #13); Walk B3 play #36; 1B B4 play #50 (2 RBI: M R + J H score, no error per Flag #8); R scored B3 play #39 (L L FC DP, B S scores from 3rd); also pitches T1; GLFR name abbreviated per Flag #3</t>
        </is>
      </c>
    </row>
    <row r="62" ht="15.75" customHeight="1" s="35">
      <c r="A62" s="8" t="inlineStr">
        <is>
          <t>2026-03-21_RVRH_at_GLFR</t>
        </is>
      </c>
      <c r="B62" s="2" t="n">
        <v>46102</v>
      </c>
      <c r="C62" s="8" t="inlineStr">
        <is>
          <t>Guilford Park Varsity Panthers</t>
        </is>
      </c>
      <c r="D62" s="8" t="inlineStr">
        <is>
          <t>GLFR</t>
        </is>
      </c>
      <c r="E62" s="8" t="inlineStr">
        <is>
          <t>GLFR_AA</t>
        </is>
      </c>
      <c r="F62" s="8" t="n">
        <v>3</v>
      </c>
      <c r="G62" s="8" t="n">
        <v>2</v>
      </c>
      <c r="H62" s="8" t="n">
        <v>0</v>
      </c>
      <c r="I62" s="8" t="n">
        <v>0</v>
      </c>
      <c r="J62" s="8" t="n">
        <v>0</v>
      </c>
      <c r="K62" s="8" t="n">
        <v>0</v>
      </c>
      <c r="L62" s="8" t="n">
        <v>0</v>
      </c>
      <c r="M62" s="8" t="n">
        <v>1</v>
      </c>
      <c r="N62" s="8" t="n">
        <v>0</v>
      </c>
      <c r="O62" s="8" t="n">
        <v>2</v>
      </c>
      <c r="P62" s="8" t="n">
        <v>1</v>
      </c>
      <c r="Q62" s="8" t="n">
        <v>1</v>
      </c>
      <c r="R62" s="8" t="n">
        <v>0</v>
      </c>
      <c r="S62" s="8" t="n">
        <v>0</v>
      </c>
      <c r="T62" s="8" t="n">
        <v>0</v>
      </c>
      <c r="U62" s="8" t="n">
        <v>0</v>
      </c>
      <c r="V62" s="8" t="n">
        <v>0</v>
      </c>
      <c r="W62" s="8" t="n">
        <v>0</v>
      </c>
      <c r="X62" s="8" t="n">
        <v>0</v>
      </c>
      <c r="Y62" s="8" t="inlineStr">
        <is>
          <t>K_L B1 play #18 (Sec4 #18 'Strike 3 looking'); Walk B3 play #37; K_S B4 play #51 (Sec4 #51 'Strike 3 swinging'); also pitches T2–T4; GLFR name abbreviated per Flag #3</t>
        </is>
      </c>
    </row>
    <row r="63" ht="15.75" customHeight="1" s="35">
      <c r="A63" s="8" t="inlineStr">
        <is>
          <t>2026-03-21_RVRH_at_GLFR</t>
        </is>
      </c>
      <c r="B63" s="2" t="n">
        <v>46102</v>
      </c>
      <c r="C63" s="8" t="inlineStr">
        <is>
          <t>Guilford Park Varsity Panthers</t>
        </is>
      </c>
      <c r="D63" s="8" t="inlineStr">
        <is>
          <t>GLFR</t>
        </is>
      </c>
      <c r="E63" s="8" t="inlineStr">
        <is>
          <t>GLFR_LR</t>
        </is>
      </c>
      <c r="F63" s="8" t="n">
        <v>3</v>
      </c>
      <c r="G63" s="8" t="n">
        <v>0</v>
      </c>
      <c r="H63" s="8" t="n">
        <v>0</v>
      </c>
      <c r="I63" s="8" t="n">
        <v>0</v>
      </c>
      <c r="J63" s="8" t="n">
        <v>0</v>
      </c>
      <c r="K63" s="8" t="n">
        <v>0</v>
      </c>
      <c r="L63" s="8" t="n">
        <v>0</v>
      </c>
      <c r="M63" s="8" t="n">
        <v>3</v>
      </c>
      <c r="N63" s="8" t="n">
        <v>0</v>
      </c>
      <c r="O63" s="8" t="n">
        <v>0</v>
      </c>
      <c r="P63" s="8" t="n">
        <v>0</v>
      </c>
      <c r="Q63" s="8" t="n">
        <v>0</v>
      </c>
      <c r="R63" s="8" t="n">
        <v>0</v>
      </c>
      <c r="S63" s="8" t="n">
        <v>0</v>
      </c>
      <c r="T63" s="8" t="n">
        <v>0</v>
      </c>
      <c r="U63" s="8" t="n">
        <v>1</v>
      </c>
      <c r="V63" s="8" t="n">
        <v>0</v>
      </c>
      <c r="W63" s="8" t="n">
        <v>0</v>
      </c>
      <c r="X63" s="8" t="n">
        <v>0</v>
      </c>
      <c r="Y63" s="8" t="inlineStr">
        <is>
          <t>Walk B1 play #19; Walk B3 play #38; Walk B5 play #62 (CR Z M in during AB, Sec4 #63); CS=1: CR Z M caught stealing home (Sec4 play #66, B5, during M R walk AB) — CS credited to L R per CR tracking; GLFR name abbreviated per Flag #3</t>
        </is>
      </c>
    </row>
    <row r="64" ht="15.75" customHeight="1" s="35">
      <c r="A64" s="8" t="inlineStr">
        <is>
          <t>2026-03-21_RVRH_at_GLFR</t>
        </is>
      </c>
      <c r="B64" s="2" t="n">
        <v>46102</v>
      </c>
      <c r="C64" s="8" t="inlineStr">
        <is>
          <t>Guilford Park Varsity Panthers</t>
        </is>
      </c>
      <c r="D64" s="8" t="inlineStr">
        <is>
          <t>GLFR</t>
        </is>
      </c>
      <c r="E64" s="8" t="inlineStr">
        <is>
          <t>GLFR_LL</t>
        </is>
      </c>
      <c r="F64" s="8" t="n">
        <v>3</v>
      </c>
      <c r="G64" s="8" t="n">
        <v>2</v>
      </c>
      <c r="H64" s="8" t="n">
        <v>1</v>
      </c>
      <c r="I64" s="8" t="n">
        <v>0</v>
      </c>
      <c r="J64" s="8" t="n">
        <v>1</v>
      </c>
      <c r="K64" s="8" t="n">
        <v>0</v>
      </c>
      <c r="L64" s="8" t="n">
        <v>0</v>
      </c>
      <c r="M64" s="8" t="n">
        <v>1</v>
      </c>
      <c r="N64" s="8" t="n">
        <v>0</v>
      </c>
      <c r="O64" s="8" t="n">
        <v>0</v>
      </c>
      <c r="P64" s="8" t="n">
        <v>0</v>
      </c>
      <c r="Q64" s="8" t="n">
        <v>0</v>
      </c>
      <c r="R64" s="8" t="n">
        <v>1</v>
      </c>
      <c r="S64" s="8" t="n">
        <v>0</v>
      </c>
      <c r="T64" s="8" t="n">
        <v>0</v>
      </c>
      <c r="U64" s="8" t="n">
        <v>0</v>
      </c>
      <c r="V64" s="8" t="n">
        <v>1</v>
      </c>
      <c r="W64" s="8" t="n">
        <v>0</v>
      </c>
      <c r="X64" s="8" t="n">
        <v>1</v>
      </c>
      <c r="Y64" s="8" t="inlineStr">
        <is>
          <t>Walk B1 play #20; FC Double Play B3 play #39 (GDP+1 and FC+1 per 'double play' in outcome; Flag #6 — routing inconsistency; L L reaches safely); 2B B5 play #63; R scored play #66 (steals home during M R walk AB, Sec4); also pitches T5; GLFR name abbreviated per Flag #3</t>
        </is>
      </c>
    </row>
    <row r="65" ht="15.75" customHeight="1" s="35">
      <c r="A65" s="8" t="inlineStr">
        <is>
          <t>2026-03-21_RVRH_at_GLFR</t>
        </is>
      </c>
      <c r="B65" s="2" t="n">
        <v>46102</v>
      </c>
      <c r="C65" s="8" t="inlineStr">
        <is>
          <t>Guilford Park Varsity Panthers</t>
        </is>
      </c>
      <c r="D65" s="8" t="inlineStr">
        <is>
          <t>GLFR</t>
        </is>
      </c>
      <c r="E65" s="8" t="inlineStr">
        <is>
          <t>GLFR_ST</t>
        </is>
      </c>
      <c r="F65" s="8" t="n">
        <v>3</v>
      </c>
      <c r="G65" s="8" t="n">
        <v>2</v>
      </c>
      <c r="H65" s="8" t="n">
        <v>0</v>
      </c>
      <c r="I65" s="8" t="n">
        <v>0</v>
      </c>
      <c r="J65" s="8" t="n">
        <v>0</v>
      </c>
      <c r="K65" s="8" t="n">
        <v>0</v>
      </c>
      <c r="L65" s="8" t="n">
        <v>0</v>
      </c>
      <c r="M65" s="8" t="n">
        <v>1</v>
      </c>
      <c r="N65" s="8" t="n">
        <v>0</v>
      </c>
      <c r="O65" s="8" t="n">
        <v>1</v>
      </c>
      <c r="P65" s="8" t="n">
        <v>1</v>
      </c>
      <c r="Q65" s="8" t="n">
        <v>0</v>
      </c>
      <c r="R65" s="8" t="n">
        <v>1</v>
      </c>
      <c r="S65" s="8" t="n">
        <v>0</v>
      </c>
      <c r="T65" s="8" t="n">
        <v>1</v>
      </c>
      <c r="U65" s="8" t="n">
        <v>0</v>
      </c>
      <c r="V65" s="8" t="n">
        <v>0</v>
      </c>
      <c r="W65" s="8" t="n">
        <v>0</v>
      </c>
      <c r="X65" s="8" t="n">
        <v>1</v>
      </c>
      <c r="Y65" s="8" t="inlineStr">
        <is>
          <t>K_L B1 play #21 (Sec4 #21 'Strike 3 looking'); FC B3 play #40 (L L out advancing to 2nd); Walk B5 play #64; SB=1: steals 2nd embedded Sec4 play #66 (B5, during M R walk AB); R scored play #67 (I W 1B, S T scores on throw, no error per Flag #10); GLFR name abbreviated per Flag #3</t>
        </is>
      </c>
    </row>
    <row r="66" ht="15.75" customHeight="1" s="35">
      <c r="A66" s="8" t="inlineStr">
        <is>
          <t>2026-03-21_RVRH_at_GLFR</t>
        </is>
      </c>
      <c r="B66" s="2" t="n">
        <v>46102</v>
      </c>
      <c r="C66" s="8" t="inlineStr">
        <is>
          <t>Guilford Park Varsity Panthers</t>
        </is>
      </c>
      <c r="D66" s="8" t="inlineStr">
        <is>
          <t>GLFR</t>
        </is>
      </c>
      <c r="E66" s="8" t="inlineStr">
        <is>
          <t>GLFR_JH</t>
        </is>
      </c>
      <c r="F66" s="8" t="n">
        <v>3</v>
      </c>
      <c r="G66" s="8" t="n">
        <v>2</v>
      </c>
      <c r="H66" s="8" t="n">
        <v>1</v>
      </c>
      <c r="I66" s="8" t="n">
        <v>0</v>
      </c>
      <c r="J66" s="8" t="n">
        <v>0</v>
      </c>
      <c r="K66" s="8" t="n">
        <v>1</v>
      </c>
      <c r="L66" s="8" t="n">
        <v>0</v>
      </c>
      <c r="M66" s="8" t="n">
        <v>0</v>
      </c>
      <c r="N66" s="8" t="n">
        <v>1</v>
      </c>
      <c r="O66" s="8" t="n">
        <v>0</v>
      </c>
      <c r="P66" s="8" t="n">
        <v>0</v>
      </c>
      <c r="Q66" s="8" t="n">
        <v>0</v>
      </c>
      <c r="R66" s="8" t="n">
        <v>2</v>
      </c>
      <c r="S66" s="8" t="n">
        <v>0</v>
      </c>
      <c r="T66" s="8" t="n">
        <v>0</v>
      </c>
      <c r="U66" s="8" t="n">
        <v>0</v>
      </c>
      <c r="V66" s="8" t="n">
        <v>0</v>
      </c>
      <c r="W66" s="8" t="n">
        <v>0</v>
      </c>
      <c r="X66" s="8" t="n">
        <v>0</v>
      </c>
      <c r="Y66" s="8" t="inlineStr">
        <is>
          <t>3B B2 play #28; HBP B4 play #46; Infield Fly Out B5 play #65; R scored play #29 (M R SAC Fly) + play #50 (B S 1B, J H scores from 3rd after PB advanced him; Flag #8); GLFR name abbreviated per Flag #3</t>
        </is>
      </c>
    </row>
    <row r="67" ht="15.75" customHeight="1" s="35">
      <c r="A67" s="8" t="inlineStr">
        <is>
          <t>2026-03-21_RVRH_at_GLFR</t>
        </is>
      </c>
      <c r="B67" s="2" t="n">
        <v>46102</v>
      </c>
      <c r="C67" s="8" t="inlineStr">
        <is>
          <t>Guilford Park Varsity Panthers</t>
        </is>
      </c>
      <c r="D67" s="8" t="inlineStr">
        <is>
          <t>GLFR</t>
        </is>
      </c>
      <c r="E67" s="8" t="inlineStr">
        <is>
          <t>GLFR_MR</t>
        </is>
      </c>
      <c r="F67" s="8" t="n">
        <v>3</v>
      </c>
      <c r="G67" s="8" t="n">
        <v>1</v>
      </c>
      <c r="H67" s="8" t="n">
        <v>1</v>
      </c>
      <c r="I67" s="8" t="n">
        <v>1</v>
      </c>
      <c r="J67" s="8" t="n">
        <v>0</v>
      </c>
      <c r="K67" s="8" t="n">
        <v>0</v>
      </c>
      <c r="L67" s="8" t="n">
        <v>0</v>
      </c>
      <c r="M67" s="8" t="n">
        <v>1</v>
      </c>
      <c r="N67" s="8" t="n">
        <v>0</v>
      </c>
      <c r="O67" s="8" t="n">
        <v>0</v>
      </c>
      <c r="P67" s="8" t="n">
        <v>0</v>
      </c>
      <c r="Q67" s="8" t="n">
        <v>0</v>
      </c>
      <c r="R67" s="8" t="n">
        <v>1</v>
      </c>
      <c r="S67" s="8" t="n">
        <v>1</v>
      </c>
      <c r="T67" s="8" t="n">
        <v>0</v>
      </c>
      <c r="U67" s="8" t="n">
        <v>0</v>
      </c>
      <c r="V67" s="8" t="n">
        <v>0</v>
      </c>
      <c r="W67" s="8" t="n">
        <v>1</v>
      </c>
      <c r="X67" s="8" t="n">
        <v>0</v>
      </c>
      <c r="Y67" s="8" t="inlineStr">
        <is>
          <t>SAC Fly B2 play #29 (1 RBI: J H scores; outcome explicitly says 'sacrifice fly'); 1B B4 play #47; Walk B5 play #66; R scored play #50 (B S 1B, M R scores on throw from 2nd after PB; Flag #8); GLFR name abbreviated per Flag #3</t>
        </is>
      </c>
    </row>
    <row r="68" ht="15.75" customHeight="1" s="35">
      <c r="A68" s="8" t="inlineStr">
        <is>
          <t>2026-03-21_RVRH_at_GLFR</t>
        </is>
      </c>
      <c r="B68" s="2" t="n">
        <v>46102</v>
      </c>
      <c r="C68" s="8" t="inlineStr">
        <is>
          <t>Guilford Park Varsity Panthers</t>
        </is>
      </c>
      <c r="D68" s="8" t="inlineStr">
        <is>
          <t>GLFR</t>
        </is>
      </c>
      <c r="E68" s="8" t="inlineStr">
        <is>
          <t>GLFR_IW</t>
        </is>
      </c>
      <c r="F68" s="8" t="n">
        <v>3</v>
      </c>
      <c r="G68" s="8" t="n">
        <v>3</v>
      </c>
      <c r="H68" s="8" t="n">
        <v>1</v>
      </c>
      <c r="I68" s="8" t="n">
        <v>1</v>
      </c>
      <c r="J68" s="8" t="n">
        <v>0</v>
      </c>
      <c r="K68" s="8" t="n">
        <v>0</v>
      </c>
      <c r="L68" s="8" t="n">
        <v>0</v>
      </c>
      <c r="M68" s="8" t="n">
        <v>0</v>
      </c>
      <c r="N68" s="8" t="n">
        <v>0</v>
      </c>
      <c r="O68" s="8" t="n">
        <v>2</v>
      </c>
      <c r="P68" s="8" t="n">
        <v>1</v>
      </c>
      <c r="Q68" s="8" t="n">
        <v>1</v>
      </c>
      <c r="R68" s="8" t="n">
        <v>0</v>
      </c>
      <c r="S68" s="8" t="n">
        <v>1</v>
      </c>
      <c r="T68" s="8" t="n">
        <v>0</v>
      </c>
      <c r="U68" s="8" t="n">
        <v>0</v>
      </c>
      <c r="V68" s="8" t="n">
        <v>0</v>
      </c>
      <c r="W68" s="8" t="n">
        <v>0</v>
      </c>
      <c r="X68" s="8" t="n">
        <v>0</v>
      </c>
      <c r="Y68" s="8" t="inlineStr">
        <is>
          <t>K_S B2 play #30 (Sec4 #30 'Strike 3 swinging'); K_L B4 play #48 (Sec4 #48 'Strike 3 looking'); 1B B5 play #67 (1 RBI: S T scores on throw, no error per Flag #10); GLFR name abbreviated per Flag #3</t>
        </is>
      </c>
    </row>
    <row r="69" ht="15.75" customHeight="1" s="35">
      <c r="A69" s="8" t="inlineStr">
        <is>
          <t>2026-03-21_RVRH_at_GLFR</t>
        </is>
      </c>
      <c r="B69" s="2" t="n">
        <v>46102</v>
      </c>
      <c r="C69" s="8" t="inlineStr">
        <is>
          <t>Guilford Park Varsity Panthers</t>
        </is>
      </c>
      <c r="D69" s="8" t="inlineStr">
        <is>
          <t>GLFR</t>
        </is>
      </c>
      <c r="E69" s="8" t="inlineStr">
        <is>
          <t>GLFR_JS</t>
        </is>
      </c>
      <c r="F69" s="8" t="n">
        <v>3</v>
      </c>
      <c r="G69" s="8" t="n">
        <v>3</v>
      </c>
      <c r="H69" s="8" t="n">
        <v>0</v>
      </c>
      <c r="I69" s="8" t="n">
        <v>0</v>
      </c>
      <c r="J69" s="8" t="n">
        <v>0</v>
      </c>
      <c r="K69" s="8" t="n">
        <v>0</v>
      </c>
      <c r="L69" s="8" t="n">
        <v>0</v>
      </c>
      <c r="M69" s="8" t="n">
        <v>0</v>
      </c>
      <c r="N69" s="8" t="n">
        <v>0</v>
      </c>
      <c r="O69" s="8" t="n">
        <v>3</v>
      </c>
      <c r="P69" s="8" t="n">
        <v>2</v>
      </c>
      <c r="Q69" s="8" t="n">
        <v>1</v>
      </c>
      <c r="R69" s="8" t="n">
        <v>0</v>
      </c>
      <c r="S69" s="8" t="n">
        <v>0</v>
      </c>
      <c r="T69" s="8" t="n">
        <v>0</v>
      </c>
      <c r="U69" s="8" t="n">
        <v>0</v>
      </c>
      <c r="V69" s="8" t="n">
        <v>0</v>
      </c>
      <c r="W69" s="8" t="n">
        <v>0</v>
      </c>
      <c r="X69" s="8" t="n">
        <v>0</v>
      </c>
      <c r="Y69" s="8" t="inlineStr">
        <is>
          <t>K_L B2 play #31 (Sec4 #31 'Strike 3 looking'); K_S B4 play #49 (Sec4 #49 'Strike 3 swinging'); K_L B5 play #68 (Sec4 #68 'Strike 3 looking'); GLFR name abbreviated per Flag #3</t>
        </is>
      </c>
    </row>
    <row r="70" ht="15.75" customHeight="1" s="35">
      <c r="A70" s="8" t="inlineStr">
        <is>
          <t>2026-03-23_WLDL_at_RVRH</t>
        </is>
      </c>
      <c r="B70" s="2" t="n">
        <v>46104</v>
      </c>
      <c r="C70" s="8" t="inlineStr">
        <is>
          <t>Wilde Lake Varsity Cats</t>
        </is>
      </c>
      <c r="D70" s="8" t="inlineStr">
        <is>
          <t>RVRH</t>
        </is>
      </c>
      <c r="E70" s="8" t="inlineStr">
        <is>
          <t>R Walsh</t>
        </is>
      </c>
      <c r="F70" s="8" t="n">
        <v>4</v>
      </c>
      <c r="G70" s="8" t="n">
        <v>2</v>
      </c>
      <c r="H70" s="8" t="n">
        <v>0</v>
      </c>
      <c r="I70" s="8" t="n">
        <v>0</v>
      </c>
      <c r="J70" s="8" t="n">
        <v>0</v>
      </c>
      <c r="K70" s="8" t="n">
        <v>0</v>
      </c>
      <c r="L70" s="8" t="n">
        <v>0</v>
      </c>
      <c r="M70" s="8" t="n">
        <v>2</v>
      </c>
      <c r="N70" s="8" t="n">
        <v>0</v>
      </c>
      <c r="O70" s="8" t="n">
        <v>1</v>
      </c>
      <c r="P70" s="8" t="n">
        <v>0</v>
      </c>
      <c r="Q70" s="8" t="n">
        <v>1</v>
      </c>
      <c r="R70" s="8" t="n">
        <v>1</v>
      </c>
      <c r="S70" s="8" t="n">
        <v>0</v>
      </c>
      <c r="T70" s="8" t="n">
        <v>1</v>
      </c>
      <c r="U70" s="8" t="n">
        <v>0</v>
      </c>
      <c r="V70" s="8" t="n">
        <v>0</v>
      </c>
      <c r="W70" s="8" t="n">
        <v>0</v>
      </c>
      <c r="X70" s="8" t="n">
        <v>0</v>
      </c>
      <c r="Y70" s="8" t="inlineStr">
        <is>
          <t>K_S B2 play #18 (Sec4 #18 'Strike 3 swinging'); SB B3: steals 2nd embedded in C Reis AB (Sec4 #32); R scored B3 play #32 on C Reis 1B (advanced 1st→2nd on SB, 2nd→3rd on PB during same AB, scored on single); sub A Wu takes R Walsh batting slot in B4 (play #54 note)</t>
        </is>
      </c>
    </row>
    <row r="71" ht="15.75" customHeight="1" s="35">
      <c r="A71" s="8" t="inlineStr">
        <is>
          <t>2026-03-23_WLDL_at_RVRH</t>
        </is>
      </c>
      <c r="B71" s="2" t="n">
        <v>46104</v>
      </c>
      <c r="C71" s="8" t="inlineStr">
        <is>
          <t>Wilde Lake Varsity Cats</t>
        </is>
      </c>
      <c r="D71" s="8" t="inlineStr">
        <is>
          <t>RVRH</t>
        </is>
      </c>
      <c r="E71" s="8" t="inlineStr">
        <is>
          <t>C Reis</t>
        </is>
      </c>
      <c r="F71" s="8" t="n">
        <v>4</v>
      </c>
      <c r="G71" s="8" t="n">
        <v>4</v>
      </c>
      <c r="H71" s="8" t="n">
        <v>1</v>
      </c>
      <c r="I71" s="8" t="n">
        <v>1</v>
      </c>
      <c r="J71" s="8" t="n">
        <v>0</v>
      </c>
      <c r="K71" s="8" t="n">
        <v>0</v>
      </c>
      <c r="L71" s="8" t="n">
        <v>0</v>
      </c>
      <c r="M71" s="8" t="n">
        <v>0</v>
      </c>
      <c r="N71" s="8" t="n">
        <v>0</v>
      </c>
      <c r="O71" s="8" t="n">
        <v>0</v>
      </c>
      <c r="P71" s="8" t="n">
        <v>0</v>
      </c>
      <c r="Q71" s="8" t="n">
        <v>0</v>
      </c>
      <c r="R71" s="8" t="n">
        <v>1</v>
      </c>
      <c r="S71" s="8" t="n">
        <v>1</v>
      </c>
      <c r="T71" s="8" t="n">
        <v>1</v>
      </c>
      <c r="U71" s="8" t="n">
        <v>0</v>
      </c>
      <c r="V71" s="8" t="n">
        <v>0</v>
      </c>
      <c r="W71" s="8" t="n">
        <v>0</v>
      </c>
      <c r="X71" s="8" t="n">
        <v>1</v>
      </c>
      <c r="Y71" s="8" t="inlineStr">
        <is>
          <t>1B B3 play #32 (RBI=1: R Walsh scores on single); SB B3: steals 2nd embedded in J Norwood AB (Sec4 #33); R scored B3 play #33 (J Norwood 2B, C Reis scores from 3rd after SB+WP during J Norwood AB); FC B3 play #41 (R Walsh out); sub R Miller/L Kreisl take C Reis batting slot in B4 (T4 play #44 note mislabeled as CR)</t>
        </is>
      </c>
    </row>
    <row r="72" ht="15.75" customHeight="1" s="35">
      <c r="A72" s="8" t="inlineStr">
        <is>
          <t>2026-03-23_WLDL_at_RVRH</t>
        </is>
      </c>
      <c r="B72" s="2" t="n">
        <v>46104</v>
      </c>
      <c r="C72" s="8" t="inlineStr">
        <is>
          <t>Wilde Lake Varsity Cats</t>
        </is>
      </c>
      <c r="D72" s="8" t="inlineStr">
        <is>
          <t>RVRH</t>
        </is>
      </c>
      <c r="E72" s="8" t="inlineStr">
        <is>
          <t>J Norwood</t>
        </is>
      </c>
      <c r="F72" s="8" t="n">
        <v>5</v>
      </c>
      <c r="G72" s="8" t="n">
        <v>4</v>
      </c>
      <c r="H72" s="8" t="n">
        <v>3</v>
      </c>
      <c r="I72" s="8" t="n">
        <v>1</v>
      </c>
      <c r="J72" s="8" t="n">
        <v>1</v>
      </c>
      <c r="K72" s="8" t="n">
        <v>1</v>
      </c>
      <c r="L72" s="8" t="n">
        <v>0</v>
      </c>
      <c r="M72" s="8" t="n">
        <v>1</v>
      </c>
      <c r="N72" s="8" t="n">
        <v>0</v>
      </c>
      <c r="O72" s="8" t="n">
        <v>0</v>
      </c>
      <c r="P72" s="8" t="n">
        <v>0</v>
      </c>
      <c r="Q72" s="8" t="n">
        <v>0</v>
      </c>
      <c r="R72" s="8" t="n">
        <v>4</v>
      </c>
      <c r="S72" s="8" t="n">
        <v>3</v>
      </c>
      <c r="T72" s="8" t="n">
        <v>0</v>
      </c>
      <c r="U72" s="8" t="n">
        <v>0</v>
      </c>
      <c r="V72" s="8" t="n">
        <v>0</v>
      </c>
      <c r="W72" s="8" t="n">
        <v>0</v>
      </c>
      <c r="X72" s="8" t="n">
        <v>0</v>
      </c>
      <c r="Y72" s="8" t="inlineStr">
        <is>
          <t>1B B1 play #6; 2B B3 play #33 (RBI=1: C Reis scores from 3rd); 3B B4 play #56 (RBI=2: A Wu + L Kreisl score); R: play #27 (G Dang triple), play #34 (H Zhang 1B), play #51 (A Fields walk, forced in), play #57 (R Ronayne 1B); picked off at 1B B1 play #7 — baserunner out, not a separate PA; also plays 1B</t>
        </is>
      </c>
    </row>
    <row r="73" ht="15.75" customHeight="1" s="35">
      <c r="A73" s="8" t="inlineStr">
        <is>
          <t>2026-03-23_WLDL_at_RVRH</t>
        </is>
      </c>
      <c r="B73" s="2" t="n">
        <v>46104</v>
      </c>
      <c r="C73" s="8" t="inlineStr">
        <is>
          <t>Wilde Lake Varsity Cats</t>
        </is>
      </c>
      <c r="D73" s="8" t="inlineStr">
        <is>
          <t>RVRH</t>
        </is>
      </c>
      <c r="E73" s="8" t="inlineStr">
        <is>
          <t>H Zhang</t>
        </is>
      </c>
      <c r="F73" s="8" t="n">
        <v>3</v>
      </c>
      <c r="G73" s="8" t="n">
        <v>2</v>
      </c>
      <c r="H73" s="8" t="n">
        <v>2</v>
      </c>
      <c r="I73" s="8" t="n">
        <v>1</v>
      </c>
      <c r="J73" s="8" t="n">
        <v>1</v>
      </c>
      <c r="K73" s="8" t="n">
        <v>0</v>
      </c>
      <c r="L73" s="8" t="n">
        <v>0</v>
      </c>
      <c r="M73" s="8" t="n">
        <v>0</v>
      </c>
      <c r="N73" s="8" t="n">
        <v>1</v>
      </c>
      <c r="O73" s="8" t="n">
        <v>0</v>
      </c>
      <c r="P73" s="8" t="n">
        <v>0</v>
      </c>
      <c r="Q73" s="8" t="n">
        <v>0</v>
      </c>
      <c r="R73" s="8" t="n">
        <v>3</v>
      </c>
      <c r="S73" s="8" t="n">
        <v>1</v>
      </c>
      <c r="T73" s="8" t="n">
        <v>0</v>
      </c>
      <c r="U73" s="8" t="n">
        <v>0</v>
      </c>
      <c r="V73" s="8" t="n">
        <v>0</v>
      </c>
      <c r="W73" s="8" t="n">
        <v>0</v>
      </c>
      <c r="X73" s="8" t="n">
        <v>0</v>
      </c>
      <c r="Y73" s="8" t="inlineStr">
        <is>
          <t>2B B2 play #12; HBP B3 play #25; 1B B3 play #34 (RBI=1: J Norwood scores from 2nd); R: play #14 (scores on PB by J Bunnell during G Dang K AB — no RBI for anyone), play #27 (G Dang triple, scores from 2nd), play #37 (WP during A Fields walk AB, B Habershon pitching — no RBI)</t>
        </is>
      </c>
    </row>
    <row r="74" ht="15.75" customHeight="1" s="35">
      <c r="A74" s="8" t="inlineStr">
        <is>
          <t>2026-03-23_WLDL_at_RVRH</t>
        </is>
      </c>
      <c r="B74" s="2" t="n">
        <v>46104</v>
      </c>
      <c r="C74" s="8" t="inlineStr">
        <is>
          <t>Wilde Lake Varsity Cats</t>
        </is>
      </c>
      <c r="D74" s="8" t="inlineStr">
        <is>
          <t>RVRH</t>
        </is>
      </c>
      <c r="E74" s="8" t="inlineStr">
        <is>
          <t>C Naecker</t>
        </is>
      </c>
      <c r="F74" s="8" t="n">
        <v>3</v>
      </c>
      <c r="G74" s="8" t="n">
        <v>3</v>
      </c>
      <c r="H74" s="8" t="n">
        <v>3</v>
      </c>
      <c r="I74" s="8" t="n">
        <v>3</v>
      </c>
      <c r="J74" s="8" t="n">
        <v>0</v>
      </c>
      <c r="K74" s="8" t="n">
        <v>0</v>
      </c>
      <c r="L74" s="8" t="n">
        <v>0</v>
      </c>
      <c r="M74" s="8" t="n">
        <v>0</v>
      </c>
      <c r="N74" s="8" t="n">
        <v>0</v>
      </c>
      <c r="O74" s="8" t="n">
        <v>0</v>
      </c>
      <c r="P74" s="8" t="n">
        <v>0</v>
      </c>
      <c r="Q74" s="8" t="n">
        <v>0</v>
      </c>
      <c r="R74" s="8" t="n">
        <v>3</v>
      </c>
      <c r="S74" s="8" t="n">
        <v>0</v>
      </c>
      <c r="T74" s="8" t="n">
        <v>0</v>
      </c>
      <c r="U74" s="8" t="n">
        <v>0</v>
      </c>
      <c r="V74" s="8" t="n">
        <v>0</v>
      </c>
      <c r="W74" s="8" t="n">
        <v>0</v>
      </c>
      <c r="X74" s="8" t="n">
        <v>0</v>
      </c>
      <c r="Y74" s="8" t="inlineStr">
        <is>
          <t>1B B2 play #13; 1B B3 play #26; 1B B3 play #35; R: play #14 (scores on error by J Bunnell during G Dang K AB — no RBI), play #27 (G Dang triple, scores from 1st), play #38 (WP during E McCoy walk AB — no RBI); replaced in B4 batting slot by C Nichols (no explicit lineup note)</t>
        </is>
      </c>
    </row>
    <row r="75" ht="15.75" customHeight="1" s="35">
      <c r="A75" s="8" t="inlineStr">
        <is>
          <t>2026-03-23_WLDL_at_RVRH</t>
        </is>
      </c>
      <c r="B75" s="2" t="n">
        <v>46104</v>
      </c>
      <c r="C75" s="8" t="inlineStr">
        <is>
          <t>Wilde Lake Varsity Cats</t>
        </is>
      </c>
      <c r="D75" s="8" t="inlineStr">
        <is>
          <t>RVRH</t>
        </is>
      </c>
      <c r="E75" s="8" t="inlineStr">
        <is>
          <t>G Dang</t>
        </is>
      </c>
      <c r="F75" s="8" t="n">
        <v>2</v>
      </c>
      <c r="G75" s="8" t="n">
        <v>2</v>
      </c>
      <c r="H75" s="8" t="n">
        <v>2</v>
      </c>
      <c r="I75" s="8" t="n">
        <v>1</v>
      </c>
      <c r="J75" s="8" t="n">
        <v>0</v>
      </c>
      <c r="K75" s="8" t="n">
        <v>1</v>
      </c>
      <c r="L75" s="8" t="n">
        <v>0</v>
      </c>
      <c r="M75" s="8" t="n">
        <v>0</v>
      </c>
      <c r="N75" s="8" t="n">
        <v>0</v>
      </c>
      <c r="O75" s="8" t="n">
        <v>0</v>
      </c>
      <c r="P75" s="8" t="n">
        <v>0</v>
      </c>
      <c r="Q75" s="8" t="n">
        <v>0</v>
      </c>
      <c r="R75" s="8" t="n">
        <v>2</v>
      </c>
      <c r="S75" s="8" t="n">
        <v>3</v>
      </c>
      <c r="T75" s="8" t="n">
        <v>0</v>
      </c>
      <c r="U75" s="8" t="n">
        <v>0</v>
      </c>
      <c r="V75" s="8" t="n">
        <v>0</v>
      </c>
      <c r="W75" s="8" t="n">
        <v>0</v>
      </c>
      <c r="X75" s="8" t="n">
        <v>0</v>
      </c>
      <c r="Y75" s="8" t="inlineStr">
        <is>
          <t>3B B3 play #27 (RBI=3: J Norwood + H Zhang + C Naecker score); CR B Bixby used; 1B B3 play #36 (bats 2nd time this inning, Flag #7); CR B Bixby used again (Sec4 #37); R×2 credited via CR B Bixby: play #28 (A Fields 1B, B Bixby scores from 3rd) and play #39 (A Contreras 2B, B Bixby scores from 3rd)</t>
        </is>
      </c>
    </row>
    <row r="76" ht="15.75" customHeight="1" s="35">
      <c r="A76" s="8" t="inlineStr">
        <is>
          <t>2026-03-23_WLDL_at_RVRH</t>
        </is>
      </c>
      <c r="B76" s="2" t="n">
        <v>46104</v>
      </c>
      <c r="C76" s="8" t="inlineStr">
        <is>
          <t>Wilde Lake Varsity Cats</t>
        </is>
      </c>
      <c r="D76" s="8" t="inlineStr">
        <is>
          <t>RVRH</t>
        </is>
      </c>
      <c r="E76" s="8" t="inlineStr">
        <is>
          <t>A Fields</t>
        </is>
      </c>
      <c r="F76" s="8" t="n">
        <v>4</v>
      </c>
      <c r="G76" s="8" t="n">
        <v>2</v>
      </c>
      <c r="H76" s="8" t="n">
        <v>2</v>
      </c>
      <c r="I76" s="8" t="n">
        <v>2</v>
      </c>
      <c r="J76" s="8" t="n">
        <v>0</v>
      </c>
      <c r="K76" s="8" t="n">
        <v>0</v>
      </c>
      <c r="L76" s="8" t="n">
        <v>0</v>
      </c>
      <c r="M76" s="8" t="n">
        <v>2</v>
      </c>
      <c r="N76" s="8" t="n">
        <v>0</v>
      </c>
      <c r="O76" s="8" t="n">
        <v>0</v>
      </c>
      <c r="P76" s="8" t="n">
        <v>0</v>
      </c>
      <c r="Q76" s="8" t="n">
        <v>0</v>
      </c>
      <c r="R76" s="8" t="n">
        <v>3</v>
      </c>
      <c r="S76" s="8" t="n">
        <v>2</v>
      </c>
      <c r="T76" s="8" t="n">
        <v>1</v>
      </c>
      <c r="U76" s="8" t="n">
        <v>0</v>
      </c>
      <c r="V76" s="8" t="n">
        <v>0</v>
      </c>
      <c r="W76" s="8" t="n">
        <v>0</v>
      </c>
      <c r="X76" s="8" t="n">
        <v>0</v>
      </c>
      <c r="Y76" s="8" t="inlineStr">
        <is>
          <t>1B B2 play #15; 1B B3 play #28 (RBI=1: B Bixby/G Dang scores from 3rd via CR); BB B3 play #37; BB B4 play #51 (RBI=1: J Norwood scores, forced in); SB B3: steals 2nd embedded in E McCoy K AB (Sec4 #29); R: play #32 (scores on PB during C Reis AB — no RBI), play #39 (A Contreras 2B, scores from 2nd), play #54 (A Wu 1B, scores from 3rd)</t>
        </is>
      </c>
    </row>
    <row r="77" ht="15.75" customHeight="1" s="35">
      <c r="A77" s="8" t="inlineStr">
        <is>
          <t>2026-03-23_WLDL_at_RVRH</t>
        </is>
      </c>
      <c r="B77" s="2" t="n">
        <v>46104</v>
      </c>
      <c r="C77" s="8" t="inlineStr">
        <is>
          <t>Wilde Lake Varsity Cats</t>
        </is>
      </c>
      <c r="D77" s="8" t="inlineStr">
        <is>
          <t>RVRH</t>
        </is>
      </c>
      <c r="E77" s="8" t="inlineStr">
        <is>
          <t>E McCoy</t>
        </is>
      </c>
      <c r="F77" s="8" t="n">
        <v>3</v>
      </c>
      <c r="G77" s="8" t="n">
        <v>2</v>
      </c>
      <c r="H77" s="8" t="n">
        <v>1</v>
      </c>
      <c r="I77" s="8" t="n">
        <v>1</v>
      </c>
      <c r="J77" s="8" t="n">
        <v>0</v>
      </c>
      <c r="K77" s="8" t="n">
        <v>0</v>
      </c>
      <c r="L77" s="8" t="n">
        <v>0</v>
      </c>
      <c r="M77" s="8" t="n">
        <v>1</v>
      </c>
      <c r="N77" s="8" t="n">
        <v>0</v>
      </c>
      <c r="O77" s="8" t="n">
        <v>1</v>
      </c>
      <c r="P77" s="8" t="n">
        <v>0</v>
      </c>
      <c r="Q77" s="8" t="n">
        <v>1</v>
      </c>
      <c r="R77" s="8" t="n">
        <v>0</v>
      </c>
      <c r="S77" s="8" t="n">
        <v>0</v>
      </c>
      <c r="T77" s="8" t="n">
        <v>0</v>
      </c>
      <c r="U77" s="8" t="n">
        <v>0</v>
      </c>
      <c r="V77" s="8" t="n">
        <v>0</v>
      </c>
      <c r="W77" s="8" t="n">
        <v>0</v>
      </c>
      <c r="X77" s="8" t="n">
        <v>0</v>
      </c>
      <c r="Y77" s="8" t="inlineStr">
        <is>
          <t>1B B2 play #16; K_S B3 play #29 (Sec4 #29 'Strike 3 swinging'); BB B3 play #38; replaced in B4 batting slot by B Bixby (no explicit lineup note); stranded at 2nd (B2) and at 3rd (B3 play #41 ends inning)</t>
        </is>
      </c>
    </row>
    <row r="78" ht="15.75" customHeight="1" s="35">
      <c r="A78" s="8" t="inlineStr">
        <is>
          <t>2026-03-23_WLDL_at_RVRH</t>
        </is>
      </c>
      <c r="B78" s="2" t="n">
        <v>46104</v>
      </c>
      <c r="C78" s="8" t="inlineStr">
        <is>
          <t>Wilde Lake Varsity Cats</t>
        </is>
      </c>
      <c r="D78" s="8" t="inlineStr">
        <is>
          <t>RVRH</t>
        </is>
      </c>
      <c r="E78" s="8" t="inlineStr">
        <is>
          <t>A Contreras</t>
        </is>
      </c>
      <c r="F78" s="8" t="n">
        <v>3</v>
      </c>
      <c r="G78" s="8" t="n">
        <v>2</v>
      </c>
      <c r="H78" s="8" t="n">
        <v>1</v>
      </c>
      <c r="I78" s="8" t="n">
        <v>0</v>
      </c>
      <c r="J78" s="8" t="n">
        <v>1</v>
      </c>
      <c r="K78" s="8" t="n">
        <v>0</v>
      </c>
      <c r="L78" s="8" t="n">
        <v>0</v>
      </c>
      <c r="M78" s="8" t="n">
        <v>0</v>
      </c>
      <c r="N78" s="8" t="n">
        <v>1</v>
      </c>
      <c r="O78" s="8" t="n">
        <v>0</v>
      </c>
      <c r="P78" s="8" t="n">
        <v>0</v>
      </c>
      <c r="Q78" s="8" t="n">
        <v>0</v>
      </c>
      <c r="R78" s="8" t="n">
        <v>0</v>
      </c>
      <c r="S78" s="8" t="n">
        <v>2</v>
      </c>
      <c r="T78" s="8" t="n">
        <v>0</v>
      </c>
      <c r="U78" s="8" t="n">
        <v>0</v>
      </c>
      <c r="V78" s="8" t="n">
        <v>0</v>
      </c>
      <c r="W78" s="8" t="n">
        <v>0</v>
      </c>
      <c r="X78" s="8" t="n">
        <v>0</v>
      </c>
      <c r="Y78" s="8" t="inlineStr">
        <is>
          <t>HBP B2 play #17; FO B3 play #30 (A Fields tags up to 3rd); 2B B3 play #39 (RBI=2: B Bixby/G Dang scores from 3rd via CR + A Fields scores from 2nd); replaced in B4 batting slot by R Miller (see T4 play #44 note, mislabeled as CR)</t>
        </is>
      </c>
    </row>
    <row r="79" ht="15.75" customHeight="1" s="35">
      <c r="A79" s="8" t="inlineStr">
        <is>
          <t>2026-03-23_WLDL_at_RVRH</t>
        </is>
      </c>
      <c r="B79" s="2" t="n">
        <v>46104</v>
      </c>
      <c r="C79" s="8" t="inlineStr">
        <is>
          <t>Wilde Lake Varsity Cats</t>
        </is>
      </c>
      <c r="D79" s="8" t="inlineStr">
        <is>
          <t>RVRH</t>
        </is>
      </c>
      <c r="E79" s="8" t="inlineStr">
        <is>
          <t>B Bixby</t>
        </is>
      </c>
      <c r="F79" s="8" t="n">
        <v>1</v>
      </c>
      <c r="G79" s="8" t="n">
        <v>1</v>
      </c>
      <c r="H79" s="8" t="n">
        <v>0</v>
      </c>
      <c r="I79" s="8" t="n">
        <v>0</v>
      </c>
      <c r="J79" s="8" t="n">
        <v>0</v>
      </c>
      <c r="K79" s="8" t="n">
        <v>0</v>
      </c>
      <c r="L79" s="8" t="n">
        <v>0</v>
      </c>
      <c r="M79" s="8" t="n">
        <v>0</v>
      </c>
      <c r="N79" s="8" t="n">
        <v>0</v>
      </c>
      <c r="O79" s="8" t="n">
        <v>0</v>
      </c>
      <c r="P79" s="8" t="n">
        <v>0</v>
      </c>
      <c r="Q79" s="8" t="n">
        <v>0</v>
      </c>
      <c r="R79" s="8" t="n">
        <v>1</v>
      </c>
      <c r="S79" s="8" t="n">
        <v>1</v>
      </c>
      <c r="T79" s="8" t="n">
        <v>0</v>
      </c>
      <c r="U79" s="8" t="n">
        <v>0</v>
      </c>
      <c r="V79" s="8" t="n">
        <v>0</v>
      </c>
      <c r="W79" s="8" t="n">
        <v>0</v>
      </c>
      <c r="X79" s="8" t="n">
        <v>1</v>
      </c>
      <c r="Y79" s="8" t="inlineStr">
        <is>
          <t>Bats B4 play #52 (in E McCoy batting slot); FC play #52 (SS N Dalesio to 2B D Coleman; Flag #5 — no out explicitly recorded); RBI=1: R Ronayne scores on FC; R scored B4 play #55 (L Kreisl FC, B Bixby scores from 3rd); also CR for G Dang ×2 in B3 (plays #28 and #37 Sec4; Flag #7) — runs from those credited to G Dang</t>
        </is>
      </c>
    </row>
    <row r="80" ht="15.75" customHeight="1" s="35">
      <c r="A80" s="8" t="inlineStr">
        <is>
          <t>2026-03-23_WLDL_at_RVRH</t>
        </is>
      </c>
      <c r="B80" s="2" t="n">
        <v>46104</v>
      </c>
      <c r="C80" s="8" t="inlineStr">
        <is>
          <t>Wilde Lake Varsity Cats</t>
        </is>
      </c>
      <c r="D80" s="8" t="inlineStr">
        <is>
          <t>RVRH</t>
        </is>
      </c>
      <c r="E80" s="8" t="inlineStr">
        <is>
          <t>R Ronayne</t>
        </is>
      </c>
      <c r="F80" s="8" t="n">
        <v>2</v>
      </c>
      <c r="G80" s="8" t="n">
        <v>1</v>
      </c>
      <c r="H80" s="8" t="n">
        <v>1</v>
      </c>
      <c r="I80" s="8" t="n">
        <v>1</v>
      </c>
      <c r="J80" s="8" t="n">
        <v>0</v>
      </c>
      <c r="K80" s="8" t="n">
        <v>0</v>
      </c>
      <c r="L80" s="8" t="n">
        <v>0</v>
      </c>
      <c r="M80" s="8" t="n">
        <v>1</v>
      </c>
      <c r="N80" s="8" t="n">
        <v>0</v>
      </c>
      <c r="O80" s="8" t="n">
        <v>0</v>
      </c>
      <c r="P80" s="8" t="n">
        <v>0</v>
      </c>
      <c r="Q80" s="8" t="n">
        <v>0</v>
      </c>
      <c r="R80" s="8" t="n">
        <v>1</v>
      </c>
      <c r="S80" s="8" t="n">
        <v>1</v>
      </c>
      <c r="T80" s="8" t="n">
        <v>0</v>
      </c>
      <c r="U80" s="8" t="n">
        <v>0</v>
      </c>
      <c r="V80" s="8" t="n">
        <v>0</v>
      </c>
      <c r="W80" s="8" t="n">
        <v>0</v>
      </c>
      <c r="X80" s="8" t="n">
        <v>0</v>
      </c>
      <c r="Y80" s="8" t="inlineStr">
        <is>
          <t>BB B4 play #48 (J Norwood advances to 2nd on PB during AB, Sec4 #48); R scored B4 play #52 (B Bixby FC, R Ronayne scores from 3rd); 1B B4 play #57 (RBI=1: J Norwood scores from 3rd); out on C Nichols FC play #58 (R Ronayne out advancing to 2nd, inning ends)</t>
        </is>
      </c>
    </row>
    <row r="81" ht="15.75" customHeight="1" s="35">
      <c r="A81" s="8" t="inlineStr">
        <is>
          <t>2026-03-23_WLDL_at_RVRH</t>
        </is>
      </c>
      <c r="B81" s="2" t="n">
        <v>46104</v>
      </c>
      <c r="C81" s="8" t="inlineStr">
        <is>
          <t>Wilde Lake Varsity Cats</t>
        </is>
      </c>
      <c r="D81" s="8" t="inlineStr">
        <is>
          <t>RVRH</t>
        </is>
      </c>
      <c r="E81" s="8" t="inlineStr">
        <is>
          <t>C Nichols</t>
        </is>
      </c>
      <c r="F81" s="8" t="n">
        <v>2</v>
      </c>
      <c r="G81" s="8" t="n">
        <v>1</v>
      </c>
      <c r="H81" s="8" t="n">
        <v>0</v>
      </c>
      <c r="I81" s="8" t="n">
        <v>0</v>
      </c>
      <c r="J81" s="8" t="n">
        <v>0</v>
      </c>
      <c r="K81" s="8" t="n">
        <v>0</v>
      </c>
      <c r="L81" s="8" t="n">
        <v>0</v>
      </c>
      <c r="M81" s="8" t="n">
        <v>1</v>
      </c>
      <c r="N81" s="8" t="n">
        <v>0</v>
      </c>
      <c r="O81" s="8" t="n">
        <v>0</v>
      </c>
      <c r="P81" s="8" t="n">
        <v>0</v>
      </c>
      <c r="Q81" s="8" t="n">
        <v>0</v>
      </c>
      <c r="R81" s="8" t="n">
        <v>1</v>
      </c>
      <c r="S81" s="8" t="n">
        <v>0</v>
      </c>
      <c r="T81" s="8" t="n">
        <v>0</v>
      </c>
      <c r="U81" s="8" t="n">
        <v>0</v>
      </c>
      <c r="V81" s="8" t="n">
        <v>0</v>
      </c>
      <c r="W81" s="8" t="n">
        <v>0</v>
      </c>
      <c r="X81" s="8" t="n">
        <v>1</v>
      </c>
      <c r="Y81" s="8" t="inlineStr">
        <is>
          <t>BB B4 play #49; FC B4 play #58 (R Ronayne out, inning ends); R scored B4 play #53 (R Miller 1B, C Nichols scores from 3rd); also pitches T4 (lineup note play #42)</t>
        </is>
      </c>
    </row>
    <row r="82" ht="15.75" customHeight="1" s="35">
      <c r="A82" s="8" t="inlineStr">
        <is>
          <t>2026-03-23_WLDL_at_RVRH</t>
        </is>
      </c>
      <c r="B82" s="2" t="n">
        <v>46104</v>
      </c>
      <c r="C82" s="8" t="inlineStr">
        <is>
          <t>Wilde Lake Varsity Cats</t>
        </is>
      </c>
      <c r="D82" s="8" t="inlineStr">
        <is>
          <t>RVRH</t>
        </is>
      </c>
      <c r="E82" s="8" t="inlineStr">
        <is>
          <t>B Mougey</t>
        </is>
      </c>
      <c r="F82" s="8" t="n">
        <v>1</v>
      </c>
      <c r="G82" s="8" t="n">
        <v>1</v>
      </c>
      <c r="H82" s="8" t="n">
        <v>0</v>
      </c>
      <c r="I82" s="8" t="n">
        <v>0</v>
      </c>
      <c r="J82" s="8" t="n">
        <v>0</v>
      </c>
      <c r="K82" s="8" t="n">
        <v>0</v>
      </c>
      <c r="L82" s="8" t="n">
        <v>0</v>
      </c>
      <c r="M82" s="8" t="n">
        <v>0</v>
      </c>
      <c r="N82" s="8" t="n">
        <v>0</v>
      </c>
      <c r="O82" s="8" t="n">
        <v>1</v>
      </c>
      <c r="P82" s="8" t="n">
        <v>1</v>
      </c>
      <c r="Q82" s="8" t="n">
        <v>0</v>
      </c>
      <c r="R82" s="8" t="n">
        <v>0</v>
      </c>
      <c r="S82" s="8" t="n">
        <v>0</v>
      </c>
      <c r="T82" s="8" t="n">
        <v>0</v>
      </c>
      <c r="U82" s="8" t="n">
        <v>0</v>
      </c>
      <c r="V82" s="8" t="n">
        <v>0</v>
      </c>
      <c r="W82" s="8" t="n">
        <v>0</v>
      </c>
      <c r="X82" s="8" t="n">
        <v>0</v>
      </c>
      <c r="Y82" s="8" t="inlineStr">
        <is>
          <t>K_L B4 play #50 (Sec4 #50 'Strike 3 looking'); B5 play #63 not counted — no outcome recorded (Flag #1); sub for C Naecker batting slot (Sec4 #50 lineup note)</t>
        </is>
      </c>
    </row>
    <row r="83" ht="15.75" customHeight="1" s="35">
      <c r="A83" s="8" t="inlineStr">
        <is>
          <t>2026-03-23_WLDL_at_RVRH</t>
        </is>
      </c>
      <c r="B83" s="2" t="n">
        <v>46104</v>
      </c>
      <c r="C83" s="8" t="inlineStr">
        <is>
          <t>Wilde Lake Varsity Cats</t>
        </is>
      </c>
      <c r="D83" s="8" t="inlineStr">
        <is>
          <t>RVRH</t>
        </is>
      </c>
      <c r="E83" s="8" t="inlineStr">
        <is>
          <t>R Miller</t>
        </is>
      </c>
      <c r="F83" s="8" t="n">
        <v>1</v>
      </c>
      <c r="G83" s="8" t="n">
        <v>1</v>
      </c>
      <c r="H83" s="8" t="n">
        <v>1</v>
      </c>
      <c r="I83" s="8" t="n">
        <v>1</v>
      </c>
      <c r="J83" s="8" t="n">
        <v>0</v>
      </c>
      <c r="K83" s="8" t="n">
        <v>0</v>
      </c>
      <c r="L83" s="8" t="n">
        <v>0</v>
      </c>
      <c r="M83" s="8" t="n">
        <v>0</v>
      </c>
      <c r="N83" s="8" t="n">
        <v>0</v>
      </c>
      <c r="O83" s="8" t="n">
        <v>0</v>
      </c>
      <c r="P83" s="8" t="n">
        <v>0</v>
      </c>
      <c r="Q83" s="8" t="n">
        <v>0</v>
      </c>
      <c r="R83" s="8" t="n">
        <v>0</v>
      </c>
      <c r="S83" s="8" t="n">
        <v>1</v>
      </c>
      <c r="T83" s="8" t="n">
        <v>0</v>
      </c>
      <c r="U83" s="8" t="n">
        <v>0</v>
      </c>
      <c r="V83" s="8" t="n">
        <v>0</v>
      </c>
      <c r="W83" s="8" t="n">
        <v>0</v>
      </c>
      <c r="X83" s="8" t="n">
        <v>0</v>
      </c>
      <c r="Y83" s="8" t="inlineStr">
        <is>
          <t>1B B4 play #53 (RBI=1: C Nichols scores from 3rd); out advancing to 3rd on L Kreisl FC play #55 (not a run); takes C Reis/A Contreras batting slot in B4; T4 play #44 note labels this as 'CR for C Reis' — mislabeled, treated as defensive/batting sub</t>
        </is>
      </c>
    </row>
    <row r="84" ht="15.75" customHeight="1" s="35">
      <c r="A84" s="8" t="inlineStr">
        <is>
          <t>2026-03-23_WLDL_at_RVRH</t>
        </is>
      </c>
      <c r="B84" s="2" t="n">
        <v>46104</v>
      </c>
      <c r="C84" s="8" t="inlineStr">
        <is>
          <t>Wilde Lake Varsity Cats</t>
        </is>
      </c>
      <c r="D84" s="8" t="inlineStr">
        <is>
          <t>RVRH</t>
        </is>
      </c>
      <c r="E84" s="8" t="inlineStr">
        <is>
          <t>A Wu</t>
        </is>
      </c>
      <c r="F84" s="8" t="n">
        <v>1</v>
      </c>
      <c r="G84" s="8" t="n">
        <v>1</v>
      </c>
      <c r="H84" s="8" t="n">
        <v>1</v>
      </c>
      <c r="I84" s="8" t="n">
        <v>1</v>
      </c>
      <c r="J84" s="8" t="n">
        <v>0</v>
      </c>
      <c r="K84" s="8" t="n">
        <v>0</v>
      </c>
      <c r="L84" s="8" t="n">
        <v>0</v>
      </c>
      <c r="M84" s="8" t="n">
        <v>0</v>
      </c>
      <c r="N84" s="8" t="n">
        <v>0</v>
      </c>
      <c r="O84" s="8" t="n">
        <v>0</v>
      </c>
      <c r="P84" s="8" t="n">
        <v>0</v>
      </c>
      <c r="Q84" s="8" t="n">
        <v>0</v>
      </c>
      <c r="R84" s="8" t="n">
        <v>1</v>
      </c>
      <c r="S84" s="8" t="n">
        <v>1</v>
      </c>
      <c r="T84" s="8" t="n">
        <v>0</v>
      </c>
      <c r="U84" s="8" t="n">
        <v>0</v>
      </c>
      <c r="V84" s="8" t="n">
        <v>0</v>
      </c>
      <c r="W84" s="8" t="n">
        <v>0</v>
      </c>
      <c r="X84" s="8" t="n">
        <v>0</v>
      </c>
      <c r="Y84" s="8" t="inlineStr">
        <is>
          <t>Sub for R Walsh batting slot (play #54 note: 'Lineup changed: A Wu in for batter R Walsh'); 1B B4 play #54 (RBI=1: A Fields scores from 3rd); R scored B4 play #56 (J Norwood triple, A Wu scores from 2nd)</t>
        </is>
      </c>
    </row>
    <row r="85" ht="15.75" customHeight="1" s="35">
      <c r="A85" s="8" t="inlineStr">
        <is>
          <t>2026-03-23_WLDL_at_RVRH</t>
        </is>
      </c>
      <c r="B85" s="2" t="n">
        <v>46104</v>
      </c>
      <c r="C85" s="8" t="inlineStr">
        <is>
          <t>Wilde Lake Varsity Cats</t>
        </is>
      </c>
      <c r="D85" s="8" t="inlineStr">
        <is>
          <t>RVRH</t>
        </is>
      </c>
      <c r="E85" s="8" t="inlineStr">
        <is>
          <t>L Kreisl</t>
        </is>
      </c>
      <c r="F85" s="8" t="n">
        <v>1</v>
      </c>
      <c r="G85" s="8" t="n">
        <v>1</v>
      </c>
      <c r="H85" s="8" t="n">
        <v>0</v>
      </c>
      <c r="I85" s="8" t="n">
        <v>0</v>
      </c>
      <c r="J85" s="8" t="n">
        <v>0</v>
      </c>
      <c r="K85" s="8" t="n">
        <v>0</v>
      </c>
      <c r="L85" s="8" t="n">
        <v>0</v>
      </c>
      <c r="M85" s="8" t="n">
        <v>0</v>
      </c>
      <c r="N85" s="8" t="n">
        <v>0</v>
      </c>
      <c r="O85" s="8" t="n">
        <v>0</v>
      </c>
      <c r="P85" s="8" t="n">
        <v>0</v>
      </c>
      <c r="Q85" s="8" t="n">
        <v>0</v>
      </c>
      <c r="R85" s="8" t="n">
        <v>1</v>
      </c>
      <c r="S85" s="8" t="n">
        <v>1</v>
      </c>
      <c r="T85" s="8" t="n">
        <v>0</v>
      </c>
      <c r="U85" s="8" t="n">
        <v>0</v>
      </c>
      <c r="V85" s="8" t="n">
        <v>0</v>
      </c>
      <c r="W85" s="8" t="n">
        <v>0</v>
      </c>
      <c r="X85" s="8" t="n">
        <v>1</v>
      </c>
      <c r="Y85" s="8" t="inlineStr">
        <is>
          <t>Sub for C Reis batting slot (play #55 note: 'Lineup changed: L Kreisl in for batter C Reis'); FC B4 play #55 (R Miller out advancing to 3rd; RBI=1: B Bixby scores from 3rd); R scored B4 play #56 (J Norwood triple, L Kreisl scores from 1st)</t>
        </is>
      </c>
    </row>
    <row r="86" ht="15.75" customHeight="1" s="35">
      <c r="A86" s="8" t="inlineStr">
        <is>
          <t>2026-03-23_WLDL_at_RVRH</t>
        </is>
      </c>
      <c r="B86" s="2" t="n">
        <v>46104</v>
      </c>
      <c r="C86" s="8" t="inlineStr">
        <is>
          <t>Wilde Lake Varsity Cats</t>
        </is>
      </c>
      <c r="D86" s="8" t="inlineStr">
        <is>
          <t>WLDL</t>
        </is>
      </c>
      <c r="E86" s="8" t="inlineStr">
        <is>
          <t>T Sommer</t>
        </is>
      </c>
      <c r="F86" s="8" t="n">
        <v>2</v>
      </c>
      <c r="G86" s="8" t="n">
        <v>2</v>
      </c>
      <c r="H86" s="8" t="n">
        <v>1</v>
      </c>
      <c r="I86" s="8" t="n">
        <v>1</v>
      </c>
      <c r="J86" s="8" t="n">
        <v>0</v>
      </c>
      <c r="K86" s="8" t="n">
        <v>0</v>
      </c>
      <c r="L86" s="8" t="n">
        <v>0</v>
      </c>
      <c r="M86" s="8" t="n">
        <v>0</v>
      </c>
      <c r="N86" s="8" t="n">
        <v>0</v>
      </c>
      <c r="O86" s="8" t="n">
        <v>1</v>
      </c>
      <c r="P86" s="8" t="n">
        <v>0</v>
      </c>
      <c r="Q86" s="8" t="n">
        <v>1</v>
      </c>
      <c r="R86" s="8" t="n">
        <v>0</v>
      </c>
      <c r="S86" s="8" t="n">
        <v>0</v>
      </c>
      <c r="T86" s="8" t="n">
        <v>0</v>
      </c>
      <c r="U86" s="8" t="n">
        <v>0</v>
      </c>
      <c r="V86" s="8" t="n">
        <v>0</v>
      </c>
      <c r="W86" s="8" t="n">
        <v>0</v>
      </c>
      <c r="X86" s="8" t="n">
        <v>0</v>
      </c>
      <c r="Y86" s="8" t="inlineStr">
        <is>
          <t>K_S T1 play #1 (Sec4 #1 'Strike 3 swinging'); 1B T3 play #22; also pitches B1–B2</t>
        </is>
      </c>
    </row>
    <row r="87" ht="15.75" customHeight="1" s="35">
      <c r="A87" s="8" t="inlineStr">
        <is>
          <t>2026-03-23_WLDL_at_RVRH</t>
        </is>
      </c>
      <c r="B87" s="2" t="n">
        <v>46104</v>
      </c>
      <c r="C87" s="8" t="inlineStr">
        <is>
          <t>Wilde Lake Varsity Cats</t>
        </is>
      </c>
      <c r="D87" s="8" t="inlineStr">
        <is>
          <t>WLDL</t>
        </is>
      </c>
      <c r="E87" s="8" t="inlineStr">
        <is>
          <t>D Coleman</t>
        </is>
      </c>
      <c r="F87" s="8" t="n">
        <v>2</v>
      </c>
      <c r="G87" s="8" t="n">
        <v>2</v>
      </c>
      <c r="H87" s="8" t="n">
        <v>0</v>
      </c>
      <c r="I87" s="8" t="n">
        <v>0</v>
      </c>
      <c r="J87" s="8" t="n">
        <v>0</v>
      </c>
      <c r="K87" s="8" t="n">
        <v>0</v>
      </c>
      <c r="L87" s="8" t="n">
        <v>0</v>
      </c>
      <c r="M87" s="8" t="n">
        <v>0</v>
      </c>
      <c r="N87" s="8" t="n">
        <v>0</v>
      </c>
      <c r="O87" s="8" t="n">
        <v>1</v>
      </c>
      <c r="P87" s="8" t="n">
        <v>1</v>
      </c>
      <c r="Q87" s="8" t="n">
        <v>0</v>
      </c>
      <c r="R87" s="8" t="n">
        <v>0</v>
      </c>
      <c r="S87" s="8" t="n">
        <v>0</v>
      </c>
      <c r="T87" s="8" t="n">
        <v>0</v>
      </c>
      <c r="U87" s="8" t="n">
        <v>0</v>
      </c>
      <c r="V87" s="8" t="n">
        <v>0</v>
      </c>
      <c r="W87" s="8" t="n">
        <v>0</v>
      </c>
      <c r="X87" s="8" t="n">
        <v>0</v>
      </c>
      <c r="Y87" s="8" t="inlineStr">
        <is>
          <t>K_L T1 play #2 (Sec4 #2 'Strike 3 looking'); GO T3 play #23; A Lindsay CS embedded in D Coleman AB T3 (Sec4 #23); sub D Tang takes D Coleman batting slot T5 (play #62 note)</t>
        </is>
      </c>
    </row>
    <row r="88" ht="15.75" customHeight="1" s="35">
      <c r="A88" s="8" t="inlineStr">
        <is>
          <t>2026-03-23_WLDL_at_RVRH</t>
        </is>
      </c>
      <c r="B88" s="2" t="n">
        <v>46104</v>
      </c>
      <c r="C88" s="8" t="inlineStr">
        <is>
          <t>Wilde Lake Varsity Cats</t>
        </is>
      </c>
      <c r="D88" s="8" t="inlineStr">
        <is>
          <t>WLDL</t>
        </is>
      </c>
      <c r="E88" s="8" t="inlineStr">
        <is>
          <t>N Dalesio</t>
        </is>
      </c>
      <c r="F88" s="8" t="n">
        <v>2</v>
      </c>
      <c r="G88" s="8" t="n">
        <v>2</v>
      </c>
      <c r="H88" s="8" t="n">
        <v>1</v>
      </c>
      <c r="I88" s="8" t="n">
        <v>1</v>
      </c>
      <c r="J88" s="8" t="n">
        <v>0</v>
      </c>
      <c r="K88" s="8" t="n">
        <v>0</v>
      </c>
      <c r="L88" s="8" t="n">
        <v>0</v>
      </c>
      <c r="M88" s="8" t="n">
        <v>0</v>
      </c>
      <c r="N88" s="8" t="n">
        <v>0</v>
      </c>
      <c r="O88" s="8" t="n">
        <v>1</v>
      </c>
      <c r="P88" s="8" t="n">
        <v>1</v>
      </c>
      <c r="Q88" s="8" t="n">
        <v>0</v>
      </c>
      <c r="R88" s="8" t="n">
        <v>0</v>
      </c>
      <c r="S88" s="8" t="n">
        <v>0</v>
      </c>
      <c r="T88" s="8" t="n">
        <v>0</v>
      </c>
      <c r="U88" s="8" t="n">
        <v>0</v>
      </c>
      <c r="V88" s="8" t="n">
        <v>0</v>
      </c>
      <c r="W88" s="8" t="n">
        <v>0</v>
      </c>
      <c r="X88" s="8" t="n">
        <v>0</v>
      </c>
      <c r="Y88" s="8" t="inlineStr">
        <is>
          <t>K_L T1 play #3 (Sec4 #3 'Strike 3 looking'); 1B T4 play #42; stranded at 2nd (T4, B Habershon 1B play #45 advances N Dalesio to 2nd; N Gilchrist K ends inning); also plays SS</t>
        </is>
      </c>
    </row>
    <row r="89" ht="15.75" customHeight="1" s="35">
      <c r="A89" s="8" t="inlineStr">
        <is>
          <t>2026-03-23_WLDL_at_RVRH</t>
        </is>
      </c>
      <c r="B89" s="2" t="n">
        <v>46104</v>
      </c>
      <c r="C89" s="8" t="inlineStr">
        <is>
          <t>Wilde Lake Varsity Cats</t>
        </is>
      </c>
      <c r="D89" s="8" t="inlineStr">
        <is>
          <t>WLDL</t>
        </is>
      </c>
      <c r="E89" s="8" t="inlineStr">
        <is>
          <t>J Bunnell</t>
        </is>
      </c>
      <c r="F89" s="8" t="n">
        <v>2</v>
      </c>
      <c r="G89" s="8" t="n">
        <v>2</v>
      </c>
      <c r="H89" s="8" t="n">
        <v>0</v>
      </c>
      <c r="I89" s="8" t="n">
        <v>0</v>
      </c>
      <c r="J89" s="8" t="n">
        <v>0</v>
      </c>
      <c r="K89" s="8" t="n">
        <v>0</v>
      </c>
      <c r="L89" s="8" t="n">
        <v>0</v>
      </c>
      <c r="M89" s="8" t="n">
        <v>0</v>
      </c>
      <c r="N89" s="8" t="n">
        <v>0</v>
      </c>
      <c r="O89" s="8" t="n">
        <v>1</v>
      </c>
      <c r="P89" s="8" t="n">
        <v>1</v>
      </c>
      <c r="Q89" s="8" t="n">
        <v>0</v>
      </c>
      <c r="R89" s="8" t="n">
        <v>0</v>
      </c>
      <c r="S89" s="8" t="n">
        <v>0</v>
      </c>
      <c r="T89" s="8" t="n">
        <v>0</v>
      </c>
      <c r="U89" s="8" t="n">
        <v>0</v>
      </c>
      <c r="V89" s="8" t="n">
        <v>0</v>
      </c>
      <c r="W89" s="8" t="n">
        <v>0</v>
      </c>
      <c r="X89" s="8" t="n">
        <v>0</v>
      </c>
      <c r="Y89" s="8" t="inlineStr">
        <is>
          <t>GO T2 play #8; K_L T4 play #43 (Sec4 #43 'Strike 3 looking'); also plays C; error on C Naecker advancement B2 play #14 (WLDL E=1)</t>
        </is>
      </c>
    </row>
    <row r="90" ht="15.75" customHeight="1" s="35">
      <c r="A90" s="8" t="inlineStr">
        <is>
          <t>2026-03-23_WLDL_at_RVRH</t>
        </is>
      </c>
      <c r="B90" s="2" t="n">
        <v>46104</v>
      </c>
      <c r="C90" s="8" t="inlineStr">
        <is>
          <t>Wilde Lake Varsity Cats</t>
        </is>
      </c>
      <c r="D90" s="8" t="inlineStr">
        <is>
          <t>WLDL</t>
        </is>
      </c>
      <c r="E90" s="8" t="inlineStr">
        <is>
          <t>R Schmidt</t>
        </is>
      </c>
      <c r="F90" s="8" t="n">
        <v>2</v>
      </c>
      <c r="G90" s="8" t="n">
        <v>2</v>
      </c>
      <c r="H90" s="8" t="n">
        <v>0</v>
      </c>
      <c r="I90" s="8" t="n">
        <v>0</v>
      </c>
      <c r="J90" s="8" t="n">
        <v>0</v>
      </c>
      <c r="K90" s="8" t="n">
        <v>0</v>
      </c>
      <c r="L90" s="8" t="n">
        <v>0</v>
      </c>
      <c r="M90" s="8" t="n">
        <v>0</v>
      </c>
      <c r="N90" s="8" t="n">
        <v>0</v>
      </c>
      <c r="O90" s="8" t="n">
        <v>1</v>
      </c>
      <c r="P90" s="8" t="n">
        <v>1</v>
      </c>
      <c r="Q90" s="8" t="n">
        <v>0</v>
      </c>
      <c r="R90" s="8" t="n">
        <v>0</v>
      </c>
      <c r="S90" s="8" t="n">
        <v>0</v>
      </c>
      <c r="T90" s="8" t="n">
        <v>0</v>
      </c>
      <c r="U90" s="8" t="n">
        <v>0</v>
      </c>
      <c r="V90" s="8" t="n">
        <v>0</v>
      </c>
      <c r="W90" s="8" t="n">
        <v>0</v>
      </c>
      <c r="X90" s="8" t="n">
        <v>0</v>
      </c>
      <c r="Y90" s="8" t="inlineStr">
        <is>
          <t>GO T2 play #9; K_L T4 play #44 (Sec4 #44 'Strike 3 looking'); also pitches B3; error on A Fields advancement B2 play #16 (WLDL E=2)</t>
        </is>
      </c>
    </row>
    <row r="91" ht="15.75" customHeight="1" s="35">
      <c r="A91" s="8" t="inlineStr">
        <is>
          <t>2026-03-23_WLDL_at_RVRH</t>
        </is>
      </c>
      <c r="B91" s="2" t="n">
        <v>46104</v>
      </c>
      <c r="C91" s="8" t="inlineStr">
        <is>
          <t>Wilde Lake Varsity Cats</t>
        </is>
      </c>
      <c r="D91" s="8" t="inlineStr">
        <is>
          <t>WLDL</t>
        </is>
      </c>
      <c r="E91" s="8" t="inlineStr">
        <is>
          <t>B Habershon</t>
        </is>
      </c>
      <c r="F91" s="8" t="n">
        <v>2</v>
      </c>
      <c r="G91" s="8" t="n">
        <v>1</v>
      </c>
      <c r="H91" s="8" t="n">
        <v>1</v>
      </c>
      <c r="I91" s="8" t="n">
        <v>1</v>
      </c>
      <c r="J91" s="8" t="n">
        <v>0</v>
      </c>
      <c r="K91" s="8" t="n">
        <v>0</v>
      </c>
      <c r="L91" s="8" t="n">
        <v>0</v>
      </c>
      <c r="M91" s="8" t="n">
        <v>1</v>
      </c>
      <c r="N91" s="8" t="n">
        <v>0</v>
      </c>
      <c r="O91" s="8" t="n">
        <v>0</v>
      </c>
      <c r="P91" s="8" t="n">
        <v>0</v>
      </c>
      <c r="Q91" s="8" t="n">
        <v>0</v>
      </c>
      <c r="R91" s="8" t="n">
        <v>0</v>
      </c>
      <c r="S91" s="8" t="n">
        <v>0</v>
      </c>
      <c r="T91" s="8" t="n">
        <v>0</v>
      </c>
      <c r="U91" s="8" t="n">
        <v>0</v>
      </c>
      <c r="V91" s="8" t="n">
        <v>0</v>
      </c>
      <c r="W91" s="8" t="n">
        <v>0</v>
      </c>
      <c r="X91" s="8" t="n">
        <v>0</v>
      </c>
      <c r="Y91" s="8" t="inlineStr">
        <is>
          <t>BB T2 play #10; 1B T4 play #45 (N Dalesio advances to 2nd); stranded at 1st (T4, N Gilchrist K ends inning); also pitches B3 (partial) + B4 + B5 partial</t>
        </is>
      </c>
    </row>
    <row r="92" ht="15.75" customHeight="1" s="35">
      <c r="A92" s="8" t="inlineStr">
        <is>
          <t>2026-03-23_WLDL_at_RVRH</t>
        </is>
      </c>
      <c r="B92" s="2" t="n">
        <v>46104</v>
      </c>
      <c r="C92" s="8" t="inlineStr">
        <is>
          <t>Wilde Lake Varsity Cats</t>
        </is>
      </c>
      <c r="D92" s="8" t="inlineStr">
        <is>
          <t>WLDL</t>
        </is>
      </c>
      <c r="E92" s="8" t="inlineStr">
        <is>
          <t>W Switzer</t>
        </is>
      </c>
      <c r="F92" s="8" t="n">
        <v>1</v>
      </c>
      <c r="G92" s="8" t="n">
        <v>1</v>
      </c>
      <c r="H92" s="8" t="n">
        <v>0</v>
      </c>
      <c r="I92" s="8" t="n">
        <v>0</v>
      </c>
      <c r="J92" s="8" t="n">
        <v>0</v>
      </c>
      <c r="K92" s="8" t="n">
        <v>0</v>
      </c>
      <c r="L92" s="8" t="n">
        <v>0</v>
      </c>
      <c r="M92" s="8" t="n">
        <v>0</v>
      </c>
      <c r="N92" s="8" t="n">
        <v>0</v>
      </c>
      <c r="O92" s="8" t="n">
        <v>1</v>
      </c>
      <c r="P92" s="8" t="n">
        <v>1</v>
      </c>
      <c r="Q92" s="8" t="n">
        <v>0</v>
      </c>
      <c r="R92" s="8" t="n">
        <v>0</v>
      </c>
      <c r="S92" s="8" t="n">
        <v>0</v>
      </c>
      <c r="T92" s="8" t="n">
        <v>0</v>
      </c>
      <c r="U92" s="8" t="n">
        <v>0</v>
      </c>
      <c r="V92" s="8" t="n">
        <v>0</v>
      </c>
      <c r="W92" s="8" t="n">
        <v>0</v>
      </c>
      <c r="X92" s="8" t="n">
        <v>0</v>
      </c>
      <c r="Y92" s="8" t="inlineStr">
        <is>
          <t>K_L T2 play #11 (Sec4 #11 'Strike 3 looking'); sub N Gilchrist takes W Switzer batting slot T4 (play #46 note)</t>
        </is>
      </c>
    </row>
    <row r="93" ht="15.75" customHeight="1" s="35">
      <c r="A93" s="8" t="inlineStr">
        <is>
          <t>2026-03-23_WLDL_at_RVRH</t>
        </is>
      </c>
      <c r="B93" s="2" t="n">
        <v>46104</v>
      </c>
      <c r="C93" s="8" t="inlineStr">
        <is>
          <t>Wilde Lake Varsity Cats</t>
        </is>
      </c>
      <c r="D93" s="8" t="inlineStr">
        <is>
          <t>WLDL</t>
        </is>
      </c>
      <c r="E93" s="8" t="inlineStr">
        <is>
          <t>D Linares</t>
        </is>
      </c>
      <c r="F93" s="8" t="n">
        <v>1</v>
      </c>
      <c r="G93" s="8" t="n">
        <v>1</v>
      </c>
      <c r="H93" s="8" t="n">
        <v>0</v>
      </c>
      <c r="I93" s="8" t="n">
        <v>0</v>
      </c>
      <c r="J93" s="8" t="n">
        <v>0</v>
      </c>
      <c r="K93" s="8" t="n">
        <v>0</v>
      </c>
      <c r="L93" s="8" t="n">
        <v>0</v>
      </c>
      <c r="M93" s="8" t="n">
        <v>0</v>
      </c>
      <c r="N93" s="8" t="n">
        <v>0</v>
      </c>
      <c r="O93" s="8" t="n">
        <v>0</v>
      </c>
      <c r="P93" s="8" t="n">
        <v>0</v>
      </c>
      <c r="Q93" s="8" t="n">
        <v>0</v>
      </c>
      <c r="R93" s="8" t="n">
        <v>0</v>
      </c>
      <c r="S93" s="8" t="n">
        <v>0</v>
      </c>
      <c r="T93" s="8" t="n">
        <v>0</v>
      </c>
      <c r="U93" s="8" t="n">
        <v>0</v>
      </c>
      <c r="V93" s="8" t="n">
        <v>0</v>
      </c>
      <c r="W93" s="8" t="n">
        <v>0</v>
      </c>
      <c r="X93" s="8" t="n">
        <v>0</v>
      </c>
      <c r="Y93" s="8" t="inlineStr">
        <is>
          <t>Bunt Out T3 play #20; sub J Nguyen takes D Linares batting slot T5 (play #59 note)</t>
        </is>
      </c>
    </row>
    <row r="94" ht="15.75" customHeight="1" s="35">
      <c r="A94" s="8" t="inlineStr">
        <is>
          <t>2026-03-23_WLDL_at_RVRH</t>
        </is>
      </c>
      <c r="B94" s="2" t="n">
        <v>46104</v>
      </c>
      <c r="C94" s="8" t="inlineStr">
        <is>
          <t>Wilde Lake Varsity Cats</t>
        </is>
      </c>
      <c r="D94" s="8" t="inlineStr">
        <is>
          <t>WLDL</t>
        </is>
      </c>
      <c r="E94" s="8" t="inlineStr">
        <is>
          <t>A Lindsay</t>
        </is>
      </c>
      <c r="F94" s="8" t="n">
        <v>1</v>
      </c>
      <c r="G94" s="8" t="n">
        <v>0</v>
      </c>
      <c r="H94" s="8" t="n">
        <v>0</v>
      </c>
      <c r="I94" s="8" t="n">
        <v>0</v>
      </c>
      <c r="J94" s="8" t="n">
        <v>0</v>
      </c>
      <c r="K94" s="8" t="n">
        <v>0</v>
      </c>
      <c r="L94" s="8" t="n">
        <v>0</v>
      </c>
      <c r="M94" s="8" t="n">
        <v>1</v>
      </c>
      <c r="N94" s="8" t="n">
        <v>0</v>
      </c>
      <c r="O94" s="8" t="n">
        <v>0</v>
      </c>
      <c r="P94" s="8" t="n">
        <v>0</v>
      </c>
      <c r="Q94" s="8" t="n">
        <v>0</v>
      </c>
      <c r="R94" s="8" t="n">
        <v>0</v>
      </c>
      <c r="S94" s="8" t="n">
        <v>0</v>
      </c>
      <c r="T94" s="8" t="n">
        <v>0</v>
      </c>
      <c r="U94" s="8" t="n">
        <v>1</v>
      </c>
      <c r="V94" s="8" t="n">
        <v>0</v>
      </c>
      <c r="W94" s="8" t="n">
        <v>0</v>
      </c>
      <c r="X94" s="8" t="n">
        <v>0</v>
      </c>
      <c r="Y94" s="8" t="inlineStr">
        <is>
          <t>BB T3 play #21; CS=1: caught stealing 3rd (3B H Zhang) embedded in D Coleman AB (Sec4 #23, Flag #8); sub D Bouadi takes A Lindsay batting slot T5 (play #60 note); also plays RF; error on J Norwood fly ball B3 play #24 (WLDL E=3)</t>
        </is>
      </c>
    </row>
    <row r="95" ht="15.75" customHeight="1" s="35">
      <c r="A95" s="8" t="inlineStr">
        <is>
          <t>2026-03-23_WLDL_at_RVRH</t>
        </is>
      </c>
      <c r="B95" s="2" t="n">
        <v>46104</v>
      </c>
      <c r="C95" s="8" t="inlineStr">
        <is>
          <t>Wilde Lake Varsity Cats</t>
        </is>
      </c>
      <c r="D95" s="8" t="inlineStr">
        <is>
          <t>WLDL</t>
        </is>
      </c>
      <c r="E95" s="8" t="inlineStr">
        <is>
          <t>N Gilchrist</t>
        </is>
      </c>
      <c r="F95" s="8" t="n">
        <v>1</v>
      </c>
      <c r="G95" s="8" t="n">
        <v>1</v>
      </c>
      <c r="H95" s="8" t="n">
        <v>0</v>
      </c>
      <c r="I95" s="8" t="n">
        <v>0</v>
      </c>
      <c r="J95" s="8" t="n">
        <v>0</v>
      </c>
      <c r="K95" s="8" t="n">
        <v>0</v>
      </c>
      <c r="L95" s="8" t="n">
        <v>0</v>
      </c>
      <c r="M95" s="8" t="n">
        <v>0</v>
      </c>
      <c r="N95" s="8" t="n">
        <v>0</v>
      </c>
      <c r="O95" s="8" t="n">
        <v>1</v>
      </c>
      <c r="P95" s="8" t="n">
        <v>0</v>
      </c>
      <c r="Q95" s="8" t="n">
        <v>1</v>
      </c>
      <c r="R95" s="8" t="n">
        <v>0</v>
      </c>
      <c r="S95" s="8" t="n">
        <v>0</v>
      </c>
      <c r="T95" s="8" t="n">
        <v>0</v>
      </c>
      <c r="U95" s="8" t="n">
        <v>0</v>
      </c>
      <c r="V95" s="8" t="n">
        <v>0</v>
      </c>
      <c r="W95" s="8" t="n">
        <v>0</v>
      </c>
      <c r="X95" s="8" t="n">
        <v>0</v>
      </c>
      <c r="Y95" s="8" t="inlineStr">
        <is>
          <t>K_S T4 play #46 (Sec4 #46 'Strike 3 swinging'); sub for W Switzer (play #46 note)</t>
        </is>
      </c>
    </row>
    <row r="96" ht="15.75" customHeight="1" s="35">
      <c r="A96" s="8" t="inlineStr">
        <is>
          <t>2026-03-23_WLDL_at_RVRH</t>
        </is>
      </c>
      <c r="B96" s="2" t="n">
        <v>46104</v>
      </c>
      <c r="C96" s="8" t="inlineStr">
        <is>
          <t>Wilde Lake Varsity Cats</t>
        </is>
      </c>
      <c r="D96" s="8" t="inlineStr">
        <is>
          <t>WLDL</t>
        </is>
      </c>
      <c r="E96" s="8" t="inlineStr">
        <is>
          <t>J Nguyen</t>
        </is>
      </c>
      <c r="F96" s="8" t="n">
        <v>1</v>
      </c>
      <c r="G96" s="8" t="n">
        <v>0</v>
      </c>
      <c r="H96" s="8" t="n">
        <v>0</v>
      </c>
      <c r="I96" s="8" t="n">
        <v>0</v>
      </c>
      <c r="J96" s="8" t="n">
        <v>0</v>
      </c>
      <c r="K96" s="8" t="n">
        <v>0</v>
      </c>
      <c r="L96" s="8" t="n">
        <v>0</v>
      </c>
      <c r="M96" s="8" t="n">
        <v>1</v>
      </c>
      <c r="N96" s="8" t="n">
        <v>0</v>
      </c>
      <c r="O96" s="8" t="n">
        <v>0</v>
      </c>
      <c r="P96" s="8" t="n">
        <v>0</v>
      </c>
      <c r="Q96" s="8" t="n">
        <v>0</v>
      </c>
      <c r="R96" s="8" t="n">
        <v>0</v>
      </c>
      <c r="S96" s="8" t="n">
        <v>0</v>
      </c>
      <c r="T96" s="8" t="n">
        <v>0</v>
      </c>
      <c r="U96" s="8" t="n">
        <v>0</v>
      </c>
      <c r="V96" s="8" t="n">
        <v>0</v>
      </c>
      <c r="W96" s="8" t="n">
        <v>0</v>
      </c>
      <c r="X96" s="8" t="n">
        <v>0</v>
      </c>
      <c r="Y96" s="8" t="inlineStr">
        <is>
          <t>BB T5 play #59; stranded at 1st (3 subsequent Ks end inning); sub for D Linares (play #59 note)</t>
        </is>
      </c>
    </row>
    <row r="97" ht="15.75" customHeight="1" s="35">
      <c r="A97" s="8" t="inlineStr">
        <is>
          <t>2026-03-23_WLDL_at_RVRH</t>
        </is>
      </c>
      <c r="B97" s="2" t="n">
        <v>46104</v>
      </c>
      <c r="C97" s="8" t="inlineStr">
        <is>
          <t>Wilde Lake Varsity Cats</t>
        </is>
      </c>
      <c r="D97" s="8" t="inlineStr">
        <is>
          <t>WLDL</t>
        </is>
      </c>
      <c r="E97" s="8" t="inlineStr">
        <is>
          <t>D Bouadi</t>
        </is>
      </c>
      <c r="F97" s="8" t="n">
        <v>1</v>
      </c>
      <c r="G97" s="8" t="n">
        <v>1</v>
      </c>
      <c r="H97" s="8" t="n">
        <v>0</v>
      </c>
      <c r="I97" s="8" t="n">
        <v>0</v>
      </c>
      <c r="J97" s="8" t="n">
        <v>0</v>
      </c>
      <c r="K97" s="8" t="n">
        <v>0</v>
      </c>
      <c r="L97" s="8" t="n">
        <v>0</v>
      </c>
      <c r="M97" s="8" t="n">
        <v>0</v>
      </c>
      <c r="N97" s="8" t="n">
        <v>0</v>
      </c>
      <c r="O97" s="8" t="n">
        <v>1</v>
      </c>
      <c r="P97" s="8" t="n">
        <v>0</v>
      </c>
      <c r="Q97" s="8" t="n">
        <v>1</v>
      </c>
      <c r="R97" s="8" t="n">
        <v>0</v>
      </c>
      <c r="S97" s="8" t="n">
        <v>0</v>
      </c>
      <c r="T97" s="8" t="n">
        <v>0</v>
      </c>
      <c r="U97" s="8" t="n">
        <v>0</v>
      </c>
      <c r="V97" s="8" t="n">
        <v>0</v>
      </c>
      <c r="W97" s="8" t="n">
        <v>0</v>
      </c>
      <c r="X97" s="8" t="n">
        <v>0</v>
      </c>
      <c r="Y97" s="8" t="inlineStr">
        <is>
          <t>K_S T5 play #60 (Sec4 #60 'Strike 3 swinging'); sub for A Lindsay (play #60 note)</t>
        </is>
      </c>
    </row>
    <row r="98" ht="15.75" customHeight="1" s="35">
      <c r="A98" s="8" t="inlineStr">
        <is>
          <t>2026-03-23_WLDL_at_RVRH</t>
        </is>
      </c>
      <c r="B98" s="2" t="n">
        <v>46104</v>
      </c>
      <c r="C98" s="8" t="inlineStr">
        <is>
          <t>Wilde Lake Varsity Cats</t>
        </is>
      </c>
      <c r="D98" s="8" t="inlineStr">
        <is>
          <t>WLDL</t>
        </is>
      </c>
      <c r="E98" s="8" t="inlineStr">
        <is>
          <t>E Griffiths</t>
        </is>
      </c>
      <c r="F98" s="8" t="n">
        <v>1</v>
      </c>
      <c r="G98" s="8" t="n">
        <v>1</v>
      </c>
      <c r="H98" s="8" t="n">
        <v>0</v>
      </c>
      <c r="I98" s="8" t="n">
        <v>0</v>
      </c>
      <c r="J98" s="8" t="n">
        <v>0</v>
      </c>
      <c r="K98" s="8" t="n">
        <v>0</v>
      </c>
      <c r="L98" s="8" t="n">
        <v>0</v>
      </c>
      <c r="M98" s="8" t="n">
        <v>0</v>
      </c>
      <c r="N98" s="8" t="n">
        <v>0</v>
      </c>
      <c r="O98" s="8" t="n">
        <v>1</v>
      </c>
      <c r="P98" s="8" t="n">
        <v>1</v>
      </c>
      <c r="Q98" s="8" t="n">
        <v>0</v>
      </c>
      <c r="R98" s="8" t="n">
        <v>0</v>
      </c>
      <c r="S98" s="8" t="n">
        <v>0</v>
      </c>
      <c r="T98" s="8" t="n">
        <v>0</v>
      </c>
      <c r="U98" s="8" t="n">
        <v>0</v>
      </c>
      <c r="V98" s="8" t="n">
        <v>0</v>
      </c>
      <c r="W98" s="8" t="n">
        <v>0</v>
      </c>
      <c r="X98" s="8" t="n">
        <v>0</v>
      </c>
      <c r="Y98" s="8" t="inlineStr">
        <is>
          <t>K_L T5 play #61 (Sec4 #61 'Strike 3 looking'); sub for T Sommer (play #61 note)</t>
        </is>
      </c>
    </row>
    <row r="99" ht="15.75" customHeight="1" s="35">
      <c r="A99" s="8" t="inlineStr">
        <is>
          <t>2026-03-23_WLDL_at_RVRH</t>
        </is>
      </c>
      <c r="B99" s="2" t="n">
        <v>46104</v>
      </c>
      <c r="C99" s="8" t="inlineStr">
        <is>
          <t>Wilde Lake Varsity Cats</t>
        </is>
      </c>
      <c r="D99" s="8" t="inlineStr">
        <is>
          <t>WLDL</t>
        </is>
      </c>
      <c r="E99" s="8" t="inlineStr">
        <is>
          <t>D Tang</t>
        </is>
      </c>
      <c r="F99" s="8" t="n">
        <v>1</v>
      </c>
      <c r="G99" s="8" t="n">
        <v>1</v>
      </c>
      <c r="H99" s="8" t="n">
        <v>0</v>
      </c>
      <c r="I99" s="8" t="n">
        <v>0</v>
      </c>
      <c r="J99" s="8" t="n">
        <v>0</v>
      </c>
      <c r="K99" s="8" t="n">
        <v>0</v>
      </c>
      <c r="L99" s="8" t="n">
        <v>0</v>
      </c>
      <c r="M99" s="8" t="n">
        <v>0</v>
      </c>
      <c r="N99" s="8" t="n">
        <v>0</v>
      </c>
      <c r="O99" s="8" t="n">
        <v>1</v>
      </c>
      <c r="P99" s="8" t="n">
        <v>0</v>
      </c>
      <c r="Q99" s="8" t="n">
        <v>1</v>
      </c>
      <c r="R99" s="8" t="n">
        <v>0</v>
      </c>
      <c r="S99" s="8" t="n">
        <v>0</v>
      </c>
      <c r="T99" s="8" t="n">
        <v>0</v>
      </c>
      <c r="U99" s="8" t="n">
        <v>0</v>
      </c>
      <c r="V99" s="8" t="n">
        <v>0</v>
      </c>
      <c r="W99" s="8" t="n">
        <v>0</v>
      </c>
      <c r="X99" s="8" t="n">
        <v>0</v>
      </c>
      <c r="Y99" s="8" t="inlineStr">
        <is>
          <t>K_S T5 play #62 (Sec4 #62 'Strike 3 swinging'); sub for D Coleman (play #62 note)</t>
        </is>
      </c>
    </row>
    <row r="100" ht="15.75" customHeight="1" s="35">
      <c r="A100" s="8" t="inlineStr">
        <is>
          <t>2026-03-25_RVRH_at_HMMN</t>
        </is>
      </c>
      <c r="B100" s="2" t="n">
        <v>46106</v>
      </c>
      <c r="C100" s="8" t="inlineStr">
        <is>
          <t>Hammond Varsity Bears</t>
        </is>
      </c>
      <c r="D100" s="8" t="inlineStr">
        <is>
          <t>RVRH</t>
        </is>
      </c>
      <c r="E100" s="8" t="inlineStr">
        <is>
          <t>R Walsh</t>
        </is>
      </c>
      <c r="F100" s="8" t="n">
        <v>4</v>
      </c>
      <c r="G100" s="8" t="n">
        <v>4</v>
      </c>
      <c r="H100" s="8" t="n">
        <v>1</v>
      </c>
      <c r="I100" s="8" t="n">
        <v>0</v>
      </c>
      <c r="J100" s="8" t="n">
        <v>1</v>
      </c>
      <c r="K100" s="8" t="n">
        <v>0</v>
      </c>
      <c r="L100" s="8" t="n">
        <v>0</v>
      </c>
      <c r="M100" s="8" t="n">
        <v>0</v>
      </c>
      <c r="N100" s="8" t="n">
        <v>0</v>
      </c>
      <c r="O100" s="8" t="n">
        <v>0</v>
      </c>
      <c r="P100" s="8" t="n">
        <v>0</v>
      </c>
      <c r="Q100" s="8" t="n">
        <v>0</v>
      </c>
      <c r="R100" s="8" t="n">
        <v>2</v>
      </c>
      <c r="S100" s="8" t="n">
        <v>1</v>
      </c>
      <c r="T100" s="8" t="n">
        <v>0</v>
      </c>
      <c r="U100" s="8" t="n">
        <v>0</v>
      </c>
      <c r="V100" s="8" t="n">
        <v>0</v>
      </c>
      <c r="W100" s="8" t="n">
        <v>0</v>
      </c>
      <c r="X100" s="8" t="n">
        <v>0</v>
      </c>
      <c r="Y100" s="8" t="inlineStr">
        <is>
          <t>2B T1 play #1; GO T3 play #27 (RBI=1: A Fields scores from 3rd); FO T5 play #43; GO T6 play #56; T8 play #74 not counted (Flag #1); R: T1 play #4 (H Zhang SAC fly), T3 play #20 (J Norwood 1B)</t>
        </is>
      </c>
    </row>
    <row r="101" ht="15.75" customHeight="1" s="35">
      <c r="A101" s="8" t="inlineStr">
        <is>
          <t>2026-03-25_RVRH_at_HMMN</t>
        </is>
      </c>
      <c r="B101" s="2" t="n">
        <v>46106</v>
      </c>
      <c r="C101" s="8" t="inlineStr">
        <is>
          <t>Hammond Varsity Bears</t>
        </is>
      </c>
      <c r="D101" s="8" t="inlineStr">
        <is>
          <t>RVRH</t>
        </is>
      </c>
      <c r="E101" s="8" t="inlineStr">
        <is>
          <t>C Reis</t>
        </is>
      </c>
      <c r="F101" s="8" t="n">
        <v>5</v>
      </c>
      <c r="G101" s="8" t="n">
        <v>4</v>
      </c>
      <c r="H101" s="8" t="n">
        <v>4</v>
      </c>
      <c r="I101" s="8" t="n">
        <v>4</v>
      </c>
      <c r="J101" s="8" t="n">
        <v>0</v>
      </c>
      <c r="K101" s="8" t="n">
        <v>0</v>
      </c>
      <c r="L101" s="8" t="n">
        <v>0</v>
      </c>
      <c r="M101" s="8" t="n">
        <v>1</v>
      </c>
      <c r="N101" s="8" t="n">
        <v>0</v>
      </c>
      <c r="O101" s="8" t="n">
        <v>0</v>
      </c>
      <c r="P101" s="8" t="n">
        <v>0</v>
      </c>
      <c r="Q101" s="8" t="n">
        <v>0</v>
      </c>
      <c r="R101" s="8" t="n">
        <v>2</v>
      </c>
      <c r="S101" s="8" t="n">
        <v>2</v>
      </c>
      <c r="T101" s="8" t="n">
        <v>0</v>
      </c>
      <c r="U101" s="8" t="n">
        <v>0</v>
      </c>
      <c r="V101" s="8" t="n">
        <v>0</v>
      </c>
      <c r="W101" s="8" t="n">
        <v>0</v>
      </c>
      <c r="X101" s="8" t="n">
        <v>0</v>
      </c>
      <c r="Y101" s="8" t="inlineStr">
        <is>
          <t>1B T1 play #2; 1B T3 play #19; BB T3 play #28 (2nd time through order); 1B T5 play #44; 1B T6 play #57 (RBI=2: A Contreras + A Fields score); R: T3 play #21 (H Zhang 2B, C Reis scores from 2nd), T5 play #47 (C Naecker SAC fly)</t>
        </is>
      </c>
    </row>
    <row r="102" ht="15.75" customHeight="1" s="35">
      <c r="A102" s="8" t="inlineStr">
        <is>
          <t>2026-03-25_RVRH_at_HMMN</t>
        </is>
      </c>
      <c r="B102" s="2" t="n">
        <v>46106</v>
      </c>
      <c r="C102" s="8" t="inlineStr">
        <is>
          <t>Hammond Varsity Bears</t>
        </is>
      </c>
      <c r="D102" s="8" t="inlineStr">
        <is>
          <t>RVRH</t>
        </is>
      </c>
      <c r="E102" s="8" t="inlineStr">
        <is>
          <t>J Norwood</t>
        </is>
      </c>
      <c r="F102" s="8" t="n">
        <v>5</v>
      </c>
      <c r="G102" s="8" t="n">
        <v>4</v>
      </c>
      <c r="H102" s="8" t="n">
        <v>2</v>
      </c>
      <c r="I102" s="8" t="n">
        <v>2</v>
      </c>
      <c r="J102" s="8" t="n">
        <v>0</v>
      </c>
      <c r="K102" s="8" t="n">
        <v>0</v>
      </c>
      <c r="L102" s="8" t="n">
        <v>0</v>
      </c>
      <c r="M102" s="8" t="n">
        <v>1</v>
      </c>
      <c r="N102" s="8" t="n">
        <v>0</v>
      </c>
      <c r="O102" s="8" t="n">
        <v>1</v>
      </c>
      <c r="P102" s="8" t="n">
        <v>1</v>
      </c>
      <c r="Q102" s="8" t="n">
        <v>0</v>
      </c>
      <c r="R102" s="8" t="n">
        <v>1</v>
      </c>
      <c r="S102" s="8" t="n">
        <v>1</v>
      </c>
      <c r="T102" s="8" t="n">
        <v>0</v>
      </c>
      <c r="U102" s="8" t="n">
        <v>0</v>
      </c>
      <c r="V102" s="8" t="n">
        <v>0</v>
      </c>
      <c r="W102" s="8" t="n">
        <v>0</v>
      </c>
      <c r="X102" s="8" t="n">
        <v>0</v>
      </c>
      <c r="Y102" s="8" t="inlineStr">
        <is>
          <t>BB T1 play #3; 1B T3 play #20 (RBI=1: R Walsh scores); K_L T3 play #29 (Sec4 #29 'Strike 3 looking'); 1B T5 play #45; FO T6 play #58; R: T3 play #22 (C Naecker 1B, J Norwood scores from 3rd); bats twice in T3 (order cycles); also plays 1B</t>
        </is>
      </c>
    </row>
    <row r="103" ht="15.75" customHeight="1" s="35">
      <c r="A103" s="8" t="inlineStr">
        <is>
          <t>2026-03-25_RVRH_at_HMMN</t>
        </is>
      </c>
      <c r="B103" s="2" t="n">
        <v>46106</v>
      </c>
      <c r="C103" s="8" t="inlineStr">
        <is>
          <t>Hammond Varsity Bears</t>
        </is>
      </c>
      <c r="D103" s="8" t="inlineStr">
        <is>
          <t>RVRH</t>
        </is>
      </c>
      <c r="E103" s="8" t="inlineStr">
        <is>
          <t>H Zhang</t>
        </is>
      </c>
      <c r="F103" s="8" t="n">
        <v>5</v>
      </c>
      <c r="G103" s="8" t="n">
        <v>3</v>
      </c>
      <c r="H103" s="8" t="n">
        <v>3</v>
      </c>
      <c r="I103" s="8" t="n">
        <v>1</v>
      </c>
      <c r="J103" s="8" t="n">
        <v>1</v>
      </c>
      <c r="K103" s="8" t="n">
        <v>0</v>
      </c>
      <c r="L103" s="8" t="n">
        <v>1</v>
      </c>
      <c r="M103" s="8" t="n">
        <v>0</v>
      </c>
      <c r="N103" s="8" t="n">
        <v>1</v>
      </c>
      <c r="O103" s="8" t="n">
        <v>0</v>
      </c>
      <c r="P103" s="8" t="n">
        <v>0</v>
      </c>
      <c r="Q103" s="8" t="n">
        <v>0</v>
      </c>
      <c r="R103" s="8" t="n">
        <v>2</v>
      </c>
      <c r="S103" s="8" t="n">
        <v>3</v>
      </c>
      <c r="T103" s="8" t="n">
        <v>0</v>
      </c>
      <c r="U103" s="8" t="n">
        <v>0</v>
      </c>
      <c r="V103" s="8" t="n">
        <v>0</v>
      </c>
      <c r="W103" s="8" t="n">
        <v>1</v>
      </c>
      <c r="X103" s="8" t="n">
        <v>0</v>
      </c>
      <c r="Y103" s="8" t="inlineStr">
        <is>
          <t>SAC fly T1 play #4 (RBI=1: R Walsh scores); 2B T3 play #21 (RBI=1: C Reis scores); 1B T4 play #33; HBP T5 play #46; HR T7 play #65 (RBI=1: solo); R: T3 play #22 via CR C McClellan (C Naecker 1B, credited to H Zhang), T7 play #65 (HR); CR C McClellan used T3 (#22 Sec4), T4 (#34 Sec4), T5 (#47 Sec4) — Flag #8; also pitches bottom halves</t>
        </is>
      </c>
    </row>
    <row r="104" ht="15.75" customHeight="1" s="35">
      <c r="A104" s="8" t="inlineStr">
        <is>
          <t>2026-03-25_RVRH_at_HMMN</t>
        </is>
      </c>
      <c r="B104" s="2" t="n">
        <v>46106</v>
      </c>
      <c r="C104" s="8" t="inlineStr">
        <is>
          <t>Hammond Varsity Bears</t>
        </is>
      </c>
      <c r="D104" s="8" t="inlineStr">
        <is>
          <t>RVRH</t>
        </is>
      </c>
      <c r="E104" s="8" t="inlineStr">
        <is>
          <t>C Naecker</t>
        </is>
      </c>
      <c r="F104" s="8" t="n">
        <v>5</v>
      </c>
      <c r="G104" s="8" t="n">
        <v>3</v>
      </c>
      <c r="H104" s="8" t="n">
        <v>1</v>
      </c>
      <c r="I104" s="8" t="n">
        <v>1</v>
      </c>
      <c r="J104" s="8" t="n">
        <v>0</v>
      </c>
      <c r="K104" s="8" t="n">
        <v>0</v>
      </c>
      <c r="L104" s="8" t="n">
        <v>0</v>
      </c>
      <c r="M104" s="8" t="n">
        <v>1</v>
      </c>
      <c r="N104" s="8" t="n">
        <v>0</v>
      </c>
      <c r="O104" s="8" t="n">
        <v>1</v>
      </c>
      <c r="P104" s="8" t="n">
        <v>1</v>
      </c>
      <c r="Q104" s="8" t="n">
        <v>0</v>
      </c>
      <c r="R104" s="8" t="n">
        <v>2</v>
      </c>
      <c r="S104" s="8" t="n">
        <v>3</v>
      </c>
      <c r="T104" s="8" t="n">
        <v>1</v>
      </c>
      <c r="U104" s="8" t="n">
        <v>0</v>
      </c>
      <c r="V104" s="8" t="n">
        <v>0</v>
      </c>
      <c r="W104" s="8" t="n">
        <v>1</v>
      </c>
      <c r="X104" s="8" t="n">
        <v>0</v>
      </c>
      <c r="Y104" s="8" t="inlineStr">
        <is>
          <t>K_L T1 play #5 (Sec4 #5 'Strike 3 looking'); 1B T3 play #22 (RBI=2: C McClellan/H Zhang + J Norwood score); FO T4 play #34; SAC fly T5 play #47 (RBI=1: C Reis scores); BB T7 play #66; SB=1: Sec4 #67 steals 2nd during R Ronayne K AB (T7); R: T3 play #24 (WP during A Fields AB — no RBI), T7 play #69 (E by SS P Yarnell during E McCoy PO AB — no RBI)</t>
        </is>
      </c>
    </row>
    <row r="105" ht="15.75" customHeight="1" s="35">
      <c r="A105" s="8" t="inlineStr">
        <is>
          <t>2026-03-25_RVRH_at_HMMN</t>
        </is>
      </c>
      <c r="B105" s="2" t="n">
        <v>46106</v>
      </c>
      <c r="C105" s="8" t="inlineStr">
        <is>
          <t>Hammond Varsity Bears</t>
        </is>
      </c>
      <c r="D105" s="8" t="inlineStr">
        <is>
          <t>RVRH</t>
        </is>
      </c>
      <c r="E105" s="8" t="inlineStr">
        <is>
          <t>G Dang</t>
        </is>
      </c>
      <c r="F105" s="8" t="n">
        <v>4</v>
      </c>
      <c r="G105" s="8" t="n">
        <v>3</v>
      </c>
      <c r="H105" s="8" t="n">
        <v>1</v>
      </c>
      <c r="I105" s="8" t="n">
        <v>1</v>
      </c>
      <c r="J105" s="8" t="n">
        <v>0</v>
      </c>
      <c r="K105" s="8" t="n">
        <v>0</v>
      </c>
      <c r="L105" s="8" t="n">
        <v>0</v>
      </c>
      <c r="M105" s="8" t="n">
        <v>1</v>
      </c>
      <c r="N105" s="8" t="n">
        <v>0</v>
      </c>
      <c r="O105" s="8" t="n">
        <v>1</v>
      </c>
      <c r="P105" s="8" t="n">
        <v>0</v>
      </c>
      <c r="Q105" s="8" t="n">
        <v>1</v>
      </c>
      <c r="R105" s="8" t="n">
        <v>1</v>
      </c>
      <c r="S105" s="8" t="n">
        <v>0</v>
      </c>
      <c r="T105" s="8" t="n">
        <v>0</v>
      </c>
      <c r="U105" s="8" t="n">
        <v>0</v>
      </c>
      <c r="V105" s="8" t="n">
        <v>0</v>
      </c>
      <c r="W105" s="8" t="n">
        <v>0</v>
      </c>
      <c r="X105" s="8" t="n">
        <v>0</v>
      </c>
      <c r="Y105" s="8" t="inlineStr">
        <is>
          <t>Dropped 3rd strike T1 play #6 — K_S (Sec4 #6 'Strike 3 swinging'); out at first; 1B T3 play #23; BB T4 play #35 (CR E Skolkin in, Sec4 #36); FO T5 play #48; R: T3 play #24 (A Fields 1B, G Dang scores from 3rd); subbed by R Ronayne in T7 — no lineup note (inferred from batting order)</t>
        </is>
      </c>
    </row>
    <row r="106" ht="15.75" customHeight="1" s="35">
      <c r="A106" s="8" t="inlineStr">
        <is>
          <t>2026-03-25_RVRH_at_HMMN</t>
        </is>
      </c>
      <c r="B106" s="2" t="n">
        <v>46106</v>
      </c>
      <c r="C106" s="8" t="inlineStr">
        <is>
          <t>Hammond Varsity Bears</t>
        </is>
      </c>
      <c r="D106" s="8" t="inlineStr">
        <is>
          <t>RVRH</t>
        </is>
      </c>
      <c r="E106" s="8" t="inlineStr">
        <is>
          <t>A Fields</t>
        </is>
      </c>
      <c r="F106" s="8" t="n">
        <v>5</v>
      </c>
      <c r="G106" s="8" t="n">
        <v>4</v>
      </c>
      <c r="H106" s="8" t="n">
        <v>3</v>
      </c>
      <c r="I106" s="8" t="n">
        <v>3</v>
      </c>
      <c r="J106" s="8" t="n">
        <v>0</v>
      </c>
      <c r="K106" s="8" t="n">
        <v>0</v>
      </c>
      <c r="L106" s="8" t="n">
        <v>0</v>
      </c>
      <c r="M106" s="8" t="n">
        <v>1</v>
      </c>
      <c r="N106" s="8" t="n">
        <v>0</v>
      </c>
      <c r="O106" s="8" t="n">
        <v>1</v>
      </c>
      <c r="P106" s="8" t="n">
        <v>0</v>
      </c>
      <c r="Q106" s="8" t="n">
        <v>1</v>
      </c>
      <c r="R106" s="8" t="n">
        <v>2</v>
      </c>
      <c r="S106" s="8" t="n">
        <v>1</v>
      </c>
      <c r="T106" s="8" t="n">
        <v>1</v>
      </c>
      <c r="U106" s="8" t="n">
        <v>0</v>
      </c>
      <c r="V106" s="8" t="n">
        <v>0</v>
      </c>
      <c r="W106" s="8" t="n">
        <v>0</v>
      </c>
      <c r="X106" s="8" t="n">
        <v>0</v>
      </c>
      <c r="Y106" s="8" t="inlineStr">
        <is>
          <t>K_S T2 play #11 (Sec4 #11 'Strike 3 swinging'); 1B T3 play #24 (RBI=1: G Dang scores; C Naecker WP-scored during AB — no RBI); BB T4 play #36; 1B T6 play #53; 1B T7 play #68; SB=1: Sec4 #69 steals 2nd during E McCoy PO AB (T7); R: T3 play #27 (R Walsh GO, A Fields scores from 3rd), T6 play #57 (C Reis 1B, A Fields scores from 3rd)</t>
        </is>
      </c>
    </row>
    <row r="107" ht="15.75" customHeight="1" s="35">
      <c r="A107" s="8" t="inlineStr">
        <is>
          <t>2026-03-25_RVRH_at_HMMN</t>
        </is>
      </c>
      <c r="B107" s="2" t="n">
        <v>46106</v>
      </c>
      <c r="C107" s="8" t="inlineStr">
        <is>
          <t>Hammond Varsity Bears</t>
        </is>
      </c>
      <c r="D107" s="8" t="inlineStr">
        <is>
          <t>RVRH</t>
        </is>
      </c>
      <c r="E107" s="8" t="inlineStr">
        <is>
          <t>E McCoy</t>
        </is>
      </c>
      <c r="F107" s="8" t="n">
        <v>5</v>
      </c>
      <c r="G107" s="8" t="n">
        <v>4</v>
      </c>
      <c r="H107" s="8" t="n">
        <v>0</v>
      </c>
      <c r="I107" s="8" t="n">
        <v>0</v>
      </c>
      <c r="J107" s="8" t="n">
        <v>0</v>
      </c>
      <c r="K107" s="8" t="n">
        <v>0</v>
      </c>
      <c r="L107" s="8" t="n">
        <v>0</v>
      </c>
      <c r="M107" s="8" t="n">
        <v>0</v>
      </c>
      <c r="N107" s="8" t="n">
        <v>0</v>
      </c>
      <c r="O107" s="8" t="n">
        <v>0</v>
      </c>
      <c r="P107" s="8" t="n">
        <v>0</v>
      </c>
      <c r="Q107" s="8" t="n">
        <v>0</v>
      </c>
      <c r="R107" s="8" t="n">
        <v>0</v>
      </c>
      <c r="S107" s="8" t="n">
        <v>0</v>
      </c>
      <c r="T107" s="8" t="n">
        <v>0</v>
      </c>
      <c r="U107" s="8" t="n">
        <v>0</v>
      </c>
      <c r="V107" s="8" t="n">
        <v>0</v>
      </c>
      <c r="W107" s="8" t="n">
        <v>1</v>
      </c>
      <c r="X107" s="8" t="n">
        <v>0</v>
      </c>
      <c r="Y107" s="8" t="inlineStr">
        <is>
          <t>PO T2 play #12; SAC bunt T3 play #25 (outcome explicitly says 'E McCoy sacrifices'); LO T4 play #37; FO T6 play #54; PO T7 play #69 (C Naecker scores on embedded E — no RBI for E McCoy; Flag #6)</t>
        </is>
      </c>
    </row>
    <row r="108" ht="15.75" customHeight="1" s="35">
      <c r="A108" s="8" t="inlineStr">
        <is>
          <t>2026-03-25_RVRH_at_HMMN</t>
        </is>
      </c>
      <c r="B108" s="2" t="n">
        <v>46106</v>
      </c>
      <c r="C108" s="8" t="inlineStr">
        <is>
          <t>Hammond Varsity Bears</t>
        </is>
      </c>
      <c r="D108" s="8" t="inlineStr">
        <is>
          <t>RVRH</t>
        </is>
      </c>
      <c r="E108" s="8" t="inlineStr">
        <is>
          <t>A Contreras</t>
        </is>
      </c>
      <c r="F108" s="8" t="n">
        <v>5</v>
      </c>
      <c r="G108" s="8" t="n">
        <v>4</v>
      </c>
      <c r="H108" s="8" t="n">
        <v>0</v>
      </c>
      <c r="I108" s="8" t="n">
        <v>0</v>
      </c>
      <c r="J108" s="8" t="n">
        <v>0</v>
      </c>
      <c r="K108" s="8" t="n">
        <v>0</v>
      </c>
      <c r="L108" s="8" t="n">
        <v>0</v>
      </c>
      <c r="M108" s="8" t="n">
        <v>0</v>
      </c>
      <c r="N108" s="8" t="n">
        <v>1</v>
      </c>
      <c r="O108" s="8" t="n">
        <v>0</v>
      </c>
      <c r="P108" s="8" t="n">
        <v>0</v>
      </c>
      <c r="Q108" s="8" t="n">
        <v>0</v>
      </c>
      <c r="R108" s="8" t="n">
        <v>1</v>
      </c>
      <c r="S108" s="8" t="n">
        <v>0</v>
      </c>
      <c r="T108" s="8" t="n">
        <v>0</v>
      </c>
      <c r="U108" s="8" t="n">
        <v>0</v>
      </c>
      <c r="V108" s="8" t="n">
        <v>0</v>
      </c>
      <c r="W108" s="8" t="n">
        <v>0</v>
      </c>
      <c r="X108" s="8" t="n">
        <v>0</v>
      </c>
      <c r="Y108" s="8" t="inlineStr">
        <is>
          <t>PO T2 play #13; Error-ROE T3 play #26 (not a hit; advances to 2nd on same error; HMMN E=1); PO T4 play #38; HBP T6 play #55; FO T7 play #70; R: T6 play #57 (C Reis 1B, A Contreras scores from 3rd)</t>
        </is>
      </c>
    </row>
    <row r="109" ht="15.75" customHeight="1" s="35">
      <c r="A109" s="8" t="inlineStr">
        <is>
          <t>2026-03-25_RVRH_at_HMMN</t>
        </is>
      </c>
      <c r="B109" s="2" t="n">
        <v>46106</v>
      </c>
      <c r="C109" s="8" t="inlineStr">
        <is>
          <t>Hammond Varsity Bears</t>
        </is>
      </c>
      <c r="D109" s="8" t="inlineStr">
        <is>
          <t>RVRH</t>
        </is>
      </c>
      <c r="E109" s="8" t="inlineStr">
        <is>
          <t>R Ronayne</t>
        </is>
      </c>
      <c r="F109" s="8" t="n">
        <v>1</v>
      </c>
      <c r="G109" s="8" t="n">
        <v>1</v>
      </c>
      <c r="H109" s="8" t="n">
        <v>0</v>
      </c>
      <c r="I109" s="8" t="n">
        <v>0</v>
      </c>
      <c r="J109" s="8" t="n">
        <v>0</v>
      </c>
      <c r="K109" s="8" t="n">
        <v>0</v>
      </c>
      <c r="L109" s="8" t="n">
        <v>0</v>
      </c>
      <c r="M109" s="8" t="n">
        <v>0</v>
      </c>
      <c r="N109" s="8" t="n">
        <v>0</v>
      </c>
      <c r="O109" s="8" t="n">
        <v>1</v>
      </c>
      <c r="P109" s="8" t="n">
        <v>1</v>
      </c>
      <c r="Q109" s="8" t="n">
        <v>0</v>
      </c>
      <c r="R109" s="8" t="n">
        <v>0</v>
      </c>
      <c r="S109" s="8" t="n">
        <v>0</v>
      </c>
      <c r="T109" s="8" t="n">
        <v>0</v>
      </c>
      <c r="U109" s="8" t="n">
        <v>0</v>
      </c>
      <c r="V109" s="8" t="n">
        <v>0</v>
      </c>
      <c r="W109" s="8" t="n">
        <v>0</v>
      </c>
      <c r="X109" s="8" t="n">
        <v>0</v>
      </c>
      <c r="Y109" s="8" t="inlineStr">
        <is>
          <t>K_L T7 play #67 (Sec4 #67 'Strike 3 looking'); subs for G Dang T7 — no lineup note, inferred from batting order position</t>
        </is>
      </c>
    </row>
    <row r="110" ht="15.75" customHeight="1" s="35">
      <c r="A110" s="8" t="inlineStr">
        <is>
          <t>2026-03-25_RVRH_at_HMMN</t>
        </is>
      </c>
      <c r="B110" s="2" t="n">
        <v>46106</v>
      </c>
      <c r="C110" s="8" t="inlineStr">
        <is>
          <t>Hammond Varsity Bears</t>
        </is>
      </c>
      <c r="D110" s="8" t="inlineStr">
        <is>
          <t>HMMN</t>
        </is>
      </c>
      <c r="E110" s="8" t="inlineStr">
        <is>
          <t>Y Rivera</t>
        </is>
      </c>
      <c r="F110" s="8" t="n">
        <v>3</v>
      </c>
      <c r="G110" s="8" t="n">
        <v>3</v>
      </c>
      <c r="H110" s="8" t="n">
        <v>0</v>
      </c>
      <c r="I110" s="8" t="n">
        <v>0</v>
      </c>
      <c r="J110" s="8" t="n">
        <v>0</v>
      </c>
      <c r="K110" s="8" t="n">
        <v>0</v>
      </c>
      <c r="L110" s="8" t="n">
        <v>0</v>
      </c>
      <c r="M110" s="8" t="n">
        <v>0</v>
      </c>
      <c r="N110" s="8" t="n">
        <v>0</v>
      </c>
      <c r="O110" s="8" t="n">
        <v>1</v>
      </c>
      <c r="P110" s="8" t="n">
        <v>0</v>
      </c>
      <c r="Q110" s="8" t="n">
        <v>1</v>
      </c>
      <c r="R110" s="8" t="n">
        <v>0</v>
      </c>
      <c r="S110" s="8" t="n">
        <v>0</v>
      </c>
      <c r="T110" s="8" t="n">
        <v>0</v>
      </c>
      <c r="U110" s="8" t="n">
        <v>0</v>
      </c>
      <c r="V110" s="8" t="n">
        <v>0</v>
      </c>
      <c r="W110" s="8" t="n">
        <v>0</v>
      </c>
      <c r="X110" s="8" t="n">
        <v>0</v>
      </c>
      <c r="Y110" s="8" t="inlineStr">
        <is>
          <t>K_S B1 play #7 (Sec4 #7 'Strike 3 swinging'); GO B3 play #31; GO B5 play #52; sub T Thomas takes Y Rivera slot B7 (Flag #3)</t>
        </is>
      </c>
    </row>
    <row r="111" ht="15.75" customHeight="1" s="35">
      <c r="A111" s="8" t="inlineStr">
        <is>
          <t>2026-03-25_RVRH_at_HMMN</t>
        </is>
      </c>
      <c r="B111" s="2" t="n">
        <v>46106</v>
      </c>
      <c r="C111" s="8" t="inlineStr">
        <is>
          <t>Hammond Varsity Bears</t>
        </is>
      </c>
      <c r="D111" s="8" t="inlineStr">
        <is>
          <t>HMMN</t>
        </is>
      </c>
      <c r="E111" s="8" t="inlineStr">
        <is>
          <t>P Yarnell</t>
        </is>
      </c>
      <c r="F111" s="8" t="n">
        <v>3</v>
      </c>
      <c r="G111" s="8" t="n">
        <v>3</v>
      </c>
      <c r="H111" s="8" t="n">
        <v>1</v>
      </c>
      <c r="I111" s="8" t="n">
        <v>1</v>
      </c>
      <c r="J111" s="8" t="n">
        <v>0</v>
      </c>
      <c r="K111" s="8" t="n">
        <v>0</v>
      </c>
      <c r="L111" s="8" t="n">
        <v>0</v>
      </c>
      <c r="M111" s="8" t="n">
        <v>0</v>
      </c>
      <c r="N111" s="8" t="n">
        <v>0</v>
      </c>
      <c r="O111" s="8" t="n">
        <v>0</v>
      </c>
      <c r="P111" s="8" t="n">
        <v>0</v>
      </c>
      <c r="Q111" s="8" t="n">
        <v>0</v>
      </c>
      <c r="R111" s="8" t="n">
        <v>0</v>
      </c>
      <c r="S111" s="8" t="n">
        <v>0</v>
      </c>
      <c r="T111" s="8" t="n">
        <v>0</v>
      </c>
      <c r="U111" s="8" t="n">
        <v>0</v>
      </c>
      <c r="V111" s="8" t="n">
        <v>0</v>
      </c>
      <c r="W111" s="8" t="n">
        <v>0</v>
      </c>
      <c r="X111" s="8" t="n">
        <v>0</v>
      </c>
      <c r="Y111" s="8" t="inlineStr">
        <is>
          <t>1B B1 play #8; GO B3 play #32; FO B6 play #59; also pitches T1-T3 partial; 3 errors at SS (T4 embedded, T5, T7 embedded; Flag #7)</t>
        </is>
      </c>
    </row>
    <row r="112" ht="15.75" customHeight="1" s="35">
      <c r="A112" s="8" t="inlineStr">
        <is>
          <t>2026-03-25_RVRH_at_HMMN</t>
        </is>
      </c>
      <c r="B112" s="2" t="n">
        <v>46106</v>
      </c>
      <c r="C112" s="8" t="inlineStr">
        <is>
          <t>Hammond Varsity Bears</t>
        </is>
      </c>
      <c r="D112" s="8" t="inlineStr">
        <is>
          <t>HMMN</t>
        </is>
      </c>
      <c r="E112" s="8" t="inlineStr">
        <is>
          <t>C Stryker</t>
        </is>
      </c>
      <c r="F112" s="8" t="n">
        <v>3</v>
      </c>
      <c r="G112" s="8" t="n">
        <v>3</v>
      </c>
      <c r="H112" s="8" t="n">
        <v>2</v>
      </c>
      <c r="I112" s="8" t="n">
        <v>2</v>
      </c>
      <c r="J112" s="8" t="n">
        <v>0</v>
      </c>
      <c r="K112" s="8" t="n">
        <v>0</v>
      </c>
      <c r="L112" s="8" t="n">
        <v>0</v>
      </c>
      <c r="M112" s="8" t="n">
        <v>0</v>
      </c>
      <c r="N112" s="8" t="n">
        <v>0</v>
      </c>
      <c r="O112" s="8" t="n">
        <v>0</v>
      </c>
      <c r="P112" s="8" t="n">
        <v>0</v>
      </c>
      <c r="Q112" s="8" t="n">
        <v>0</v>
      </c>
      <c r="R112" s="8" t="n">
        <v>1</v>
      </c>
      <c r="S112" s="8" t="n">
        <v>0</v>
      </c>
      <c r="T112" s="8" t="n">
        <v>0</v>
      </c>
      <c r="U112" s="8" t="n">
        <v>0</v>
      </c>
      <c r="V112" s="8" t="n">
        <v>0</v>
      </c>
      <c r="W112" s="8" t="n">
        <v>0</v>
      </c>
      <c r="X112" s="8" t="n">
        <v>0</v>
      </c>
      <c r="Y112" s="8" t="inlineStr">
        <is>
          <t>PO B1 play #9; 1B B4 play #39; 1B B6 play #60; R: B6 play #61 (J Willis 1B + error by LF A Contreras, C Stryker scores — no RBI for J Willis)</t>
        </is>
      </c>
    </row>
    <row r="113" ht="15.75" customHeight="1" s="35">
      <c r="A113" s="8" t="inlineStr">
        <is>
          <t>2026-03-25_RVRH_at_HMMN</t>
        </is>
      </c>
      <c r="B113" s="2" t="n">
        <v>46106</v>
      </c>
      <c r="C113" s="8" t="inlineStr">
        <is>
          <t>Hammond Varsity Bears</t>
        </is>
      </c>
      <c r="D113" s="8" t="inlineStr">
        <is>
          <t>HMMN</t>
        </is>
      </c>
      <c r="E113" s="8" t="inlineStr">
        <is>
          <t>J Willis</t>
        </is>
      </c>
      <c r="F113" s="8" t="n">
        <v>3</v>
      </c>
      <c r="G113" s="8" t="n">
        <v>3</v>
      </c>
      <c r="H113" s="8" t="n">
        <v>1</v>
      </c>
      <c r="I113" s="8" t="n">
        <v>1</v>
      </c>
      <c r="J113" s="8" t="n">
        <v>0</v>
      </c>
      <c r="K113" s="8" t="n">
        <v>0</v>
      </c>
      <c r="L113" s="8" t="n">
        <v>0</v>
      </c>
      <c r="M113" s="8" t="n">
        <v>0</v>
      </c>
      <c r="N113" s="8" t="n">
        <v>0</v>
      </c>
      <c r="O113" s="8" t="n">
        <v>1</v>
      </c>
      <c r="P113" s="8" t="n">
        <v>0</v>
      </c>
      <c r="Q113" s="8" t="n">
        <v>1</v>
      </c>
      <c r="R113" s="8" t="n">
        <v>1</v>
      </c>
      <c r="S113" s="8" t="n">
        <v>0</v>
      </c>
      <c r="T113" s="8" t="n">
        <v>0</v>
      </c>
      <c r="U113" s="8" t="n">
        <v>0</v>
      </c>
      <c r="V113" s="8" t="n">
        <v>0</v>
      </c>
      <c r="W113" s="8" t="n">
        <v>0</v>
      </c>
      <c r="X113" s="8" t="n">
        <v>0</v>
      </c>
      <c r="Y113" s="8" t="inlineStr">
        <is>
          <t>PO B1 play #10; K_S B4 play #40 (Sec4 #40 'Strike 3 swinging'); 1B B6 play #61; R: B6 play #63 (G Draminski SAC bunt, J Willis scores from 3rd)</t>
        </is>
      </c>
    </row>
    <row r="114" ht="15.75" customHeight="1" s="35">
      <c r="A114" s="8" t="inlineStr">
        <is>
          <t>2026-03-25_RVRH_at_HMMN</t>
        </is>
      </c>
      <c r="B114" s="2" t="n">
        <v>46106</v>
      </c>
      <c r="C114" s="8" t="inlineStr">
        <is>
          <t>Hammond Varsity Bears</t>
        </is>
      </c>
      <c r="D114" s="8" t="inlineStr">
        <is>
          <t>HMMN</t>
        </is>
      </c>
      <c r="E114" s="8" t="inlineStr">
        <is>
          <t>B Garris</t>
        </is>
      </c>
      <c r="F114" s="8" t="n">
        <v>3</v>
      </c>
      <c r="G114" s="8" t="n">
        <v>3</v>
      </c>
      <c r="H114" s="8" t="n">
        <v>1</v>
      </c>
      <c r="I114" s="8" t="n">
        <v>1</v>
      </c>
      <c r="J114" s="8" t="n">
        <v>0</v>
      </c>
      <c r="K114" s="8" t="n">
        <v>0</v>
      </c>
      <c r="L114" s="8" t="n">
        <v>0</v>
      </c>
      <c r="M114" s="8" t="n">
        <v>0</v>
      </c>
      <c r="N114" s="8" t="n">
        <v>0</v>
      </c>
      <c r="O114" s="8" t="n">
        <v>0</v>
      </c>
      <c r="P114" s="8" t="n">
        <v>0</v>
      </c>
      <c r="Q114" s="8" t="n">
        <v>0</v>
      </c>
      <c r="R114" s="8" t="n">
        <v>0</v>
      </c>
      <c r="S114" s="8" t="n">
        <v>0</v>
      </c>
      <c r="T114" s="8" t="n">
        <v>0</v>
      </c>
      <c r="U114" s="8" t="n">
        <v>0</v>
      </c>
      <c r="V114" s="8" t="n">
        <v>0</v>
      </c>
      <c r="W114" s="8" t="n">
        <v>0</v>
      </c>
      <c r="X114" s="8" t="n">
        <v>0</v>
      </c>
      <c r="Y114" s="8" t="inlineStr">
        <is>
          <t>FO B2 play #14; FO B4 play #41; 1B B6 play #62; stranded at 2nd (B6 L Tordella GO ends inning)</t>
        </is>
      </c>
    </row>
    <row r="115" ht="15.75" customHeight="1" s="35">
      <c r="A115" s="8" t="inlineStr">
        <is>
          <t>2026-03-25_RVRH_at_HMMN</t>
        </is>
      </c>
      <c r="B115" s="2" t="n">
        <v>46106</v>
      </c>
      <c r="C115" s="8" t="inlineStr">
        <is>
          <t>Hammond Varsity Bears</t>
        </is>
      </c>
      <c r="D115" s="8" t="inlineStr">
        <is>
          <t>HMMN</t>
        </is>
      </c>
      <c r="E115" s="8" t="inlineStr">
        <is>
          <t>G Draminski</t>
        </is>
      </c>
      <c r="F115" s="8" t="n">
        <v>3</v>
      </c>
      <c r="G115" s="8" t="n">
        <v>2</v>
      </c>
      <c r="H115" s="8" t="n">
        <v>0</v>
      </c>
      <c r="I115" s="8" t="n">
        <v>0</v>
      </c>
      <c r="J115" s="8" t="n">
        <v>0</v>
      </c>
      <c r="K115" s="8" t="n">
        <v>0</v>
      </c>
      <c r="L115" s="8" t="n">
        <v>0</v>
      </c>
      <c r="M115" s="8" t="n">
        <v>0</v>
      </c>
      <c r="N115" s="8" t="n">
        <v>0</v>
      </c>
      <c r="O115" s="8" t="n">
        <v>0</v>
      </c>
      <c r="P115" s="8" t="n">
        <v>0</v>
      </c>
      <c r="Q115" s="8" t="n">
        <v>0</v>
      </c>
      <c r="R115" s="8" t="n">
        <v>0</v>
      </c>
      <c r="S115" s="8" t="n">
        <v>1</v>
      </c>
      <c r="T115" s="8" t="n">
        <v>0</v>
      </c>
      <c r="U115" s="8" t="n">
        <v>0</v>
      </c>
      <c r="V115" s="8" t="n">
        <v>0</v>
      </c>
      <c r="W115" s="8" t="n">
        <v>1</v>
      </c>
      <c r="X115" s="8" t="n">
        <v>1</v>
      </c>
      <c r="Y115" s="8" t="inlineStr">
        <is>
          <t>GO B2 play #15; FC B4 play #42 (C Stryker out advancing to 2nd); SAC bunt B6 play #63 (outcome explicitly says 'sacrifices'; RBI=1: J Willis scores from 3rd); also pitches T7</t>
        </is>
      </c>
    </row>
    <row r="116" ht="15.75" customHeight="1" s="35">
      <c r="A116" s="8" t="inlineStr">
        <is>
          <t>2026-03-25_RVRH_at_HMMN</t>
        </is>
      </c>
      <c r="B116" s="2" t="n">
        <v>46106</v>
      </c>
      <c r="C116" s="8" t="inlineStr">
        <is>
          <t>Hammond Varsity Bears</t>
        </is>
      </c>
      <c r="D116" s="8" t="inlineStr">
        <is>
          <t>HMMN</t>
        </is>
      </c>
      <c r="E116" s="8" t="inlineStr">
        <is>
          <t>L Tordella</t>
        </is>
      </c>
      <c r="F116" s="8" t="n">
        <v>3</v>
      </c>
      <c r="G116" s="8" t="n">
        <v>2</v>
      </c>
      <c r="H116" s="8" t="n">
        <v>0</v>
      </c>
      <c r="I116" s="8" t="n">
        <v>0</v>
      </c>
      <c r="J116" s="8" t="n">
        <v>0</v>
      </c>
      <c r="K116" s="8" t="n">
        <v>0</v>
      </c>
      <c r="L116" s="8" t="n">
        <v>0</v>
      </c>
      <c r="M116" s="8" t="n">
        <v>0</v>
      </c>
      <c r="N116" s="8" t="n">
        <v>1</v>
      </c>
      <c r="O116" s="8" t="n">
        <v>1</v>
      </c>
      <c r="P116" s="8" t="n">
        <v>1</v>
      </c>
      <c r="Q116" s="8" t="n">
        <v>0</v>
      </c>
      <c r="R116" s="8" t="n">
        <v>0</v>
      </c>
      <c r="S116" s="8" t="n">
        <v>0</v>
      </c>
      <c r="T116" s="8" t="n">
        <v>0</v>
      </c>
      <c r="U116" s="8" t="n">
        <v>0</v>
      </c>
      <c r="V116" s="8" t="n">
        <v>0</v>
      </c>
      <c r="W116" s="8" t="n">
        <v>0</v>
      </c>
      <c r="X116" s="8" t="n">
        <v>0</v>
      </c>
      <c r="Y116" s="8" t="inlineStr">
        <is>
          <t>HBP B2 play #16; CR D Bhatt used B2 (Sec4 #17) — D Bhatt stranded; K_L B5 play #49 (Sec4 #49 'Strike 3 looking'); GO B6 play #64</t>
        </is>
      </c>
    </row>
    <row r="117" ht="15.75" customHeight="1" s="35">
      <c r="A117" s="8" t="inlineStr">
        <is>
          <t>2026-03-25_RVRH_at_HMMN</t>
        </is>
      </c>
      <c r="B117" s="2" t="n">
        <v>46106</v>
      </c>
      <c r="C117" s="8" t="inlineStr">
        <is>
          <t>Hammond Varsity Bears</t>
        </is>
      </c>
      <c r="D117" s="8" t="inlineStr">
        <is>
          <t>HMMN</t>
        </is>
      </c>
      <c r="E117" s="8" t="inlineStr">
        <is>
          <t>N Macomber</t>
        </is>
      </c>
      <c r="F117" s="8" t="n">
        <v>3</v>
      </c>
      <c r="G117" s="8" t="n">
        <v>3</v>
      </c>
      <c r="H117" s="8" t="n">
        <v>1</v>
      </c>
      <c r="I117" s="8" t="n">
        <v>1</v>
      </c>
      <c r="J117" s="8" t="n">
        <v>0</v>
      </c>
      <c r="K117" s="8" t="n">
        <v>0</v>
      </c>
      <c r="L117" s="8" t="n">
        <v>0</v>
      </c>
      <c r="M117" s="8" t="n">
        <v>0</v>
      </c>
      <c r="N117" s="8" t="n">
        <v>0</v>
      </c>
      <c r="O117" s="8" t="n">
        <v>0</v>
      </c>
      <c r="P117" s="8" t="n">
        <v>0</v>
      </c>
      <c r="Q117" s="8" t="n">
        <v>0</v>
      </c>
      <c r="R117" s="8" t="n">
        <v>0</v>
      </c>
      <c r="S117" s="8" t="n">
        <v>0</v>
      </c>
      <c r="T117" s="8" t="n">
        <v>0</v>
      </c>
      <c r="U117" s="8" t="n">
        <v>0</v>
      </c>
      <c r="V117" s="8" t="n">
        <v>0</v>
      </c>
      <c r="W117" s="8" t="n">
        <v>0</v>
      </c>
      <c r="X117" s="8" t="n">
        <v>0</v>
      </c>
      <c r="Y117" s="8" t="inlineStr">
        <is>
          <t>GO B2 play #17; 1B B5 play #50; GO B7 play #71; stranded at 1st (B5 G Garris PO + Y Rivera GO end inning)</t>
        </is>
      </c>
    </row>
    <row r="118" ht="15.75" customHeight="1" s="35">
      <c r="A118" s="8" t="inlineStr">
        <is>
          <t>2026-03-25_RVRH_at_HMMN</t>
        </is>
      </c>
      <c r="B118" s="2" t="n">
        <v>46106</v>
      </c>
      <c r="C118" s="8" t="inlineStr">
        <is>
          <t>Hammond Varsity Bears</t>
        </is>
      </c>
      <c r="D118" s="8" t="inlineStr">
        <is>
          <t>HMMN</t>
        </is>
      </c>
      <c r="E118" s="8" t="inlineStr">
        <is>
          <t>G Garris</t>
        </is>
      </c>
      <c r="F118" s="8" t="n">
        <v>3</v>
      </c>
      <c r="G118" s="8" t="n">
        <v>3</v>
      </c>
      <c r="H118" s="8" t="n">
        <v>0</v>
      </c>
      <c r="I118" s="8" t="n">
        <v>0</v>
      </c>
      <c r="J118" s="8" t="n">
        <v>0</v>
      </c>
      <c r="K118" s="8" t="n">
        <v>0</v>
      </c>
      <c r="L118" s="8" t="n">
        <v>0</v>
      </c>
      <c r="M118" s="8" t="n">
        <v>0</v>
      </c>
      <c r="N118" s="8" t="n">
        <v>0</v>
      </c>
      <c r="O118" s="8" t="n">
        <v>0</v>
      </c>
      <c r="P118" s="8" t="n">
        <v>0</v>
      </c>
      <c r="Q118" s="8" t="n">
        <v>0</v>
      </c>
      <c r="R118" s="8" t="n">
        <v>0</v>
      </c>
      <c r="S118" s="8" t="n">
        <v>0</v>
      </c>
      <c r="T118" s="8" t="n">
        <v>0</v>
      </c>
      <c r="U118" s="8" t="n">
        <v>0</v>
      </c>
      <c r="V118" s="8" t="n">
        <v>0</v>
      </c>
      <c r="W118" s="8" t="n">
        <v>0</v>
      </c>
      <c r="X118" s="8" t="n">
        <v>0</v>
      </c>
      <c r="Y118" s="8" t="inlineStr">
        <is>
          <t>GO B3 play #30; PO B5 play #51; FO B7 play #72; also plays LF</t>
        </is>
      </c>
    </row>
    <row r="119" ht="15.75" customHeight="1" s="35">
      <c r="A119" s="8" t="inlineStr">
        <is>
          <t>2026-03-25_RVRH_at_HMMN</t>
        </is>
      </c>
      <c r="B119" s="2" t="n">
        <v>46106</v>
      </c>
      <c r="C119" s="8" t="inlineStr">
        <is>
          <t>Hammond Varsity Bears</t>
        </is>
      </c>
      <c r="D119" s="8" t="inlineStr">
        <is>
          <t>HMMN</t>
        </is>
      </c>
      <c r="E119" s="8" t="inlineStr">
        <is>
          <t>T Thomas</t>
        </is>
      </c>
      <c r="F119" s="8" t="n">
        <v>1</v>
      </c>
      <c r="G119" s="8" t="n">
        <v>1</v>
      </c>
      <c r="H119" s="8" t="n">
        <v>0</v>
      </c>
      <c r="I119" s="8" t="n">
        <v>0</v>
      </c>
      <c r="J119" s="8" t="n">
        <v>0</v>
      </c>
      <c r="K119" s="8" t="n">
        <v>0</v>
      </c>
      <c r="L119" s="8" t="n">
        <v>0</v>
      </c>
      <c r="M119" s="8" t="n">
        <v>0</v>
      </c>
      <c r="N119" s="8" t="n">
        <v>0</v>
      </c>
      <c r="O119" s="8" t="n">
        <v>1</v>
      </c>
      <c r="P119" s="8" t="n">
        <v>0</v>
      </c>
      <c r="Q119" s="8" t="n">
        <v>1</v>
      </c>
      <c r="R119" s="8" t="n">
        <v>0</v>
      </c>
      <c r="S119" s="8" t="n">
        <v>0</v>
      </c>
      <c r="T119" s="8" t="n">
        <v>0</v>
      </c>
      <c r="U119" s="8" t="n">
        <v>0</v>
      </c>
      <c r="V119" s="8" t="n">
        <v>0</v>
      </c>
      <c r="W119" s="8" t="n">
        <v>0</v>
      </c>
      <c r="X119" s="8" t="n">
        <v>0</v>
      </c>
      <c r="Y119" s="8" t="inlineStr">
        <is>
          <t>K_S B7 play #73 (Sec4 #73 'Strike 3 swinging'); no lineup note — appears in Y Rivera batting slot B7; Flag #3</t>
        </is>
      </c>
    </row>
    <row r="120" ht="15.75" customHeight="1" s="35">
      <c r="A120" s="8" t="inlineStr">
        <is>
          <t>2026-03-27_GLNL_at_RVRH</t>
        </is>
      </c>
      <c r="B120" s="2" t="n">
        <v>46108</v>
      </c>
      <c r="C120" s="8" t="inlineStr">
        <is>
          <t>Glenelg Varsity Gladiators</t>
        </is>
      </c>
      <c r="D120" s="8" t="inlineStr">
        <is>
          <t>RVRH</t>
        </is>
      </c>
      <c r="E120" s="8" t="inlineStr">
        <is>
          <t>R Walsh</t>
        </is>
      </c>
      <c r="F120" s="8" t="n">
        <v>3</v>
      </c>
      <c r="G120" s="8" t="n">
        <v>0</v>
      </c>
      <c r="H120" s="8" t="n">
        <v>0</v>
      </c>
      <c r="I120" s="8" t="n">
        <v>0</v>
      </c>
      <c r="J120" s="8" t="n">
        <v>0</v>
      </c>
      <c r="K120" s="8" t="n">
        <v>0</v>
      </c>
      <c r="L120" s="8" t="n">
        <v>0</v>
      </c>
      <c r="M120" s="8" t="n">
        <v>2</v>
      </c>
      <c r="N120" s="8" t="n">
        <v>1</v>
      </c>
      <c r="O120" s="8" t="n">
        <v>0</v>
      </c>
      <c r="P120" s="8" t="n">
        <v>0</v>
      </c>
      <c r="Q120" s="8" t="n">
        <v>0</v>
      </c>
      <c r="R120" s="8" t="n">
        <v>3</v>
      </c>
      <c r="S120" s="8" t="n">
        <v>1</v>
      </c>
      <c r="T120" s="8" t="n">
        <v>0</v>
      </c>
      <c r="U120" s="8" t="n">
        <v>0</v>
      </c>
      <c r="V120" s="8" t="n">
        <v>0</v>
      </c>
      <c r="W120" s="8" t="n">
        <v>0</v>
      </c>
      <c r="X120" s="8" t="n">
        <v>0</v>
      </c>
      <c r="Y120" s="8" t="inlineStr">
        <is>
          <t>BB B1 play #5; BB B3 play #22; HBP B3 play #31 (RBI=1: A Fields scores forced from 3rd); R: B1 play #8 (H Zhang GDP, R Walsh scores from 3rd); B3 play #25 (H Zhang SAC fly, R Walsh scores from 3rd); B3 play #34 via CR C McClellan (H Zhang BB, C McClellan forced home — credited to R Walsh); also pitches T1–T4</t>
        </is>
      </c>
    </row>
    <row r="121" ht="15.75" customHeight="1" s="35">
      <c r="A121" s="8" t="inlineStr">
        <is>
          <t>2026-03-27_GLNL_at_RVRH</t>
        </is>
      </c>
      <c r="B121" s="2" t="n">
        <v>46108</v>
      </c>
      <c r="C121" s="8" t="inlineStr">
        <is>
          <t>Glenelg Varsity Gladiators</t>
        </is>
      </c>
      <c r="D121" s="8" t="inlineStr">
        <is>
          <t>RVRH</t>
        </is>
      </c>
      <c r="E121" s="8" t="inlineStr">
        <is>
          <t>C Reis</t>
        </is>
      </c>
      <c r="F121" s="8" t="n">
        <v>4</v>
      </c>
      <c r="G121" s="8" t="n">
        <v>2</v>
      </c>
      <c r="H121" s="8" t="n">
        <v>2</v>
      </c>
      <c r="I121" s="8" t="n">
        <v>2</v>
      </c>
      <c r="J121" s="8" t="n">
        <v>0</v>
      </c>
      <c r="K121" s="8" t="n">
        <v>0</v>
      </c>
      <c r="L121" s="8" t="n">
        <v>0</v>
      </c>
      <c r="M121" s="8" t="n">
        <v>0</v>
      </c>
      <c r="N121" s="8" t="n">
        <v>2</v>
      </c>
      <c r="O121" s="8" t="n">
        <v>0</v>
      </c>
      <c r="P121" s="8" t="n">
        <v>0</v>
      </c>
      <c r="Q121" s="8" t="n">
        <v>0</v>
      </c>
      <c r="R121" s="8" t="n">
        <v>3</v>
      </c>
      <c r="S121" s="8" t="n">
        <v>1</v>
      </c>
      <c r="T121" s="8" t="n">
        <v>0</v>
      </c>
      <c r="U121" s="8" t="n">
        <v>0</v>
      </c>
      <c r="V121" s="8" t="n">
        <v>0</v>
      </c>
      <c r="W121" s="8" t="n">
        <v>0</v>
      </c>
      <c r="X121" s="8" t="n">
        <v>0</v>
      </c>
      <c r="Y121" s="8" t="inlineStr">
        <is>
          <t>HBP B1 play #6; HBP B3 play #23; 1B B3 play #32 (RBI=1: E McCoy scores); 1B B4 play #45; R: B3 play #26 (C Naecker 1B, C Reis scores from 3rd); B3 play #35 (C Naecker 1B 2nd time, C Reis scores from 3rd); B4 play #48 via CR R Miller (C Naecker SAC fly, R Miller scores — credited to C Reis; Flag #4)</t>
        </is>
      </c>
    </row>
    <row r="122" ht="15.75" customHeight="1" s="35">
      <c r="A122" s="8" t="inlineStr">
        <is>
          <t>2026-03-27_GLNL_at_RVRH</t>
        </is>
      </c>
      <c r="B122" s="2" t="n">
        <v>46108</v>
      </c>
      <c r="C122" s="8" t="inlineStr">
        <is>
          <t>Glenelg Varsity Gladiators</t>
        </is>
      </c>
      <c r="D122" s="8" t="inlineStr">
        <is>
          <t>RVRH</t>
        </is>
      </c>
      <c r="E122" s="8" t="inlineStr">
        <is>
          <t>J Norwood</t>
        </is>
      </c>
      <c r="F122" s="8" t="n">
        <v>4</v>
      </c>
      <c r="G122" s="8" t="n">
        <v>0</v>
      </c>
      <c r="H122" s="8" t="n">
        <v>0</v>
      </c>
      <c r="I122" s="8" t="n">
        <v>0</v>
      </c>
      <c r="J122" s="8" t="n">
        <v>0</v>
      </c>
      <c r="K122" s="8" t="n">
        <v>0</v>
      </c>
      <c r="L122" s="8" t="n">
        <v>0</v>
      </c>
      <c r="M122" s="8" t="n">
        <v>4</v>
      </c>
      <c r="N122" s="8" t="n">
        <v>0</v>
      </c>
      <c r="O122" s="8" t="n">
        <v>0</v>
      </c>
      <c r="P122" s="8" t="n">
        <v>0</v>
      </c>
      <c r="Q122" s="8" t="n">
        <v>0</v>
      </c>
      <c r="R122" s="8" t="n">
        <v>3</v>
      </c>
      <c r="S122" s="8" t="n">
        <v>2</v>
      </c>
      <c r="T122" s="8" t="n">
        <v>0</v>
      </c>
      <c r="U122" s="8" t="n">
        <v>0</v>
      </c>
      <c r="V122" s="8" t="n">
        <v>0</v>
      </c>
      <c r="W122" s="8" t="n">
        <v>0</v>
      </c>
      <c r="X122" s="8" t="n">
        <v>0</v>
      </c>
      <c r="Y122" s="8" t="inlineStr">
        <is>
          <t>BB B1 play #7; BB B3 play #24 (RBI=1: A Contreras forced home); BB B3 play #33 (RBI=1: A Contreras forced home 2nd time); BB B4 play #46; R: B3 play #26 (C Naecker 1B, J Norwood scores on the throw; Flag #10); B4 play #49 (G Dang SAC fly, J Norwood scores from 3rd); also plays 1B</t>
        </is>
      </c>
    </row>
    <row r="123" ht="15.75" customHeight="1" s="35">
      <c r="A123" s="8" t="inlineStr">
        <is>
          <t>2026-03-27_GLNL_at_RVRH</t>
        </is>
      </c>
      <c r="B123" s="2" t="n">
        <v>46108</v>
      </c>
      <c r="C123" s="8" t="inlineStr">
        <is>
          <t>Glenelg Varsity Gladiators</t>
        </is>
      </c>
      <c r="D123" s="8" t="inlineStr">
        <is>
          <t>RVRH</t>
        </is>
      </c>
      <c r="E123" s="8" t="inlineStr">
        <is>
          <t>H Zhang</t>
        </is>
      </c>
      <c r="F123" s="8" t="n">
        <v>4</v>
      </c>
      <c r="G123" s="8" t="n">
        <v>2</v>
      </c>
      <c r="H123" s="8" t="n">
        <v>1</v>
      </c>
      <c r="I123" s="8" t="n">
        <v>1</v>
      </c>
      <c r="J123" s="8" t="n">
        <v>0</v>
      </c>
      <c r="K123" s="8" t="n">
        <v>0</v>
      </c>
      <c r="L123" s="8" t="n">
        <v>0</v>
      </c>
      <c r="M123" s="8" t="n">
        <v>1</v>
      </c>
      <c r="N123" s="8" t="n">
        <v>0</v>
      </c>
      <c r="O123" s="8" t="n">
        <v>0</v>
      </c>
      <c r="P123" s="8" t="n">
        <v>0</v>
      </c>
      <c r="Q123" s="8" t="n">
        <v>0</v>
      </c>
      <c r="R123" s="8" t="n">
        <v>2</v>
      </c>
      <c r="S123" s="8" t="n">
        <v>3</v>
      </c>
      <c r="T123" s="8" t="n">
        <v>0</v>
      </c>
      <c r="U123" s="8" t="n">
        <v>0</v>
      </c>
      <c r="V123" s="8" t="n">
        <v>1</v>
      </c>
      <c r="W123" s="8" t="n">
        <v>1</v>
      </c>
      <c r="X123" s="8" t="n">
        <v>0</v>
      </c>
      <c r="Y123" s="8" t="inlineStr">
        <is>
          <t>GDP B1 play #8 (RBI=1: R Walsh scores from 3rd on DP); SAC fly B3 play #25 (RBI=1: R Walsh scores); BB B3 play #34 (RBI=1: C McClellan/R Walsh CR scores forced from 3rd); 1B B4 play #47 (R Miller to 3rd, J Norwood to 2nd — no RBI on this play); R: B4 play #51 (E McCoy 1B, H Zhang scores from 2nd on throw; Flag #10)</t>
        </is>
      </c>
    </row>
    <row r="124" ht="15.75" customHeight="1" s="35">
      <c r="A124" s="8" t="inlineStr">
        <is>
          <t>2026-03-27_GLNL_at_RVRH</t>
        </is>
      </c>
      <c r="B124" s="2" t="n">
        <v>46108</v>
      </c>
      <c r="C124" s="8" t="inlineStr">
        <is>
          <t>Glenelg Varsity Gladiators</t>
        </is>
      </c>
      <c r="D124" s="8" t="inlineStr">
        <is>
          <t>RVRH</t>
        </is>
      </c>
      <c r="E124" s="8" t="inlineStr">
        <is>
          <t>C Naecker</t>
        </is>
      </c>
      <c r="F124" s="8" t="n">
        <v>4</v>
      </c>
      <c r="G124" s="8" t="n">
        <v>3</v>
      </c>
      <c r="H124" s="8" t="n">
        <v>2</v>
      </c>
      <c r="I124" s="8" t="n">
        <v>2</v>
      </c>
      <c r="J124" s="8" t="n">
        <v>0</v>
      </c>
      <c r="K124" s="8" t="n">
        <v>0</v>
      </c>
      <c r="L124" s="8" t="n">
        <v>0</v>
      </c>
      <c r="M124" s="8" t="n">
        <v>0</v>
      </c>
      <c r="N124" s="8" t="n">
        <v>0</v>
      </c>
      <c r="O124" s="8" t="n">
        <v>1</v>
      </c>
      <c r="P124" s="8" t="n">
        <v>0</v>
      </c>
      <c r="Q124" s="8" t="n">
        <v>1</v>
      </c>
      <c r="R124" s="8" t="n">
        <v>2</v>
      </c>
      <c r="S124" s="8" t="n">
        <v>5</v>
      </c>
      <c r="T124" s="8" t="n">
        <v>0</v>
      </c>
      <c r="U124" s="8" t="n">
        <v>0</v>
      </c>
      <c r="V124" s="8" t="n">
        <v>0</v>
      </c>
      <c r="W124" s="8" t="n">
        <v>1</v>
      </c>
      <c r="X124" s="8" t="n">
        <v>0</v>
      </c>
      <c r="Y124" s="8" t="inlineStr">
        <is>
          <t>K_S B1 play #9 (Sec4 #9 'Strike 3 swinging'); 1B B3 play #26 (RBI=2: J Norwood scores on throw + C Reis scores; Flag #10); 1B B3 play #35 2nd time through (RBI=2: J Norwood + C Reis score again; Flag #6); SAC fly B4 play #48 (RBI=1: R Miller/C Reis CR scores); R: B3 play #27 (G Dang SAC fly, C Naecker scores from 3rd after WP — no RBI); B3 play #36 (G Dang 2B, C Naecker scores)</t>
        </is>
      </c>
    </row>
    <row r="125" ht="15.75" customHeight="1" s="35">
      <c r="A125" s="8" t="inlineStr">
        <is>
          <t>2026-03-27_GLNL_at_RVRH</t>
        </is>
      </c>
      <c r="B125" s="2" t="n">
        <v>46108</v>
      </c>
      <c r="C125" s="8" t="inlineStr">
        <is>
          <t>Glenelg Varsity Gladiators</t>
        </is>
      </c>
      <c r="D125" s="8" t="inlineStr">
        <is>
          <t>RVRH</t>
        </is>
      </c>
      <c r="E125" s="8" t="inlineStr">
        <is>
          <t>G Dang</t>
        </is>
      </c>
      <c r="F125" s="8" t="n">
        <v>4</v>
      </c>
      <c r="G125" s="8" t="n">
        <v>2</v>
      </c>
      <c r="H125" s="8" t="n">
        <v>2</v>
      </c>
      <c r="I125" s="8" t="n">
        <v>1</v>
      </c>
      <c r="J125" s="8" t="n">
        <v>1</v>
      </c>
      <c r="K125" s="8" t="n">
        <v>0</v>
      </c>
      <c r="L125" s="8" t="n">
        <v>0</v>
      </c>
      <c r="M125" s="8" t="n">
        <v>0</v>
      </c>
      <c r="N125" s="8" t="n">
        <v>0</v>
      </c>
      <c r="O125" s="8" t="n">
        <v>0</v>
      </c>
      <c r="P125" s="8" t="n">
        <v>0</v>
      </c>
      <c r="Q125" s="8" t="n">
        <v>0</v>
      </c>
      <c r="R125" s="8" t="n">
        <v>1</v>
      </c>
      <c r="S125" s="8" t="n">
        <v>4</v>
      </c>
      <c r="T125" s="8" t="n">
        <v>0</v>
      </c>
      <c r="U125" s="8" t="n">
        <v>0</v>
      </c>
      <c r="V125" s="8" t="n">
        <v>0</v>
      </c>
      <c r="W125" s="8" t="n">
        <v>2</v>
      </c>
      <c r="X125" s="8" t="n">
        <v>0</v>
      </c>
      <c r="Y125" s="8" t="inlineStr">
        <is>
          <t>1B B2 play #13; CR B Bixby in (Sec4 #14); SAC fly B3 play #27 (RBI=1: C Naecker scores from 3rd; Flag #7 — G Dang bats twice in B3); 2B B3 play #36 (RBI=2: C Naecker + H Zhang score); CR B Bixby in again (Sec4 #37); SAC fly B4 play #49 (RBI=1: J Norwood scores from 3rd); R: B3 play #38 via CR B Bixby (E McCoy Error-ROE, B Bixby scores from 3rd — credited to G Dang)</t>
        </is>
      </c>
    </row>
    <row r="126" ht="15.75" customHeight="1" s="35">
      <c r="A126" s="8" t="inlineStr">
        <is>
          <t>2026-03-27_GLNL_at_RVRH</t>
        </is>
      </c>
      <c r="B126" s="2" t="n">
        <v>46108</v>
      </c>
      <c r="C126" s="8" t="inlineStr">
        <is>
          <t>Glenelg Varsity Gladiators</t>
        </is>
      </c>
      <c r="D126" s="8" t="inlineStr">
        <is>
          <t>RVRH</t>
        </is>
      </c>
      <c r="E126" s="8" t="inlineStr">
        <is>
          <t>A Fields</t>
        </is>
      </c>
      <c r="F126" s="8" t="n">
        <v>4</v>
      </c>
      <c r="G126" s="8" t="n">
        <v>2</v>
      </c>
      <c r="H126" s="8" t="n">
        <v>1</v>
      </c>
      <c r="I126" s="8" t="n">
        <v>1</v>
      </c>
      <c r="J126" s="8" t="n">
        <v>0</v>
      </c>
      <c r="K126" s="8" t="n">
        <v>0</v>
      </c>
      <c r="L126" s="8" t="n">
        <v>0</v>
      </c>
      <c r="M126" s="8" t="n">
        <v>2</v>
      </c>
      <c r="N126" s="8" t="n">
        <v>0</v>
      </c>
      <c r="O126" s="8" t="n">
        <v>0</v>
      </c>
      <c r="P126" s="8" t="n">
        <v>0</v>
      </c>
      <c r="Q126" s="8" t="n">
        <v>0</v>
      </c>
      <c r="R126" s="8" t="n">
        <v>2</v>
      </c>
      <c r="S126" s="8" t="n">
        <v>0</v>
      </c>
      <c r="T126" s="8" t="n">
        <v>0</v>
      </c>
      <c r="U126" s="8" t="n">
        <v>0</v>
      </c>
      <c r="V126" s="8" t="n">
        <v>0</v>
      </c>
      <c r="W126" s="8" t="n">
        <v>0</v>
      </c>
      <c r="X126" s="8" t="n">
        <v>0</v>
      </c>
      <c r="Y126" s="8" t="inlineStr">
        <is>
          <t>FO B2 play #14; BB B3 play #28; BB B3 play #37 (2nd time through); 1B B4 play #50; R: B3 play #31 (R Walsh HBP forces A Fields home from 3rd); B3 play #38 (E McCoy Error-ROE, A Fields scores from 2nd — no RBI; error play)</t>
        </is>
      </c>
    </row>
    <row r="127" ht="15.75" customHeight="1" s="35">
      <c r="A127" s="8" t="inlineStr">
        <is>
          <t>2026-03-27_GLNL_at_RVRH</t>
        </is>
      </c>
      <c r="B127" s="2" t="n">
        <v>46108</v>
      </c>
      <c r="C127" s="8" t="inlineStr">
        <is>
          <t>Glenelg Varsity Gladiators</t>
        </is>
      </c>
      <c r="D127" s="8" t="inlineStr">
        <is>
          <t>RVRH</t>
        </is>
      </c>
      <c r="E127" s="8" t="inlineStr">
        <is>
          <t>E McCoy</t>
        </is>
      </c>
      <c r="F127" s="8" t="n">
        <v>4</v>
      </c>
      <c r="G127" s="8" t="n">
        <v>4</v>
      </c>
      <c r="H127" s="8" t="n">
        <v>2</v>
      </c>
      <c r="I127" s="8" t="n">
        <v>2</v>
      </c>
      <c r="J127" s="8" t="n">
        <v>0</v>
      </c>
      <c r="K127" s="8" t="n">
        <v>0</v>
      </c>
      <c r="L127" s="8" t="n">
        <v>0</v>
      </c>
      <c r="M127" s="8" t="n">
        <v>0</v>
      </c>
      <c r="N127" s="8" t="n">
        <v>0</v>
      </c>
      <c r="O127" s="8" t="n">
        <v>0</v>
      </c>
      <c r="P127" s="8" t="n">
        <v>0</v>
      </c>
      <c r="Q127" s="8" t="n">
        <v>0</v>
      </c>
      <c r="R127" s="8" t="n">
        <v>1</v>
      </c>
      <c r="S127" s="8" t="n">
        <v>1</v>
      </c>
      <c r="T127" s="8" t="n">
        <v>0</v>
      </c>
      <c r="U127" s="8" t="n">
        <v>0</v>
      </c>
      <c r="V127" s="8" t="n">
        <v>1</v>
      </c>
      <c r="W127" s="8" t="n">
        <v>0</v>
      </c>
      <c r="X127" s="8" t="n">
        <v>0</v>
      </c>
      <c r="Y127" s="8" t="inlineStr">
        <is>
          <t>Line-into-DP B2 play #15 (GDP; B Bixby CR out advancing = 2nd out); 1B B3 play #29; Error-ROE B3 play #38 (not a hit; A Fields + B Bixby/G Dang CR score on error — no RBI); 1B B4 play #51 (RBI=1: H Zhang scores from 2nd on throw; Flag #10); R: B3 play #32 (C Reis 1B, E McCoy scores from 3rd)</t>
        </is>
      </c>
    </row>
    <row r="128" ht="15.75" customHeight="1" s="35">
      <c r="A128" s="8" t="inlineStr">
        <is>
          <t>2026-03-27_GLNL_at_RVRH</t>
        </is>
      </c>
      <c r="B128" s="2" t="n">
        <v>46108</v>
      </c>
      <c r="C128" s="8" t="inlineStr">
        <is>
          <t>Glenelg Varsity Gladiators</t>
        </is>
      </c>
      <c r="D128" s="8" t="inlineStr">
        <is>
          <t>RVRH</t>
        </is>
      </c>
      <c r="E128" s="8" t="inlineStr">
        <is>
          <t>A Contreras</t>
        </is>
      </c>
      <c r="F128" s="8" t="n">
        <v>3</v>
      </c>
      <c r="G128" s="8" t="n">
        <v>1</v>
      </c>
      <c r="H128" s="8" t="n">
        <v>1</v>
      </c>
      <c r="I128" s="8" t="n">
        <v>1</v>
      </c>
      <c r="J128" s="8" t="n">
        <v>0</v>
      </c>
      <c r="K128" s="8" t="n">
        <v>0</v>
      </c>
      <c r="L128" s="8" t="n">
        <v>0</v>
      </c>
      <c r="M128" s="8" t="n">
        <v>2</v>
      </c>
      <c r="N128" s="8" t="n">
        <v>0</v>
      </c>
      <c r="O128" s="8" t="n">
        <v>0</v>
      </c>
      <c r="P128" s="8" t="n">
        <v>0</v>
      </c>
      <c r="Q128" s="8" t="n">
        <v>0</v>
      </c>
      <c r="R128" s="8" t="n">
        <v>2</v>
      </c>
      <c r="S128" s="8" t="n">
        <v>0</v>
      </c>
      <c r="T128" s="8" t="n">
        <v>1</v>
      </c>
      <c r="U128" s="8" t="n">
        <v>0</v>
      </c>
      <c r="V128" s="8" t="n">
        <v>0</v>
      </c>
      <c r="W128" s="8" t="n">
        <v>0</v>
      </c>
      <c r="X128" s="8" t="n">
        <v>0</v>
      </c>
      <c r="Y128" s="8" t="inlineStr">
        <is>
          <t>1B B3 play #21; BB B3 play #30 (2nd time through); BB B3 play #39 (3rd time through); SB=1: steals 2nd embedded in R Walsh walk B3 (Sec4 #22); R: B3 play #24 (J Norwood BB forces A Contreras home); B3 play #33 (J Norwood BB forces A Contreras home 2nd time)</t>
        </is>
      </c>
    </row>
    <row r="129" ht="15.75" customHeight="1" s="35">
      <c r="A129" s="8" t="inlineStr">
        <is>
          <t>2026-03-27_GLNL_at_RVRH</t>
        </is>
      </c>
      <c r="B129" s="2" t="n">
        <v>46108</v>
      </c>
      <c r="C129" s="8" t="inlineStr">
        <is>
          <t>Glenelg Varsity Gladiators</t>
        </is>
      </c>
      <c r="D129" s="8" t="inlineStr">
        <is>
          <t>RVRH</t>
        </is>
      </c>
      <c r="E129" s="8" t="inlineStr">
        <is>
          <t>B Bixby</t>
        </is>
      </c>
      <c r="F129" s="8" t="n">
        <v>1</v>
      </c>
      <c r="G129" s="8" t="n">
        <v>0</v>
      </c>
      <c r="H129" s="8" t="n">
        <v>0</v>
      </c>
      <c r="I129" s="8" t="n">
        <v>0</v>
      </c>
      <c r="J129" s="8" t="n">
        <v>0</v>
      </c>
      <c r="K129" s="8" t="n">
        <v>0</v>
      </c>
      <c r="L129" s="8" t="n">
        <v>0</v>
      </c>
      <c r="M129" s="8" t="n">
        <v>1</v>
      </c>
      <c r="N129" s="8" t="n">
        <v>0</v>
      </c>
      <c r="O129" s="8" t="n">
        <v>0</v>
      </c>
      <c r="P129" s="8" t="n">
        <v>0</v>
      </c>
      <c r="Q129" s="8" t="n">
        <v>0</v>
      </c>
      <c r="R129" s="8" t="n">
        <v>0</v>
      </c>
      <c r="S129" s="8" t="n">
        <v>0</v>
      </c>
      <c r="T129" s="8" t="n">
        <v>0</v>
      </c>
      <c r="U129" s="8" t="n">
        <v>0</v>
      </c>
      <c r="V129" s="8" t="n">
        <v>0</v>
      </c>
      <c r="W129" s="8" t="n">
        <v>0</v>
      </c>
      <c r="X129" s="8" t="n">
        <v>0</v>
      </c>
      <c r="Y129" s="8" t="inlineStr">
        <is>
          <t>BB B4 play #52 (stranded; WP during AB Sec4 #52 advances A Fields to 3rd, E McCoy to 2nd); also CR for G Dang B2 (Sec4 #14, stranded on DP play #15) and CR for G Dang B3 2nd time (Sec4 #37) — B Bixby scores play #38 on E McCoy error, R credited to G Dang per CR rule</t>
        </is>
      </c>
    </row>
    <row r="130" ht="15.75" customHeight="1" s="35">
      <c r="A130" s="8" t="inlineStr">
        <is>
          <t>2026-03-27_GLNL_at_RVRH</t>
        </is>
      </c>
      <c r="B130" s="2" t="n">
        <v>46108</v>
      </c>
      <c r="C130" s="8" t="inlineStr">
        <is>
          <t>Glenelg Varsity Gladiators</t>
        </is>
      </c>
      <c r="D130" s="8" t="inlineStr">
        <is>
          <t>RVRH</t>
        </is>
      </c>
      <c r="E130" s="8" t="inlineStr">
        <is>
          <t>C McClellan</t>
        </is>
      </c>
      <c r="F130" s="8" t="n">
        <v>1</v>
      </c>
      <c r="G130" s="8" t="n">
        <v>1</v>
      </c>
      <c r="H130" s="8" t="n">
        <v>0</v>
      </c>
      <c r="I130" s="8" t="n">
        <v>0</v>
      </c>
      <c r="J130" s="8" t="n">
        <v>0</v>
      </c>
      <c r="K130" s="8" t="n">
        <v>0</v>
      </c>
      <c r="L130" s="8" t="n">
        <v>0</v>
      </c>
      <c r="M130" s="8" t="n">
        <v>0</v>
      </c>
      <c r="N130" s="8" t="n">
        <v>0</v>
      </c>
      <c r="O130" s="8" t="n">
        <v>0</v>
      </c>
      <c r="P130" s="8" t="n">
        <v>0</v>
      </c>
      <c r="Q130" s="8" t="n">
        <v>0</v>
      </c>
      <c r="R130" s="8" t="n">
        <v>0</v>
      </c>
      <c r="S130" s="8" t="n">
        <v>0</v>
      </c>
      <c r="T130" s="8" t="n">
        <v>0</v>
      </c>
      <c r="U130" s="8" t="n">
        <v>0</v>
      </c>
      <c r="V130" s="8" t="n">
        <v>0</v>
      </c>
      <c r="W130" s="8" t="n">
        <v>0</v>
      </c>
      <c r="X130" s="8" t="n">
        <v>0</v>
      </c>
      <c r="Y130" s="8" t="inlineStr">
        <is>
          <t>GO B4 play #53 (inning-ending out); also CR for R Walsh B3 (Sec4 #32) — C McClellan scores on H Zhang BB play #34, R credited to R Walsh per CR rule</t>
        </is>
      </c>
    </row>
    <row r="131" ht="15.75" customHeight="1" s="35">
      <c r="A131" s="8" t="inlineStr">
        <is>
          <t>2026-03-27_GLNL_at_RVRH</t>
        </is>
      </c>
      <c r="B131" s="2" t="n">
        <v>46108</v>
      </c>
      <c r="C131" s="8" t="inlineStr">
        <is>
          <t>Glenelg Varsity Gladiators</t>
        </is>
      </c>
      <c r="D131" s="8" t="inlineStr">
        <is>
          <t>GLNL</t>
        </is>
      </c>
      <c r="E131" s="8" t="inlineStr">
        <is>
          <t>M Melhuish</t>
        </is>
      </c>
      <c r="F131" s="8" t="n">
        <v>2</v>
      </c>
      <c r="G131" s="8" t="n">
        <v>2</v>
      </c>
      <c r="H131" s="8" t="n">
        <v>0</v>
      </c>
      <c r="I131" s="8" t="n">
        <v>0</v>
      </c>
      <c r="J131" s="8" t="n">
        <v>0</v>
      </c>
      <c r="K131" s="8" t="n">
        <v>0</v>
      </c>
      <c r="L131" s="8" t="n">
        <v>0</v>
      </c>
      <c r="M131" s="8" t="n">
        <v>0</v>
      </c>
      <c r="N131" s="8" t="n">
        <v>0</v>
      </c>
      <c r="O131" s="8" t="n">
        <v>0</v>
      </c>
      <c r="P131" s="8" t="n">
        <v>0</v>
      </c>
      <c r="Q131" s="8" t="n">
        <v>0</v>
      </c>
      <c r="R131" s="8" t="n">
        <v>0</v>
      </c>
      <c r="S131" s="8" t="n">
        <v>0</v>
      </c>
      <c r="T131" s="8" t="n">
        <v>0</v>
      </c>
      <c r="U131" s="8" t="n">
        <v>0</v>
      </c>
      <c r="V131" s="8" t="n">
        <v>0</v>
      </c>
      <c r="W131" s="8" t="n">
        <v>0</v>
      </c>
      <c r="X131" s="8" t="n">
        <v>0</v>
      </c>
      <c r="Y131" s="8" t="inlineStr">
        <is>
          <t>FO T1 play #1; IF Out T3 play #18; also pitches B1–B3 (through play #26)</t>
        </is>
      </c>
    </row>
    <row r="132" ht="15.75" customHeight="1" s="35">
      <c r="A132" s="8" t="inlineStr">
        <is>
          <t>2026-03-27_GLNL_at_RVRH</t>
        </is>
      </c>
      <c r="B132" s="2" t="n">
        <v>46108</v>
      </c>
      <c r="C132" s="8" t="inlineStr">
        <is>
          <t>Glenelg Varsity Gladiators</t>
        </is>
      </c>
      <c r="D132" s="8" t="inlineStr">
        <is>
          <t>GLNL</t>
        </is>
      </c>
      <c r="E132" s="8" t="inlineStr">
        <is>
          <t>A Baker</t>
        </is>
      </c>
      <c r="F132" s="8" t="n">
        <v>2</v>
      </c>
      <c r="G132" s="8" t="n">
        <v>2</v>
      </c>
      <c r="H132" s="8" t="n">
        <v>0</v>
      </c>
      <c r="I132" s="8" t="n">
        <v>0</v>
      </c>
      <c r="J132" s="8" t="n">
        <v>0</v>
      </c>
      <c r="K132" s="8" t="n">
        <v>0</v>
      </c>
      <c r="L132" s="8" t="n">
        <v>0</v>
      </c>
      <c r="M132" s="8" t="n">
        <v>0</v>
      </c>
      <c r="N132" s="8" t="n">
        <v>0</v>
      </c>
      <c r="O132" s="8" t="n">
        <v>0</v>
      </c>
      <c r="P132" s="8" t="n">
        <v>0</v>
      </c>
      <c r="Q132" s="8" t="n">
        <v>0</v>
      </c>
      <c r="R132" s="8" t="n">
        <v>0</v>
      </c>
      <c r="S132" s="8" t="n">
        <v>0</v>
      </c>
      <c r="T132" s="8" t="n">
        <v>0</v>
      </c>
      <c r="U132" s="8" t="n">
        <v>0</v>
      </c>
      <c r="V132" s="8" t="n">
        <v>0</v>
      </c>
      <c r="W132" s="8" t="n">
        <v>0</v>
      </c>
      <c r="X132" s="8" t="n">
        <v>0</v>
      </c>
      <c r="Y132" s="8" t="inlineStr">
        <is>
          <t>PO T1 play #2; FO T3 play #19; sub P Moreau takes A Baker slot T5 (play #57 note)</t>
        </is>
      </c>
    </row>
    <row r="133" ht="15.75" customHeight="1" s="35">
      <c r="A133" s="8" t="inlineStr">
        <is>
          <t>2026-03-27_GLNL_at_RVRH</t>
        </is>
      </c>
      <c r="B133" s="2" t="n">
        <v>46108</v>
      </c>
      <c r="C133" s="8" t="inlineStr">
        <is>
          <t>Glenelg Varsity Gladiators</t>
        </is>
      </c>
      <c r="D133" s="8" t="inlineStr">
        <is>
          <t>GLNL</t>
        </is>
      </c>
      <c r="E133" s="8" t="inlineStr">
        <is>
          <t>C Lease</t>
        </is>
      </c>
      <c r="F133" s="8" t="n">
        <v>2</v>
      </c>
      <c r="G133" s="8" t="n">
        <v>2</v>
      </c>
      <c r="H133" s="8" t="n">
        <v>0</v>
      </c>
      <c r="I133" s="8" t="n">
        <v>0</v>
      </c>
      <c r="J133" s="8" t="n">
        <v>0</v>
      </c>
      <c r="K133" s="8" t="n">
        <v>0</v>
      </c>
      <c r="L133" s="8" t="n">
        <v>0</v>
      </c>
      <c r="M133" s="8" t="n">
        <v>0</v>
      </c>
      <c r="N133" s="8" t="n">
        <v>0</v>
      </c>
      <c r="O133" s="8" t="n">
        <v>0</v>
      </c>
      <c r="P133" s="8" t="n">
        <v>0</v>
      </c>
      <c r="Q133" s="8" t="n">
        <v>0</v>
      </c>
      <c r="R133" s="8" t="n">
        <v>0</v>
      </c>
      <c r="S133" s="8" t="n">
        <v>0</v>
      </c>
      <c r="T133" s="8" t="n">
        <v>0</v>
      </c>
      <c r="U133" s="8" t="n">
        <v>0</v>
      </c>
      <c r="V133" s="8" t="n">
        <v>0</v>
      </c>
      <c r="W133" s="8" t="n">
        <v>0</v>
      </c>
      <c r="X133" s="8" t="n">
        <v>1</v>
      </c>
      <c r="Y133" s="8" t="inlineStr">
        <is>
          <t>Error-ROE T1 play #3 (advances to 2nd on same error; RVRH E=1 C Nichols); FC T3 play #20 (T Blayman out at 2nd; Flag #8 — C Brown at 3rd but does not score)</t>
        </is>
      </c>
    </row>
    <row r="134" ht="15.75" customHeight="1" s="35">
      <c r="A134" s="8" t="inlineStr">
        <is>
          <t>2026-03-27_GLNL_at_RVRH</t>
        </is>
      </c>
      <c r="B134" s="2" t="n">
        <v>46108</v>
      </c>
      <c r="C134" s="8" t="inlineStr">
        <is>
          <t>Glenelg Varsity Gladiators</t>
        </is>
      </c>
      <c r="D134" s="8" t="inlineStr">
        <is>
          <t>GLNL</t>
        </is>
      </c>
      <c r="E134" s="8" t="inlineStr">
        <is>
          <t>B Conlon</t>
        </is>
      </c>
      <c r="F134" s="8" t="n">
        <v>2</v>
      </c>
      <c r="G134" s="8" t="n">
        <v>1</v>
      </c>
      <c r="H134" s="8" t="n">
        <v>0</v>
      </c>
      <c r="I134" s="8" t="n">
        <v>0</v>
      </c>
      <c r="J134" s="8" t="n">
        <v>0</v>
      </c>
      <c r="K134" s="8" t="n">
        <v>0</v>
      </c>
      <c r="L134" s="8" t="n">
        <v>0</v>
      </c>
      <c r="M134" s="8" t="n">
        <v>0</v>
      </c>
      <c r="N134" s="8" t="n">
        <v>1</v>
      </c>
      <c r="O134" s="8" t="n">
        <v>0</v>
      </c>
      <c r="P134" s="8" t="n">
        <v>0</v>
      </c>
      <c r="Q134" s="8" t="n">
        <v>0</v>
      </c>
      <c r="R134" s="8" t="n">
        <v>0</v>
      </c>
      <c r="S134" s="8" t="n">
        <v>0</v>
      </c>
      <c r="T134" s="8" t="n">
        <v>0</v>
      </c>
      <c r="U134" s="8" t="n">
        <v>0</v>
      </c>
      <c r="V134" s="8" t="n">
        <v>0</v>
      </c>
      <c r="W134" s="8" t="n">
        <v>0</v>
      </c>
      <c r="X134" s="8" t="n">
        <v>0</v>
      </c>
      <c r="Y134" s="8" t="inlineStr">
        <is>
          <t>FO T1 play #4; HBP T4 play #41 (out advancing to 2nd on J Miles FC play #42)</t>
        </is>
      </c>
    </row>
    <row r="135" ht="15.75" customHeight="1" s="35">
      <c r="A135" s="8" t="inlineStr">
        <is>
          <t>2026-03-27_GLNL_at_RVRH</t>
        </is>
      </c>
      <c r="B135" s="2" t="n">
        <v>46108</v>
      </c>
      <c r="C135" s="8" t="inlineStr">
        <is>
          <t>Glenelg Varsity Gladiators</t>
        </is>
      </c>
      <c r="D135" s="8" t="inlineStr">
        <is>
          <t>GLNL</t>
        </is>
      </c>
      <c r="E135" s="8" t="inlineStr">
        <is>
          <t>J Miles</t>
        </is>
      </c>
      <c r="F135" s="8" t="n">
        <v>2</v>
      </c>
      <c r="G135" s="8" t="n">
        <v>2</v>
      </c>
      <c r="H135" s="8" t="n">
        <v>0</v>
      </c>
      <c r="I135" s="8" t="n">
        <v>0</v>
      </c>
      <c r="J135" s="8" t="n">
        <v>0</v>
      </c>
      <c r="K135" s="8" t="n">
        <v>0</v>
      </c>
      <c r="L135" s="8" t="n">
        <v>0</v>
      </c>
      <c r="M135" s="8" t="n">
        <v>0</v>
      </c>
      <c r="N135" s="8" t="n">
        <v>0</v>
      </c>
      <c r="O135" s="8" t="n">
        <v>0</v>
      </c>
      <c r="P135" s="8" t="n">
        <v>0</v>
      </c>
      <c r="Q135" s="8" t="n">
        <v>0</v>
      </c>
      <c r="R135" s="8" t="n">
        <v>0</v>
      </c>
      <c r="S135" s="8" t="n">
        <v>0</v>
      </c>
      <c r="T135" s="8" t="n">
        <v>0</v>
      </c>
      <c r="U135" s="8" t="n">
        <v>0</v>
      </c>
      <c r="V135" s="8" t="n">
        <v>0</v>
      </c>
      <c r="W135" s="8" t="n">
        <v>0</v>
      </c>
      <c r="X135" s="8" t="n">
        <v>1</v>
      </c>
      <c r="Y135" s="8" t="inlineStr">
        <is>
          <t>PO T2 play #10; FC T4 play #42 ('pops into fielder's choice' — unusual notation; Flag #3; J Miles reaches at 1B); also plays 1B; GLNL E=1 on E McCoy B3 play #38</t>
        </is>
      </c>
    </row>
    <row r="136" ht="15.75" customHeight="1" s="35">
      <c r="A136" s="8" t="inlineStr">
        <is>
          <t>2026-03-27_GLNL_at_RVRH</t>
        </is>
      </c>
      <c r="B136" s="2" t="n">
        <v>46108</v>
      </c>
      <c r="C136" s="8" t="inlineStr">
        <is>
          <t>Glenelg Varsity Gladiators</t>
        </is>
      </c>
      <c r="D136" s="8" t="inlineStr">
        <is>
          <t>GLNL</t>
        </is>
      </c>
      <c r="E136" s="8" t="inlineStr">
        <is>
          <t>A Nazelrod</t>
        </is>
      </c>
      <c r="F136" s="8" t="n">
        <v>2</v>
      </c>
      <c r="G136" s="8" t="n">
        <v>2</v>
      </c>
      <c r="H136" s="8" t="n">
        <v>0</v>
      </c>
      <c r="I136" s="8" t="n">
        <v>0</v>
      </c>
      <c r="J136" s="8" t="n">
        <v>0</v>
      </c>
      <c r="K136" s="8" t="n">
        <v>0</v>
      </c>
      <c r="L136" s="8" t="n">
        <v>0</v>
      </c>
      <c r="M136" s="8" t="n">
        <v>0</v>
      </c>
      <c r="N136" s="8" t="n">
        <v>0</v>
      </c>
      <c r="O136" s="8" t="n">
        <v>2</v>
      </c>
      <c r="P136" s="8" t="n">
        <v>1</v>
      </c>
      <c r="Q136" s="8" t="n">
        <v>1</v>
      </c>
      <c r="R136" s="8" t="n">
        <v>0</v>
      </c>
      <c r="S136" s="8" t="n">
        <v>0</v>
      </c>
      <c r="T136" s="8" t="n">
        <v>0</v>
      </c>
      <c r="U136" s="8" t="n">
        <v>0</v>
      </c>
      <c r="V136" s="8" t="n">
        <v>0</v>
      </c>
      <c r="W136" s="8" t="n">
        <v>0</v>
      </c>
      <c r="X136" s="8" t="n">
        <v>0</v>
      </c>
      <c r="Y136" s="8" t="inlineStr">
        <is>
          <t>K_L T2 play #11 (Sec4 #11 'Strike 3 looking'); K_S T4 play #43 (Sec4 #43 'Strike 3 swinging')</t>
        </is>
      </c>
    </row>
    <row r="137" ht="15.75" customHeight="1" s="35">
      <c r="A137" s="8" t="inlineStr">
        <is>
          <t>2026-03-27_GLNL_at_RVRH</t>
        </is>
      </c>
      <c r="B137" s="2" t="n">
        <v>46108</v>
      </c>
      <c r="C137" s="8" t="inlineStr">
        <is>
          <t>Glenelg Varsity Gladiators</t>
        </is>
      </c>
      <c r="D137" s="8" t="inlineStr">
        <is>
          <t>GLNL</t>
        </is>
      </c>
      <c r="E137" s="8" t="inlineStr">
        <is>
          <t>S Tong</t>
        </is>
      </c>
      <c r="F137" s="8" t="n">
        <v>2</v>
      </c>
      <c r="G137" s="8" t="n">
        <v>2</v>
      </c>
      <c r="H137" s="8" t="n">
        <v>0</v>
      </c>
      <c r="I137" s="8" t="n">
        <v>0</v>
      </c>
      <c r="J137" s="8" t="n">
        <v>0</v>
      </c>
      <c r="K137" s="8" t="n">
        <v>0</v>
      </c>
      <c r="L137" s="8" t="n">
        <v>0</v>
      </c>
      <c r="M137" s="8" t="n">
        <v>0</v>
      </c>
      <c r="N137" s="8" t="n">
        <v>0</v>
      </c>
      <c r="O137" s="8" t="n">
        <v>2</v>
      </c>
      <c r="P137" s="8" t="n">
        <v>1</v>
      </c>
      <c r="Q137" s="8" t="n">
        <v>1</v>
      </c>
      <c r="R137" s="8" t="n">
        <v>0</v>
      </c>
      <c r="S137" s="8" t="n">
        <v>0</v>
      </c>
      <c r="T137" s="8" t="n">
        <v>0</v>
      </c>
      <c r="U137" s="8" t="n">
        <v>0</v>
      </c>
      <c r="V137" s="8" t="n">
        <v>0</v>
      </c>
      <c r="W137" s="8" t="n">
        <v>0</v>
      </c>
      <c r="X137" s="8" t="n">
        <v>0</v>
      </c>
      <c r="Y137" s="8" t="inlineStr">
        <is>
          <t>K_S T2 play #12 (Sec4 #12 'Strike 3 swinging'); K_L T4 play #44 (Sec4 #44 'Strike 3 looking')</t>
        </is>
      </c>
    </row>
    <row r="138" ht="15.75" customHeight="1" s="35">
      <c r="A138" s="8" t="inlineStr">
        <is>
          <t>2026-03-27_GLNL_at_RVRH</t>
        </is>
      </c>
      <c r="B138" s="2" t="n">
        <v>46108</v>
      </c>
      <c r="C138" s="8" t="inlineStr">
        <is>
          <t>Glenelg Varsity Gladiators</t>
        </is>
      </c>
      <c r="D138" s="8" t="inlineStr">
        <is>
          <t>GLNL</t>
        </is>
      </c>
      <c r="E138" s="8" t="inlineStr">
        <is>
          <t>C Brown</t>
        </is>
      </c>
      <c r="F138" s="8" t="n">
        <v>2</v>
      </c>
      <c r="G138" s="8" t="n">
        <v>0</v>
      </c>
      <c r="H138" s="8" t="n">
        <v>0</v>
      </c>
      <c r="I138" s="8" t="n">
        <v>0</v>
      </c>
      <c r="J138" s="8" t="n">
        <v>0</v>
      </c>
      <c r="K138" s="8" t="n">
        <v>0</v>
      </c>
      <c r="L138" s="8" t="n">
        <v>0</v>
      </c>
      <c r="M138" s="8" t="n">
        <v>0</v>
      </c>
      <c r="N138" s="8" t="n">
        <v>2</v>
      </c>
      <c r="O138" s="8" t="n">
        <v>0</v>
      </c>
      <c r="P138" s="8" t="n">
        <v>0</v>
      </c>
      <c r="Q138" s="8" t="n">
        <v>0</v>
      </c>
      <c r="R138" s="8" t="n">
        <v>0</v>
      </c>
      <c r="S138" s="8" t="n">
        <v>0</v>
      </c>
      <c r="T138" s="8" t="n">
        <v>0</v>
      </c>
      <c r="U138" s="8" t="n">
        <v>0</v>
      </c>
      <c r="V138" s="8" t="n">
        <v>0</v>
      </c>
      <c r="W138" s="8" t="n">
        <v>0</v>
      </c>
      <c r="X138" s="8" t="n">
        <v>0</v>
      </c>
      <c r="Y138" s="8" t="inlineStr">
        <is>
          <t>HBP T3 play #16 (advances to 3rd on A Baker tag-up play #19; does not score per Flag #8); HBP T5 play #54 (out advancing to 2nd on B Burkhardt FC play #56)</t>
        </is>
      </c>
    </row>
    <row r="139" ht="15.75" customHeight="1" s="35">
      <c r="A139" s="8" t="inlineStr">
        <is>
          <t>2026-03-27_GLNL_at_RVRH</t>
        </is>
      </c>
      <c r="B139" s="2" t="n">
        <v>46108</v>
      </c>
      <c r="C139" s="8" t="inlineStr">
        <is>
          <t>Glenelg Varsity Gladiators</t>
        </is>
      </c>
      <c r="D139" s="8" t="inlineStr">
        <is>
          <t>GLNL</t>
        </is>
      </c>
      <c r="E139" s="8" t="inlineStr">
        <is>
          <t>T Blayman</t>
        </is>
      </c>
      <c r="F139" s="8" t="n">
        <v>1</v>
      </c>
      <c r="G139" s="8" t="n">
        <v>1</v>
      </c>
      <c r="H139" s="8" t="n">
        <v>1</v>
      </c>
      <c r="I139" s="8" t="n">
        <v>1</v>
      </c>
      <c r="J139" s="8" t="n">
        <v>0</v>
      </c>
      <c r="K139" s="8" t="n">
        <v>0</v>
      </c>
      <c r="L139" s="8" t="n">
        <v>0</v>
      </c>
      <c r="M139" s="8" t="n">
        <v>0</v>
      </c>
      <c r="N139" s="8" t="n">
        <v>0</v>
      </c>
      <c r="O139" s="8" t="n">
        <v>0</v>
      </c>
      <c r="P139" s="8" t="n">
        <v>0</v>
      </c>
      <c r="Q139" s="8" t="n">
        <v>0</v>
      </c>
      <c r="R139" s="8" t="n">
        <v>0</v>
      </c>
      <c r="S139" s="8" t="n">
        <v>0</v>
      </c>
      <c r="T139" s="8" t="n">
        <v>0</v>
      </c>
      <c r="U139" s="8" t="n">
        <v>0</v>
      </c>
      <c r="V139" s="8" t="n">
        <v>0</v>
      </c>
      <c r="W139" s="8" t="n">
        <v>0</v>
      </c>
      <c r="X139" s="8" t="n">
        <v>0</v>
      </c>
      <c r="Y139" s="8" t="inlineStr">
        <is>
          <t>1B bunt T3 play #17 (advances to 1st; out at 2nd on C Lease FC play #20); sub M Shriner T5</t>
        </is>
      </c>
    </row>
    <row r="140" ht="15.75" customHeight="1" s="35">
      <c r="A140" s="8" t="inlineStr">
        <is>
          <t>2026-03-27_GLNL_at_RVRH</t>
        </is>
      </c>
      <c r="B140" s="2" t="n">
        <v>46108</v>
      </c>
      <c r="C140" s="8" t="inlineStr">
        <is>
          <t>Glenelg Varsity Gladiators</t>
        </is>
      </c>
      <c r="D140" s="8" t="inlineStr">
        <is>
          <t>GLNL</t>
        </is>
      </c>
      <c r="E140" s="8" t="inlineStr">
        <is>
          <t>M Shriner</t>
        </is>
      </c>
      <c r="F140" s="8" t="n">
        <v>1</v>
      </c>
      <c r="G140" s="8" t="n">
        <v>1</v>
      </c>
      <c r="H140" s="8" t="n">
        <v>0</v>
      </c>
      <c r="I140" s="8" t="n">
        <v>0</v>
      </c>
      <c r="J140" s="8" t="n">
        <v>0</v>
      </c>
      <c r="K140" s="8" t="n">
        <v>0</v>
      </c>
      <c r="L140" s="8" t="n">
        <v>0</v>
      </c>
      <c r="M140" s="8" t="n">
        <v>0</v>
      </c>
      <c r="N140" s="8" t="n">
        <v>0</v>
      </c>
      <c r="O140" s="8" t="n">
        <v>0</v>
      </c>
      <c r="P140" s="8" t="n">
        <v>0</v>
      </c>
      <c r="Q140" s="8" t="n">
        <v>0</v>
      </c>
      <c r="R140" s="8" t="n">
        <v>0</v>
      </c>
      <c r="S140" s="8" t="n">
        <v>0</v>
      </c>
      <c r="T140" s="8" t="n">
        <v>0</v>
      </c>
      <c r="U140" s="8" t="n">
        <v>0</v>
      </c>
      <c r="V140" s="8" t="n">
        <v>0</v>
      </c>
      <c r="W140" s="8" t="n">
        <v>0</v>
      </c>
      <c r="X140" s="8" t="n">
        <v>0</v>
      </c>
      <c r="Y140" s="8" t="inlineStr">
        <is>
          <t>PO T5 play #55 (Sec4 #55 pickoff attempt at 1st during AB); sub for T Blayman (play #55 note)</t>
        </is>
      </c>
    </row>
    <row r="141" ht="15.75" customHeight="1" s="35">
      <c r="A141" s="8" t="inlineStr">
        <is>
          <t>2026-03-27_GLNL_at_RVRH</t>
        </is>
      </c>
      <c r="B141" s="2" t="n">
        <v>46108</v>
      </c>
      <c r="C141" s="8" t="inlineStr">
        <is>
          <t>Glenelg Varsity Gladiators</t>
        </is>
      </c>
      <c r="D141" s="8" t="inlineStr">
        <is>
          <t>GLNL</t>
        </is>
      </c>
      <c r="E141" s="8" t="inlineStr">
        <is>
          <t>B Burkhardt</t>
        </is>
      </c>
      <c r="F141" s="8" t="n">
        <v>1</v>
      </c>
      <c r="G141" s="8" t="n">
        <v>1</v>
      </c>
      <c r="H141" s="8" t="n">
        <v>0</v>
      </c>
      <c r="I141" s="8" t="n">
        <v>0</v>
      </c>
      <c r="J141" s="8" t="n">
        <v>0</v>
      </c>
      <c r="K141" s="8" t="n">
        <v>0</v>
      </c>
      <c r="L141" s="8" t="n">
        <v>0</v>
      </c>
      <c r="M141" s="8" t="n">
        <v>0</v>
      </c>
      <c r="N141" s="8" t="n">
        <v>0</v>
      </c>
      <c r="O141" s="8" t="n">
        <v>0</v>
      </c>
      <c r="P141" s="8" t="n">
        <v>0</v>
      </c>
      <c r="Q141" s="8" t="n">
        <v>0</v>
      </c>
      <c r="R141" s="8" t="n">
        <v>0</v>
      </c>
      <c r="S141" s="8" t="n">
        <v>0</v>
      </c>
      <c r="T141" s="8" t="n">
        <v>0</v>
      </c>
      <c r="U141" s="8" t="n">
        <v>0</v>
      </c>
      <c r="V141" s="8" t="n">
        <v>0</v>
      </c>
      <c r="W141" s="8" t="n">
        <v>0</v>
      </c>
      <c r="X141" s="8" t="n">
        <v>1</v>
      </c>
      <c r="Y141" s="8" t="inlineStr">
        <is>
          <t>FC T5 play #56 (C Brown out advancing to 2nd; B Burkhardt reaches 1B); sub for C Starcher (play #56 note)</t>
        </is>
      </c>
    </row>
    <row r="142" ht="15.75" customHeight="1" s="35">
      <c r="A142" s="8" t="inlineStr">
        <is>
          <t>2026-03-27_GLNL_at_RVRH</t>
        </is>
      </c>
      <c r="B142" s="2" t="n">
        <v>46108</v>
      </c>
      <c r="C142" s="8" t="inlineStr">
        <is>
          <t>Glenelg Varsity Gladiators</t>
        </is>
      </c>
      <c r="D142" s="8" t="inlineStr">
        <is>
          <t>GLNL</t>
        </is>
      </c>
      <c r="E142" s="8" t="inlineStr">
        <is>
          <t>P Moreau</t>
        </is>
      </c>
      <c r="F142" s="8" t="n">
        <v>1</v>
      </c>
      <c r="G142" s="8" t="n">
        <v>1</v>
      </c>
      <c r="H142" s="8" t="n">
        <v>0</v>
      </c>
      <c r="I142" s="8" t="n">
        <v>0</v>
      </c>
      <c r="J142" s="8" t="n">
        <v>0</v>
      </c>
      <c r="K142" s="8" t="n">
        <v>0</v>
      </c>
      <c r="L142" s="8" t="n">
        <v>0</v>
      </c>
      <c r="M142" s="8" t="n">
        <v>0</v>
      </c>
      <c r="N142" s="8" t="n">
        <v>0</v>
      </c>
      <c r="O142" s="8" t="n">
        <v>1</v>
      </c>
      <c r="P142" s="8" t="n">
        <v>0</v>
      </c>
      <c r="Q142" s="8" t="n">
        <v>1</v>
      </c>
      <c r="R142" s="8" t="n">
        <v>0</v>
      </c>
      <c r="S142" s="8" t="n">
        <v>0</v>
      </c>
      <c r="T142" s="8" t="n">
        <v>0</v>
      </c>
      <c r="U142" s="8" t="n">
        <v>0</v>
      </c>
      <c r="V142" s="8" t="n">
        <v>0</v>
      </c>
      <c r="W142" s="8" t="n">
        <v>0</v>
      </c>
      <c r="X142" s="8" t="n">
        <v>0</v>
      </c>
      <c r="Y142" s="8" t="inlineStr">
        <is>
          <t>K_S T5 play #57 (Sec4 #57 'Strike 3 swinging'); sub for A Baker (play #57 note)</t>
        </is>
      </c>
    </row>
    <row r="143" ht="15.75" customHeight="1" s="35">
      <c r="A143" s="8" t="inlineStr">
        <is>
          <t>2026-03-30_FLLS_at_RVRH</t>
        </is>
      </c>
      <c r="B143" s="2" t="n">
        <v>46111</v>
      </c>
      <c r="C143" s="8" t="inlineStr">
        <is>
          <t>Fallston Varsity Cougars</t>
        </is>
      </c>
      <c r="D143" s="8" t="inlineStr">
        <is>
          <t>RVRH</t>
        </is>
      </c>
      <c r="E143" s="8" t="inlineStr">
        <is>
          <t>R Walsh</t>
        </is>
      </c>
      <c r="F143" s="8" t="n">
        <v>4</v>
      </c>
      <c r="G143" s="8" t="n">
        <v>4</v>
      </c>
      <c r="H143" s="8" t="n">
        <v>2</v>
      </c>
      <c r="I143" s="8" t="n">
        <v>1</v>
      </c>
      <c r="J143" s="8" t="n">
        <v>1</v>
      </c>
      <c r="K143" s="8" t="n">
        <v>0</v>
      </c>
      <c r="L143" s="8" t="n">
        <v>0</v>
      </c>
      <c r="M143" s="8" t="n">
        <v>0</v>
      </c>
      <c r="N143" s="8" t="n">
        <v>0</v>
      </c>
      <c r="O143" s="8" t="n">
        <v>2</v>
      </c>
      <c r="P143" s="8" t="n">
        <v>1</v>
      </c>
      <c r="Q143" s="8" t="n">
        <v>1</v>
      </c>
      <c r="R143" s="8" t="n">
        <v>1</v>
      </c>
      <c r="S143" s="8" t="n">
        <v>1</v>
      </c>
      <c r="T143" s="8" t="n">
        <v>0</v>
      </c>
      <c r="U143" s="8" t="n">
        <v>0</v>
      </c>
      <c r="V143" s="8" t="n">
        <v>0</v>
      </c>
      <c r="W143" s="8" t="n">
        <v>0</v>
      </c>
      <c r="X143" s="8" t="n">
        <v>0</v>
      </c>
      <c r="Y143" s="8" t="inlineStr">
        <is>
          <t>1B B1 play #5; K_S B2 play #20 (Sec4 #20 'Strike 3 swinging'); 2B B4 play #37 (RBI=1: E McCoy scores); K_L B6 play #56 (Sec4 #56 'Strike 3 looking'); R: B1 play #7 (J Norwood 2B); also pitches T7</t>
        </is>
      </c>
    </row>
    <row r="144" ht="15.75" customHeight="1" s="35">
      <c r="A144" s="8" t="inlineStr">
        <is>
          <t>2026-03-30_FLLS_at_RVRH</t>
        </is>
      </c>
      <c r="B144" s="2" t="n">
        <v>46111</v>
      </c>
      <c r="C144" s="8" t="inlineStr">
        <is>
          <t>Fallston Varsity Cougars</t>
        </is>
      </c>
      <c r="D144" s="8" t="inlineStr">
        <is>
          <t>RVRH</t>
        </is>
      </c>
      <c r="E144" s="8" t="inlineStr">
        <is>
          <t>C Reis</t>
        </is>
      </c>
      <c r="F144" s="8" t="n">
        <v>4</v>
      </c>
      <c r="G144" s="8" t="n">
        <v>3</v>
      </c>
      <c r="H144" s="8" t="n">
        <v>1</v>
      </c>
      <c r="I144" s="8" t="n">
        <v>1</v>
      </c>
      <c r="J144" s="8" t="n">
        <v>0</v>
      </c>
      <c r="K144" s="8" t="n">
        <v>0</v>
      </c>
      <c r="L144" s="8" t="n">
        <v>0</v>
      </c>
      <c r="M144" s="8" t="n">
        <v>0</v>
      </c>
      <c r="N144" s="8" t="n">
        <v>0</v>
      </c>
      <c r="O144" s="8" t="n">
        <v>0</v>
      </c>
      <c r="P144" s="8" t="n">
        <v>0</v>
      </c>
      <c r="Q144" s="8" t="n">
        <v>0</v>
      </c>
      <c r="R144" s="8" t="n">
        <v>1</v>
      </c>
      <c r="S144" s="8" t="n">
        <v>1</v>
      </c>
      <c r="T144" s="8" t="n">
        <v>0</v>
      </c>
      <c r="U144" s="8" t="n">
        <v>0</v>
      </c>
      <c r="V144" s="8" t="n">
        <v>0</v>
      </c>
      <c r="W144" s="8" t="n">
        <v>1</v>
      </c>
      <c r="X144" s="8" t="n">
        <v>0</v>
      </c>
      <c r="Y144" s="8" t="inlineStr">
        <is>
          <t>GO B1 play #6; FO B2 play #21; SAC fly B4 play #38 (RBI=1: A Contreras scores from 3rd; outcome explicitly 'sacrifice fly'); 1B B6 play #57; R: B6 play #58 (J Norwood 2B, C Reis scores on the throw; Flag #4); also pitches T5–T6</t>
        </is>
      </c>
    </row>
    <row r="145" ht="15.75" customHeight="1" s="35">
      <c r="A145" s="8" t="inlineStr">
        <is>
          <t>2026-03-30_FLLS_at_RVRH</t>
        </is>
      </c>
      <c r="B145" s="2" t="n">
        <v>46111</v>
      </c>
      <c r="C145" s="8" t="inlineStr">
        <is>
          <t>Fallston Varsity Cougars</t>
        </is>
      </c>
      <c r="D145" s="8" t="inlineStr">
        <is>
          <t>RVRH</t>
        </is>
      </c>
      <c r="E145" s="8" t="inlineStr">
        <is>
          <t>J Norwood</t>
        </is>
      </c>
      <c r="F145" s="8" t="n">
        <v>4</v>
      </c>
      <c r="G145" s="8" t="n">
        <v>4</v>
      </c>
      <c r="H145" s="8" t="n">
        <v>2</v>
      </c>
      <c r="I145" s="8" t="n">
        <v>0</v>
      </c>
      <c r="J145" s="8" t="n">
        <v>2</v>
      </c>
      <c r="K145" s="8" t="n">
        <v>0</v>
      </c>
      <c r="L145" s="8" t="n">
        <v>0</v>
      </c>
      <c r="M145" s="8" t="n">
        <v>0</v>
      </c>
      <c r="N145" s="8" t="n">
        <v>0</v>
      </c>
      <c r="O145" s="8" t="n">
        <v>0</v>
      </c>
      <c r="P145" s="8" t="n">
        <v>0</v>
      </c>
      <c r="Q145" s="8" t="n">
        <v>0</v>
      </c>
      <c r="R145" s="8" t="n">
        <v>2</v>
      </c>
      <c r="S145" s="8" t="n">
        <v>2</v>
      </c>
      <c r="T145" s="8" t="n">
        <v>0</v>
      </c>
      <c r="U145" s="8" t="n">
        <v>0</v>
      </c>
      <c r="V145" s="8" t="n">
        <v>0</v>
      </c>
      <c r="W145" s="8" t="n">
        <v>0</v>
      </c>
      <c r="X145" s="8" t="n">
        <v>0</v>
      </c>
      <c r="Y145" s="8" t="inlineStr">
        <is>
          <t>2B B1 play #7 (RBI=1: R Walsh scores); FO B3 play #26; FO B4 play #39; 2B B6 play #58 (RBI=1: C Reis scores on the throw; Flag #4); R: B1 play #8 (H Zhang HR); B6 play #59 (H Zhang 1B, J Norwood scores from 3rd); J Norwood also advances to 3rd on WP during H Zhang 1B AB B6 (Sec4 #59; Flag #9)</t>
        </is>
      </c>
    </row>
    <row r="146" ht="15.75" customHeight="1" s="35">
      <c r="A146" s="8" t="inlineStr">
        <is>
          <t>2026-03-30_FLLS_at_RVRH</t>
        </is>
      </c>
      <c r="B146" s="2" t="n">
        <v>46111</v>
      </c>
      <c r="C146" s="8" t="inlineStr">
        <is>
          <t>Fallston Varsity Cougars</t>
        </is>
      </c>
      <c r="D146" s="8" t="inlineStr">
        <is>
          <t>RVRH</t>
        </is>
      </c>
      <c r="E146" s="8" t="inlineStr">
        <is>
          <t>H Zhang</t>
        </is>
      </c>
      <c r="F146" s="8" t="n">
        <v>4</v>
      </c>
      <c r="G146" s="8" t="n">
        <v>4</v>
      </c>
      <c r="H146" s="8" t="n">
        <v>3</v>
      </c>
      <c r="I146" s="8" t="n">
        <v>2</v>
      </c>
      <c r="J146" s="8" t="n">
        <v>0</v>
      </c>
      <c r="K146" s="8" t="n">
        <v>0</v>
      </c>
      <c r="L146" s="8" t="n">
        <v>1</v>
      </c>
      <c r="M146" s="8" t="n">
        <v>0</v>
      </c>
      <c r="N146" s="8" t="n">
        <v>0</v>
      </c>
      <c r="O146" s="8" t="n">
        <v>0</v>
      </c>
      <c r="P146" s="8" t="n">
        <v>0</v>
      </c>
      <c r="Q146" s="8" t="n">
        <v>0</v>
      </c>
      <c r="R146" s="8" t="n">
        <v>1</v>
      </c>
      <c r="S146" s="8" t="n">
        <v>3</v>
      </c>
      <c r="T146" s="8" t="n">
        <v>0</v>
      </c>
      <c r="U146" s="8" t="n">
        <v>0</v>
      </c>
      <c r="V146" s="8" t="n">
        <v>0</v>
      </c>
      <c r="W146" s="8" t="n">
        <v>0</v>
      </c>
      <c r="X146" s="8" t="n">
        <v>0</v>
      </c>
      <c r="Y146" s="8" t="inlineStr">
        <is>
          <t>HR B1 play #8 (2-run HR: J Norwood + H Zhang score; RBI=2); FO B3 play #27; 1B B5 play #46 (CR B Bixby — 'pinch runner' — in Sec4 #47; Flag #2; B Bixby stranded at 3rd); 1B B6 play #59 (RBI=1: J Norwood scores from 3rd); R: B1 HR (scores himself); Flag #6: H Zhang bats B6 despite B Bixby pinch runner sub B5 — inconsistency recorded as logged; Flag #5: 'Play Edit' B Bixby/H Zhang swap in C Naecker PO AB B6 reversed; H Zhang stranded at 1B</t>
        </is>
      </c>
    </row>
    <row r="147" ht="15.75" customHeight="1" s="35">
      <c r="A147" s="8" t="inlineStr">
        <is>
          <t>2026-03-30_FLLS_at_RVRH</t>
        </is>
      </c>
      <c r="B147" s="2" t="n">
        <v>46111</v>
      </c>
      <c r="C147" s="8" t="inlineStr">
        <is>
          <t>Fallston Varsity Cougars</t>
        </is>
      </c>
      <c r="D147" s="8" t="inlineStr">
        <is>
          <t>RVRH</t>
        </is>
      </c>
      <c r="E147" s="8" t="inlineStr">
        <is>
          <t>C Naecker</t>
        </is>
      </c>
      <c r="F147" s="8" t="n">
        <v>4</v>
      </c>
      <c r="G147" s="8" t="n">
        <v>4</v>
      </c>
      <c r="H147" s="8" t="n">
        <v>2</v>
      </c>
      <c r="I147" s="8" t="n">
        <v>2</v>
      </c>
      <c r="J147" s="8" t="n">
        <v>0</v>
      </c>
      <c r="K147" s="8" t="n">
        <v>0</v>
      </c>
      <c r="L147" s="8" t="n">
        <v>0</v>
      </c>
      <c r="M147" s="8" t="n">
        <v>0</v>
      </c>
      <c r="N147" s="8" t="n">
        <v>0</v>
      </c>
      <c r="O147" s="8" t="n">
        <v>0</v>
      </c>
      <c r="P147" s="8" t="n">
        <v>0</v>
      </c>
      <c r="Q147" s="8" t="n">
        <v>0</v>
      </c>
      <c r="R147" s="8" t="n">
        <v>0</v>
      </c>
      <c r="S147" s="8" t="n">
        <v>0</v>
      </c>
      <c r="T147" s="8" t="n">
        <v>0</v>
      </c>
      <c r="U147" s="8" t="n">
        <v>0</v>
      </c>
      <c r="V147" s="8" t="n">
        <v>0</v>
      </c>
      <c r="W147" s="8" t="n">
        <v>0</v>
      </c>
      <c r="X147" s="8" t="n">
        <v>0</v>
      </c>
      <c r="Y147" s="8" t="inlineStr">
        <is>
          <t>PO B1 play #9; 1B B3 play #28; 1B B5 play #47; PO B6 play #60; stranded in B5 (B Bixby/H Zhang CR at 3rd, C Naecker at 1st; E McCoy FO ends inning)</t>
        </is>
      </c>
    </row>
    <row r="148" ht="15.75" customHeight="1" s="35">
      <c r="A148" s="8" t="inlineStr">
        <is>
          <t>2026-03-30_FLLS_at_RVRH</t>
        </is>
      </c>
      <c r="B148" s="2" t="n">
        <v>46111</v>
      </c>
      <c r="C148" s="8" t="inlineStr">
        <is>
          <t>Fallston Varsity Cougars</t>
        </is>
      </c>
      <c r="D148" s="8" t="inlineStr">
        <is>
          <t>RVRH</t>
        </is>
      </c>
      <c r="E148" s="8" t="inlineStr">
        <is>
          <t>G Dang</t>
        </is>
      </c>
      <c r="F148" s="8" t="n">
        <v>3</v>
      </c>
      <c r="G148" s="8" t="n">
        <v>2</v>
      </c>
      <c r="H148" s="8" t="n">
        <v>0</v>
      </c>
      <c r="I148" s="8" t="n">
        <v>0</v>
      </c>
      <c r="J148" s="8" t="n">
        <v>0</v>
      </c>
      <c r="K148" s="8" t="n">
        <v>0</v>
      </c>
      <c r="L148" s="8" t="n">
        <v>0</v>
      </c>
      <c r="M148" s="8" t="n">
        <v>0</v>
      </c>
      <c r="N148" s="8" t="n">
        <v>1</v>
      </c>
      <c r="O148" s="8" t="n">
        <v>1</v>
      </c>
      <c r="P148" s="8" t="n">
        <v>0</v>
      </c>
      <c r="Q148" s="8" t="n">
        <v>1</v>
      </c>
      <c r="R148" s="8" t="n">
        <v>0</v>
      </c>
      <c r="S148" s="8" t="n">
        <v>0</v>
      </c>
      <c r="T148" s="8" t="n">
        <v>0</v>
      </c>
      <c r="U148" s="8" t="n">
        <v>0</v>
      </c>
      <c r="V148" s="8" t="n">
        <v>0</v>
      </c>
      <c r="W148" s="8" t="n">
        <v>0</v>
      </c>
      <c r="X148" s="8" t="n">
        <v>0</v>
      </c>
      <c r="Y148" s="8" t="inlineStr">
        <is>
          <t>HBP B1 play #10; CR C McClellan in (Sec4 #11) — C McClellan stranded at 2nd (E McCoy K ends B1); Foul Tip Out B3 play #29 = K_S (Sec4 #29 final: 'Foul tip', caught by catcher); FO B5 play #48; B7 play #64 not counted (no outcome, Flag #1); also plays C; RVRH E=2 attributed to G Dang catcher error T5 play #43</t>
        </is>
      </c>
    </row>
    <row r="149" ht="15.75" customHeight="1" s="35">
      <c r="A149" s="8" t="inlineStr">
        <is>
          <t>2026-03-30_FLLS_at_RVRH</t>
        </is>
      </c>
      <c r="B149" s="2" t="n">
        <v>46111</v>
      </c>
      <c r="C149" s="8" t="inlineStr">
        <is>
          <t>Fallston Varsity Cougars</t>
        </is>
      </c>
      <c r="D149" s="8" t="inlineStr">
        <is>
          <t>RVRH</t>
        </is>
      </c>
      <c r="E149" s="8" t="inlineStr">
        <is>
          <t>A Fields</t>
        </is>
      </c>
      <c r="F149" s="8" t="n">
        <v>3</v>
      </c>
      <c r="G149" s="8" t="n">
        <v>2</v>
      </c>
      <c r="H149" s="8" t="n">
        <v>0</v>
      </c>
      <c r="I149" s="8" t="n">
        <v>0</v>
      </c>
      <c r="J149" s="8" t="n">
        <v>0</v>
      </c>
      <c r="K149" s="8" t="n">
        <v>0</v>
      </c>
      <c r="L149" s="8" t="n">
        <v>0</v>
      </c>
      <c r="M149" s="8" t="n">
        <v>1</v>
      </c>
      <c r="N149" s="8" t="n">
        <v>0</v>
      </c>
      <c r="O149" s="8" t="n">
        <v>0</v>
      </c>
      <c r="P149" s="8" t="n">
        <v>0</v>
      </c>
      <c r="Q149" s="8" t="n">
        <v>0</v>
      </c>
      <c r="R149" s="8" t="n">
        <v>0</v>
      </c>
      <c r="S149" s="8" t="n">
        <v>0</v>
      </c>
      <c r="T149" s="8" t="n">
        <v>0</v>
      </c>
      <c r="U149" s="8" t="n">
        <v>0</v>
      </c>
      <c r="V149" s="8" t="n">
        <v>0</v>
      </c>
      <c r="W149" s="8" t="n">
        <v>0</v>
      </c>
      <c r="X149" s="8" t="n">
        <v>0</v>
      </c>
      <c r="Y149" s="8" t="inlineStr">
        <is>
          <t>BB B1 play #11; FO B4 play #34; FO B5 play #49 (B Bixby/H Zhang CR tags up to 3rd); also plays 2B; RVRH E=1 attributed to A Fields T2 play #14</t>
        </is>
      </c>
    </row>
    <row r="150" ht="15.75" customHeight="1" s="35">
      <c r="A150" s="8" t="inlineStr">
        <is>
          <t>2026-03-30_FLLS_at_RVRH</t>
        </is>
      </c>
      <c r="B150" s="2" t="n">
        <v>46111</v>
      </c>
      <c r="C150" s="8" t="inlineStr">
        <is>
          <t>Fallston Varsity Cougars</t>
        </is>
      </c>
      <c r="D150" s="8" t="inlineStr">
        <is>
          <t>RVRH</t>
        </is>
      </c>
      <c r="E150" s="8" t="inlineStr">
        <is>
          <t>E McCoy</t>
        </is>
      </c>
      <c r="F150" s="8" t="n">
        <v>3</v>
      </c>
      <c r="G150" s="8" t="n">
        <v>2</v>
      </c>
      <c r="H150" s="8" t="n">
        <v>0</v>
      </c>
      <c r="I150" s="8" t="n">
        <v>0</v>
      </c>
      <c r="J150" s="8" t="n">
        <v>0</v>
      </c>
      <c r="K150" s="8" t="n">
        <v>0</v>
      </c>
      <c r="L150" s="8" t="n">
        <v>0</v>
      </c>
      <c r="M150" s="8" t="n">
        <v>1</v>
      </c>
      <c r="N150" s="8" t="n">
        <v>0</v>
      </c>
      <c r="O150" s="8" t="n">
        <v>1</v>
      </c>
      <c r="P150" s="8" t="n">
        <v>0</v>
      </c>
      <c r="Q150" s="8" t="n">
        <v>1</v>
      </c>
      <c r="R150" s="8" t="n">
        <v>1</v>
      </c>
      <c r="S150" s="8" t="n">
        <v>0</v>
      </c>
      <c r="T150" s="8" t="n">
        <v>0</v>
      </c>
      <c r="U150" s="8" t="n">
        <v>0</v>
      </c>
      <c r="V150" s="8" t="n">
        <v>0</v>
      </c>
      <c r="W150" s="8" t="n">
        <v>0</v>
      </c>
      <c r="X150" s="8" t="n">
        <v>0</v>
      </c>
      <c r="Y150" s="8" t="inlineStr">
        <is>
          <t>K_S B1 play #12 (Sec4 #12 'Strike 3 swinging'); BB B4 play #35; FO B5 play #50; R: B4 play #37 (R Walsh 2B, E McCoy scores from 2nd)</t>
        </is>
      </c>
    </row>
    <row r="151" ht="15.75" customHeight="1" s="35">
      <c r="A151" s="8" t="inlineStr">
        <is>
          <t>2026-03-30_FLLS_at_RVRH</t>
        </is>
      </c>
      <c r="B151" s="2" t="n">
        <v>46111</v>
      </c>
      <c r="C151" s="8" t="inlineStr">
        <is>
          <t>Fallston Varsity Cougars</t>
        </is>
      </c>
      <c r="D151" s="8" t="inlineStr">
        <is>
          <t>RVRH</t>
        </is>
      </c>
      <c r="E151" s="8" t="inlineStr">
        <is>
          <t>A Contreras</t>
        </is>
      </c>
      <c r="F151" s="8" t="n">
        <v>3</v>
      </c>
      <c r="G151" s="8" t="n">
        <v>3</v>
      </c>
      <c r="H151" s="8" t="n">
        <v>1</v>
      </c>
      <c r="I151" s="8" t="n">
        <v>1</v>
      </c>
      <c r="J151" s="8" t="n">
        <v>0</v>
      </c>
      <c r="K151" s="8" t="n">
        <v>0</v>
      </c>
      <c r="L151" s="8" t="n">
        <v>0</v>
      </c>
      <c r="M151" s="8" t="n">
        <v>0</v>
      </c>
      <c r="N151" s="8" t="n">
        <v>0</v>
      </c>
      <c r="O151" s="8" t="n">
        <v>0</v>
      </c>
      <c r="P151" s="8" t="n">
        <v>0</v>
      </c>
      <c r="Q151" s="8" t="n">
        <v>0</v>
      </c>
      <c r="R151" s="8" t="n">
        <v>1</v>
      </c>
      <c r="S151" s="8" t="n">
        <v>0</v>
      </c>
      <c r="T151" s="8" t="n">
        <v>0</v>
      </c>
      <c r="U151" s="8" t="n">
        <v>0</v>
      </c>
      <c r="V151" s="8" t="n">
        <v>0</v>
      </c>
      <c r="W151" s="8" t="n">
        <v>0</v>
      </c>
      <c r="X151" s="8" t="n">
        <v>0</v>
      </c>
      <c r="Y151" s="8" t="inlineStr">
        <is>
          <t>FO B2 play #19; 1B B4 play #36; GO B6 play #55; R: B4 play #38 (C Reis SAC fly, A Contreras scores from 3rd)</t>
        </is>
      </c>
    </row>
    <row r="152" ht="15.75" customHeight="1" s="35">
      <c r="A152" s="8" t="inlineStr">
        <is>
          <t>2026-03-30_FLLS_at_RVRH</t>
        </is>
      </c>
      <c r="B152" s="2" t="n">
        <v>46111</v>
      </c>
      <c r="C152" s="8" t="inlineStr">
        <is>
          <t>Fallston Varsity Cougars</t>
        </is>
      </c>
      <c r="D152" s="8" t="inlineStr">
        <is>
          <t>FLLS</t>
        </is>
      </c>
      <c r="E152" s="8" t="inlineStr">
        <is>
          <t>E Slicher</t>
        </is>
      </c>
      <c r="F152" s="8" t="n">
        <v>4</v>
      </c>
      <c r="G152" s="8" t="n">
        <v>4</v>
      </c>
      <c r="H152" s="8" t="n">
        <v>1</v>
      </c>
      <c r="I152" s="8" t="n">
        <v>1</v>
      </c>
      <c r="J152" s="8" t="n">
        <v>0</v>
      </c>
      <c r="K152" s="8" t="n">
        <v>0</v>
      </c>
      <c r="L152" s="8" t="n">
        <v>0</v>
      </c>
      <c r="M152" s="8" t="n">
        <v>0</v>
      </c>
      <c r="N152" s="8" t="n">
        <v>0</v>
      </c>
      <c r="O152" s="8" t="n">
        <v>0</v>
      </c>
      <c r="P152" s="8" t="n">
        <v>0</v>
      </c>
      <c r="Q152" s="8" t="n">
        <v>0</v>
      </c>
      <c r="R152" s="8" t="n">
        <v>1</v>
      </c>
      <c r="S152" s="8" t="n">
        <v>0</v>
      </c>
      <c r="T152" s="8" t="n">
        <v>0</v>
      </c>
      <c r="U152" s="8" t="n">
        <v>0</v>
      </c>
      <c r="V152" s="8" t="n">
        <v>0</v>
      </c>
      <c r="W152" s="8" t="n">
        <v>0</v>
      </c>
      <c r="X152" s="8" t="n">
        <v>0</v>
      </c>
      <c r="Y152" s="8" t="inlineStr">
        <is>
          <t>GO T1 play #1; FO T2 play #18; 1B T5 play #40 (advances to 3rd via Z Loewe FC play #42); FO T6 play #54; R: T5 play #43 (scores on G Dang error during F Rebasti walk AB — no RBI; Flag #3)</t>
        </is>
      </c>
    </row>
    <row r="153" ht="15.75" customHeight="1" s="35">
      <c r="A153" s="8" t="inlineStr">
        <is>
          <t>2026-03-30_FLLS_at_RVRH</t>
        </is>
      </c>
      <c r="B153" s="2" t="n">
        <v>46111</v>
      </c>
      <c r="C153" s="8" t="inlineStr">
        <is>
          <t>Fallston Varsity Cougars</t>
        </is>
      </c>
      <c r="D153" s="8" t="inlineStr">
        <is>
          <t>FLLS</t>
        </is>
      </c>
      <c r="E153" s="8" t="inlineStr">
        <is>
          <t>W Kregel</t>
        </is>
      </c>
      <c r="F153" s="8" t="n">
        <v>4</v>
      </c>
      <c r="G153" s="8" t="n">
        <v>4</v>
      </c>
      <c r="H153" s="8" t="n">
        <v>1</v>
      </c>
      <c r="I153" s="8" t="n">
        <v>1</v>
      </c>
      <c r="J153" s="8" t="n">
        <v>0</v>
      </c>
      <c r="K153" s="8" t="n">
        <v>0</v>
      </c>
      <c r="L153" s="8" t="n">
        <v>0</v>
      </c>
      <c r="M153" s="8" t="n">
        <v>0</v>
      </c>
      <c r="N153" s="8" t="n">
        <v>0</v>
      </c>
      <c r="O153" s="8" t="n">
        <v>2</v>
      </c>
      <c r="P153" s="8" t="n">
        <v>1</v>
      </c>
      <c r="Q153" s="8" t="n">
        <v>1</v>
      </c>
      <c r="R153" s="8" t="n">
        <v>0</v>
      </c>
      <c r="S153" s="8" t="n">
        <v>0</v>
      </c>
      <c r="T153" s="8" t="n">
        <v>0</v>
      </c>
      <c r="U153" s="8" t="n">
        <v>0</v>
      </c>
      <c r="V153" s="8" t="n">
        <v>0</v>
      </c>
      <c r="W153" s="8" t="n">
        <v>0</v>
      </c>
      <c r="X153" s="8" t="n">
        <v>0</v>
      </c>
      <c r="Y153" s="8" t="inlineStr">
        <is>
          <t>K_S T1 play #2 (Sec4 #2 'Strike 3 swinging'); GO T3 play #22; 1B T5 play #41 (out at 2nd on Z Loewe FC play #42); K_L T7 play #61 (Sec4 #61 'Strike 3 looking')</t>
        </is>
      </c>
    </row>
    <row r="154" ht="15.75" customHeight="1" s="35">
      <c r="A154" s="8" t="inlineStr">
        <is>
          <t>2026-03-30_FLLS_at_RVRH</t>
        </is>
      </c>
      <c r="B154" s="2" t="n">
        <v>46111</v>
      </c>
      <c r="C154" s="8" t="inlineStr">
        <is>
          <t>Fallston Varsity Cougars</t>
        </is>
      </c>
      <c r="D154" s="8" t="inlineStr">
        <is>
          <t>FLLS</t>
        </is>
      </c>
      <c r="E154" s="8" t="inlineStr">
        <is>
          <t>Z Loewe</t>
        </is>
      </c>
      <c r="F154" s="8" t="n">
        <v>4</v>
      </c>
      <c r="G154" s="8" t="n">
        <v>4</v>
      </c>
      <c r="H154" s="8" t="n">
        <v>2</v>
      </c>
      <c r="I154" s="8" t="n">
        <v>2</v>
      </c>
      <c r="J154" s="8" t="n">
        <v>0</v>
      </c>
      <c r="K154" s="8" t="n">
        <v>0</v>
      </c>
      <c r="L154" s="8" t="n">
        <v>0</v>
      </c>
      <c r="M154" s="8" t="n">
        <v>0</v>
      </c>
      <c r="N154" s="8" t="n">
        <v>0</v>
      </c>
      <c r="O154" s="8" t="n">
        <v>0</v>
      </c>
      <c r="P154" s="8" t="n">
        <v>0</v>
      </c>
      <c r="Q154" s="8" t="n">
        <v>0</v>
      </c>
      <c r="R154" s="8" t="n">
        <v>1</v>
      </c>
      <c r="S154" s="8" t="n">
        <v>0</v>
      </c>
      <c r="T154" s="8" t="n">
        <v>3</v>
      </c>
      <c r="U154" s="8" t="n">
        <v>0</v>
      </c>
      <c r="V154" s="8" t="n">
        <v>0</v>
      </c>
      <c r="W154" s="8" t="n">
        <v>0</v>
      </c>
      <c r="X154" s="8" t="n">
        <v>1</v>
      </c>
      <c r="Y154" s="8" t="inlineStr">
        <is>
          <t>1B T1 play #3 (advances to 2nd on WP during F Rebasti K AB Sec4 #4); 1B T3 play #23; SB×2 T3: steals 2nd then steals 3rd — both embedded in F Rebasti GO AB (Sec4 #24; Flag #7); scores on F Rebasti GO play #24; FC T5 play #42 (W Kregel out at 2nd); SB T5: steals 2nd embedded in F Rebasti walk AB (Sec4 #43; Flag #9); GO T7 play #62; SB total=3</t>
        </is>
      </c>
    </row>
    <row r="155" ht="15.75" customHeight="1" s="35">
      <c r="A155" s="8" t="inlineStr">
        <is>
          <t>2026-03-30_FLLS_at_RVRH</t>
        </is>
      </c>
      <c r="B155" s="2" t="n">
        <v>46111</v>
      </c>
      <c r="C155" s="8" t="inlineStr">
        <is>
          <t>Fallston Varsity Cougars</t>
        </is>
      </c>
      <c r="D155" s="8" t="inlineStr">
        <is>
          <t>FLLS</t>
        </is>
      </c>
      <c r="E155" s="8" t="inlineStr">
        <is>
          <t>F Rebasti</t>
        </is>
      </c>
      <c r="F155" s="8" t="n">
        <v>4</v>
      </c>
      <c r="G155" s="8" t="n">
        <v>3</v>
      </c>
      <c r="H155" s="8" t="n">
        <v>0</v>
      </c>
      <c r="I155" s="8" t="n">
        <v>0</v>
      </c>
      <c r="J155" s="8" t="n">
        <v>0</v>
      </c>
      <c r="K155" s="8" t="n">
        <v>0</v>
      </c>
      <c r="L155" s="8" t="n">
        <v>0</v>
      </c>
      <c r="M155" s="8" t="n">
        <v>1</v>
      </c>
      <c r="N155" s="8" t="n">
        <v>0</v>
      </c>
      <c r="O155" s="8" t="n">
        <v>2</v>
      </c>
      <c r="P155" s="8" t="n">
        <v>0</v>
      </c>
      <c r="Q155" s="8" t="n">
        <v>2</v>
      </c>
      <c r="R155" s="8" t="n">
        <v>0</v>
      </c>
      <c r="S155" s="8" t="n">
        <v>1</v>
      </c>
      <c r="T155" s="8" t="n">
        <v>0</v>
      </c>
      <c r="U155" s="8" t="n">
        <v>0</v>
      </c>
      <c r="V155" s="8" t="n">
        <v>0</v>
      </c>
      <c r="W155" s="8" t="n">
        <v>0</v>
      </c>
      <c r="X155" s="8" t="n">
        <v>0</v>
      </c>
      <c r="Y155" s="8" t="inlineStr">
        <is>
          <t>K_S T1 play #4 (Sec4 #4 'Strike 3 swinging'; WP during AB advances Z Loewe to 2nd); GO T3 play #24 (RBI=1: Z Loewe scores from 3rd after SB×2); BB T5 play #43 (Z Loewe steals 2nd + E Slicher scores on G Dang error during AB; Flag #3); K_S T7 play #63 (Sec4 #63 'Strike 3 swinging')</t>
        </is>
      </c>
    </row>
    <row r="156" ht="15.75" customHeight="1" s="35">
      <c r="A156" s="8" t="inlineStr">
        <is>
          <t>2026-03-30_FLLS_at_RVRH</t>
        </is>
      </c>
      <c r="B156" s="2" t="n">
        <v>46111</v>
      </c>
      <c r="C156" s="8" t="inlineStr">
        <is>
          <t>Fallston Varsity Cougars</t>
        </is>
      </c>
      <c r="D156" s="8" t="inlineStr">
        <is>
          <t>FLLS</t>
        </is>
      </c>
      <c r="E156" s="8" t="inlineStr">
        <is>
          <t>R Conley</t>
        </is>
      </c>
      <c r="F156" s="8" t="n">
        <v>3</v>
      </c>
      <c r="G156" s="8" t="n">
        <v>3</v>
      </c>
      <c r="H156" s="8" t="n">
        <v>0</v>
      </c>
      <c r="I156" s="8" t="n">
        <v>0</v>
      </c>
      <c r="J156" s="8" t="n">
        <v>0</v>
      </c>
      <c r="K156" s="8" t="n">
        <v>0</v>
      </c>
      <c r="L156" s="8" t="n">
        <v>0</v>
      </c>
      <c r="M156" s="8" t="n">
        <v>0</v>
      </c>
      <c r="N156" s="8" t="n">
        <v>0</v>
      </c>
      <c r="O156" s="8" t="n">
        <v>3</v>
      </c>
      <c r="P156" s="8" t="n">
        <v>1</v>
      </c>
      <c r="Q156" s="8" t="n">
        <v>2</v>
      </c>
      <c r="R156" s="8" t="n">
        <v>0</v>
      </c>
      <c r="S156" s="8" t="n">
        <v>0</v>
      </c>
      <c r="T156" s="8" t="n">
        <v>0</v>
      </c>
      <c r="U156" s="8" t="n">
        <v>0</v>
      </c>
      <c r="V156" s="8" t="n">
        <v>0</v>
      </c>
      <c r="W156" s="8" t="n">
        <v>0</v>
      </c>
      <c r="X156" s="8" t="n">
        <v>0</v>
      </c>
      <c r="Y156" s="8" t="inlineStr">
        <is>
          <t>K_L T2 play #13 (Sec4 #13 'Strike 3 looking'); FO T3 play #25; K_S T5 play #44 (Sec4 #44 'Strike 3 swinging')</t>
        </is>
      </c>
    </row>
    <row r="157" ht="15.75" customHeight="1" s="35">
      <c r="A157" s="8" t="inlineStr">
        <is>
          <t>2026-03-30_FLLS_at_RVRH</t>
        </is>
      </c>
      <c r="B157" s="2" t="n">
        <v>46111</v>
      </c>
      <c r="C157" s="8" t="inlineStr">
        <is>
          <t>Fallston Varsity Cougars</t>
        </is>
      </c>
      <c r="D157" s="8" t="inlineStr">
        <is>
          <t>FLLS</t>
        </is>
      </c>
      <c r="E157" s="8" t="inlineStr">
        <is>
          <t>G Kersch</t>
        </is>
      </c>
      <c r="F157" s="8" t="n">
        <v>3</v>
      </c>
      <c r="G157" s="8" t="n">
        <v>3</v>
      </c>
      <c r="H157" s="8" t="n">
        <v>0</v>
      </c>
      <c r="I157" s="8" t="n">
        <v>0</v>
      </c>
      <c r="J157" s="8" t="n">
        <v>0</v>
      </c>
      <c r="K157" s="8" t="n">
        <v>0</v>
      </c>
      <c r="L157" s="8" t="n">
        <v>0</v>
      </c>
      <c r="M157" s="8" t="n">
        <v>0</v>
      </c>
      <c r="N157" s="8" t="n">
        <v>0</v>
      </c>
      <c r="O157" s="8" t="n">
        <v>1</v>
      </c>
      <c r="P157" s="8" t="n">
        <v>0</v>
      </c>
      <c r="Q157" s="8" t="n">
        <v>1</v>
      </c>
      <c r="R157" s="8" t="n">
        <v>0</v>
      </c>
      <c r="S157" s="8" t="n">
        <v>0</v>
      </c>
      <c r="T157" s="8" t="n">
        <v>0</v>
      </c>
      <c r="U157" s="8" t="n">
        <v>0</v>
      </c>
      <c r="V157" s="8" t="n">
        <v>0</v>
      </c>
      <c r="W157" s="8" t="n">
        <v>0</v>
      </c>
      <c r="X157" s="8" t="n">
        <v>0</v>
      </c>
      <c r="Y157" s="8" t="inlineStr">
        <is>
          <t>Error-ROE T2 play #14 (not a hit; RVRH E=1 A Fields); GO T4 play #30; K_S T5 play #45 (Sec4 #45 'Strike 3 swinging')</t>
        </is>
      </c>
    </row>
    <row r="158" ht="15.75" customHeight="1" s="35">
      <c r="A158" s="8" t="inlineStr">
        <is>
          <t>2026-03-30_FLLS_at_RVRH</t>
        </is>
      </c>
      <c r="B158" s="2" t="n">
        <v>46111</v>
      </c>
      <c r="C158" s="8" t="inlineStr">
        <is>
          <t>Fallston Varsity Cougars</t>
        </is>
      </c>
      <c r="D158" s="8" t="inlineStr">
        <is>
          <t>FLLS</t>
        </is>
      </c>
      <c r="E158" s="8" t="inlineStr">
        <is>
          <t>J Potler</t>
        </is>
      </c>
      <c r="F158" s="8" t="n">
        <v>3</v>
      </c>
      <c r="G158" s="8" t="n">
        <v>2</v>
      </c>
      <c r="H158" s="8" t="n">
        <v>2</v>
      </c>
      <c r="I158" s="8" t="n">
        <v>1</v>
      </c>
      <c r="J158" s="8" t="n">
        <v>0</v>
      </c>
      <c r="K158" s="8" t="n">
        <v>0</v>
      </c>
      <c r="L158" s="8" t="n">
        <v>1</v>
      </c>
      <c r="M158" s="8" t="n">
        <v>1</v>
      </c>
      <c r="N158" s="8" t="n">
        <v>0</v>
      </c>
      <c r="O158" s="8" t="n">
        <v>0</v>
      </c>
      <c r="P158" s="8" t="n">
        <v>0</v>
      </c>
      <c r="Q158" s="8" t="n">
        <v>0</v>
      </c>
      <c r="R158" s="8" t="n">
        <v>1</v>
      </c>
      <c r="S158" s="8" t="n">
        <v>1</v>
      </c>
      <c r="T158" s="8" t="n">
        <v>0</v>
      </c>
      <c r="U158" s="8" t="n">
        <v>0</v>
      </c>
      <c r="V158" s="8" t="n">
        <v>0</v>
      </c>
      <c r="W158" s="8" t="n">
        <v>0</v>
      </c>
      <c r="X158" s="8" t="n">
        <v>0</v>
      </c>
      <c r="Y158" s="8" t="inlineStr">
        <is>
          <t>BB T2 play #15 (CR R Cullison in Sec4 #16 — R Cullison stranded at 2nd); 1B T4 play #31 (CR C Blair in Sec4 #32 — C Blair out on J Schilpp FC play #32); HR T6 play #51 (solo; RBI=1, R=1); Flag #9: R Cullison/C Blair used as CRs — no runs credited via CRs in this game</t>
        </is>
      </c>
    </row>
    <row r="159" ht="15.75" customHeight="1" s="35">
      <c r="A159" s="8" t="inlineStr">
        <is>
          <t>2026-03-30_FLLS_at_RVRH</t>
        </is>
      </c>
      <c r="B159" s="2" t="n">
        <v>46111</v>
      </c>
      <c r="C159" s="8" t="inlineStr">
        <is>
          <t>Fallston Varsity Cougars</t>
        </is>
      </c>
      <c r="D159" s="8" t="inlineStr">
        <is>
          <t>FLLS</t>
        </is>
      </c>
      <c r="E159" s="8" t="inlineStr">
        <is>
          <t>J Schilpp</t>
        </is>
      </c>
      <c r="F159" s="8" t="n">
        <v>3</v>
      </c>
      <c r="G159" s="8" t="n">
        <v>3</v>
      </c>
      <c r="H159" s="8" t="n">
        <v>0</v>
      </c>
      <c r="I159" s="8" t="n">
        <v>0</v>
      </c>
      <c r="J159" s="8" t="n">
        <v>0</v>
      </c>
      <c r="K159" s="8" t="n">
        <v>0</v>
      </c>
      <c r="L159" s="8" t="n">
        <v>0</v>
      </c>
      <c r="M159" s="8" t="n">
        <v>0</v>
      </c>
      <c r="N159" s="8" t="n">
        <v>0</v>
      </c>
      <c r="O159" s="8" t="n">
        <v>1</v>
      </c>
      <c r="P159" s="8" t="n">
        <v>1</v>
      </c>
      <c r="Q159" s="8" t="n">
        <v>0</v>
      </c>
      <c r="R159" s="8" t="n">
        <v>0</v>
      </c>
      <c r="S159" s="8" t="n">
        <v>0</v>
      </c>
      <c r="T159" s="8" t="n">
        <v>1</v>
      </c>
      <c r="U159" s="8" t="n">
        <v>0</v>
      </c>
      <c r="V159" s="8" t="n">
        <v>0</v>
      </c>
      <c r="W159" s="8" t="n">
        <v>0</v>
      </c>
      <c r="X159" s="8" t="n">
        <v>1</v>
      </c>
      <c r="Y159" s="8" t="inlineStr">
        <is>
          <t>K_L T2 play #16 (Sec4 #16 'Strike 3 looking'; CR R Cullison replaces J Potler during AB); FC T4 play #32 (C Blair out at 2nd; J Schilpp reaches 1B); SB=1: steals 2nd embedded in I Bishoff K AB (Sec4 #33; Flag #8); also advances to 3rd on WP during same AB — J Schilpp stranded at 3rd when I Bishoff K ends T4; GO T6 play #52</t>
        </is>
      </c>
    </row>
    <row r="160" ht="15.75" customHeight="1" s="35">
      <c r="A160" s="8" t="inlineStr">
        <is>
          <t>2026-03-30_FLLS_at_RVRH</t>
        </is>
      </c>
      <c r="B160" s="2" t="n">
        <v>46111</v>
      </c>
      <c r="C160" s="8" t="inlineStr">
        <is>
          <t>Fallston Varsity Cougars</t>
        </is>
      </c>
      <c r="D160" s="8" t="inlineStr">
        <is>
          <t>FLLS</t>
        </is>
      </c>
      <c r="E160" s="8" t="inlineStr">
        <is>
          <t>I Bishoff</t>
        </is>
      </c>
      <c r="F160" s="8" t="n">
        <v>3</v>
      </c>
      <c r="G160" s="8" t="n">
        <v>3</v>
      </c>
      <c r="H160" s="8" t="n">
        <v>1</v>
      </c>
      <c r="I160" s="8" t="n">
        <v>1</v>
      </c>
      <c r="J160" s="8" t="n">
        <v>0</v>
      </c>
      <c r="K160" s="8" t="n">
        <v>0</v>
      </c>
      <c r="L160" s="8" t="n">
        <v>0</v>
      </c>
      <c r="M160" s="8" t="n">
        <v>0</v>
      </c>
      <c r="N160" s="8" t="n">
        <v>0</v>
      </c>
      <c r="O160" s="8" t="n">
        <v>2</v>
      </c>
      <c r="P160" s="8" t="n">
        <v>1</v>
      </c>
      <c r="Q160" s="8" t="n">
        <v>1</v>
      </c>
      <c r="R160" s="8" t="n">
        <v>0</v>
      </c>
      <c r="S160" s="8" t="n">
        <v>0</v>
      </c>
      <c r="T160" s="8" t="n">
        <v>0</v>
      </c>
      <c r="U160" s="8" t="n">
        <v>0</v>
      </c>
      <c r="V160" s="8" t="n">
        <v>0</v>
      </c>
      <c r="W160" s="8" t="n">
        <v>0</v>
      </c>
      <c r="X160" s="8" t="n">
        <v>0</v>
      </c>
      <c r="Y160" s="8" t="inlineStr">
        <is>
          <t>K_S T2 play — wait, T2: R Conley K, G Kersch Error, J Potler BB (CR R Cullison), J Schilpp K_L, I Bishoff 1B play #17, E Slicher FO play #18; 1B T2 play #17; K_S T4 play #33 (Sec4 #33 'Strike 3 swinging'; J Schilpp SB + WP embedded in this AB); K_L T6 play #53 (Sec4 #53 'Strike 3 looking')</t>
        </is>
      </c>
    </row>
    <row r="161" ht="15.75" customHeight="1" s="35">
      <c r="A161" s="8" t="inlineStr">
        <is>
          <t>2026-03-07_ELNR_at_NRTH</t>
        </is>
      </c>
      <c r="B161" s="2" t="n">
        <v>46088</v>
      </c>
      <c r="C161" s="8" t="inlineStr">
        <is>
          <t>North Point Varsity Eagles</t>
        </is>
      </c>
      <c r="D161" s="8" t="inlineStr">
        <is>
          <t>ELNR</t>
        </is>
      </c>
      <c r="E161" s="8" t="inlineStr">
        <is>
          <t>B Durham</t>
        </is>
      </c>
      <c r="F161" s="8" t="n">
        <v>3</v>
      </c>
      <c r="G161" s="8" t="n">
        <v>2</v>
      </c>
      <c r="H161" s="8" t="n">
        <v>1</v>
      </c>
      <c r="I161" s="8" t="n">
        <v>1</v>
      </c>
      <c r="J161" s="8" t="n">
        <v>0</v>
      </c>
      <c r="K161" s="8" t="n">
        <v>0</v>
      </c>
      <c r="L161" s="8" t="n">
        <v>0</v>
      </c>
      <c r="M161" s="8" t="n">
        <v>0</v>
      </c>
      <c r="N161" s="8" t="n">
        <v>1</v>
      </c>
      <c r="O161" s="8" t="n">
        <v>1</v>
      </c>
      <c r="P161" s="8" t="n">
        <v>0</v>
      </c>
      <c r="Q161" s="8" t="n">
        <v>1</v>
      </c>
      <c r="R161" s="8" t="n">
        <v>0</v>
      </c>
      <c r="S161" s="8" t="n">
        <v>0</v>
      </c>
      <c r="T161" s="8" t="n">
        <v>1</v>
      </c>
      <c r="U161" s="8" t="n">
        <v>0</v>
      </c>
      <c r="V161" s="8" t="n">
        <v>0</v>
      </c>
      <c r="W161" s="8" t="n">
        <v>0</v>
      </c>
      <c r="X161" s="8" t="n">
        <v>0</v>
      </c>
      <c r="Y161" s="8" t="inlineStr">
        <is>
          <t>SB T1 (Seq#3 embedded during C Knight walk); K_S T4 (Seq#43).</t>
        </is>
      </c>
    </row>
    <row r="162" ht="15.75" customHeight="1" s="35">
      <c r="A162" s="8" t="inlineStr">
        <is>
          <t>2026-03-07_ELNR_at_NRTH</t>
        </is>
      </c>
      <c r="B162" s="2" t="n">
        <v>46088</v>
      </c>
      <c r="C162" s="8" t="inlineStr">
        <is>
          <t>North Point Varsity Eagles</t>
        </is>
      </c>
      <c r="D162" s="8" t="inlineStr">
        <is>
          <t>ELNR</t>
        </is>
      </c>
      <c r="E162" s="8" t="inlineStr">
        <is>
          <t>S Hamilton</t>
        </is>
      </c>
      <c r="F162" s="8" t="n">
        <v>3</v>
      </c>
      <c r="G162" s="8" t="n">
        <v>3</v>
      </c>
      <c r="H162" s="8" t="n">
        <v>0</v>
      </c>
      <c r="I162" s="8" t="n">
        <v>0</v>
      </c>
      <c r="J162" s="8" t="n">
        <v>0</v>
      </c>
      <c r="K162" s="8" t="n">
        <v>0</v>
      </c>
      <c r="L162" s="8" t="n">
        <v>0</v>
      </c>
      <c r="M162" s="8" t="n">
        <v>0</v>
      </c>
      <c r="N162" s="8" t="n">
        <v>0</v>
      </c>
      <c r="O162" s="8" t="n">
        <v>0</v>
      </c>
      <c r="P162" s="8" t="n">
        <v>0</v>
      </c>
      <c r="Q162" s="8" t="n">
        <v>0</v>
      </c>
      <c r="R162" s="8" t="n">
        <v>0</v>
      </c>
      <c r="S162" s="8" t="n">
        <v>0</v>
      </c>
      <c r="T162" s="8" t="n">
        <v>0</v>
      </c>
      <c r="U162" s="8" t="n">
        <v>0</v>
      </c>
      <c r="V162" s="8" t="n">
        <v>0</v>
      </c>
      <c r="W162" s="8" t="n">
        <v>0</v>
      </c>
      <c r="X162" s="8" t="n">
        <v>0</v>
      </c>
    </row>
    <row r="163" ht="15.75" customHeight="1" s="35">
      <c r="A163" s="8" t="inlineStr">
        <is>
          <t>2026-03-07_ELNR_at_NRTH</t>
        </is>
      </c>
      <c r="B163" s="2" t="n">
        <v>46088</v>
      </c>
      <c r="C163" s="8" t="inlineStr">
        <is>
          <t>North Point Varsity Eagles</t>
        </is>
      </c>
      <c r="D163" s="8" t="inlineStr">
        <is>
          <t>ELNR</t>
        </is>
      </c>
      <c r="E163" s="8" t="inlineStr">
        <is>
          <t>C Knight</t>
        </is>
      </c>
      <c r="F163" s="8" t="n">
        <v>3</v>
      </c>
      <c r="G163" s="8" t="n">
        <v>0</v>
      </c>
      <c r="H163" s="8" t="n">
        <v>0</v>
      </c>
      <c r="I163" s="8" t="n">
        <v>0</v>
      </c>
      <c r="J163" s="8" t="n">
        <v>0</v>
      </c>
      <c r="K163" s="8" t="n">
        <v>0</v>
      </c>
      <c r="L163" s="8" t="n">
        <v>0</v>
      </c>
      <c r="M163" s="8" t="n">
        <v>3</v>
      </c>
      <c r="N163" s="8" t="n">
        <v>0</v>
      </c>
      <c r="O163" s="8" t="n">
        <v>0</v>
      </c>
      <c r="P163" s="8" t="n">
        <v>0</v>
      </c>
      <c r="Q163" s="8" t="n">
        <v>0</v>
      </c>
      <c r="R163" s="8" t="n">
        <v>1</v>
      </c>
      <c r="S163" s="8" t="n">
        <v>0</v>
      </c>
      <c r="T163" s="8" t="n">
        <v>0</v>
      </c>
      <c r="U163" s="8" t="n">
        <v>0</v>
      </c>
      <c r="V163" s="8" t="n">
        <v>0</v>
      </c>
      <c r="W163" s="8" t="n">
        <v>0</v>
      </c>
      <c r="X163" s="8" t="n">
        <v>0</v>
      </c>
      <c r="Y163" s="8" t="inlineStr">
        <is>
          <t>R scored on balk by A Harding, T3 (play #33); see Flag #7. Pickoff at 1st (play #52) embedded in J Maitland AB — not a PA; see Flag #10.</t>
        </is>
      </c>
    </row>
    <row r="164" ht="15.75" customHeight="1" s="35">
      <c r="A164" s="8" t="inlineStr">
        <is>
          <t>2026-03-07_ELNR_at_NRTH</t>
        </is>
      </c>
      <c r="B164" s="2" t="n">
        <v>46088</v>
      </c>
      <c r="C164" s="8" t="inlineStr">
        <is>
          <t>North Point Varsity Eagles</t>
        </is>
      </c>
      <c r="D164" s="8" t="inlineStr">
        <is>
          <t>ELNR</t>
        </is>
      </c>
      <c r="E164" s="8" t="inlineStr">
        <is>
          <t>J Maitland</t>
        </is>
      </c>
      <c r="F164" s="8" t="n">
        <v>4</v>
      </c>
      <c r="G164" s="8" t="n">
        <v>4</v>
      </c>
      <c r="H164" s="8" t="n">
        <v>0</v>
      </c>
      <c r="I164" s="8" t="n">
        <v>0</v>
      </c>
      <c r="J164" s="8" t="n">
        <v>0</v>
      </c>
      <c r="K164" s="8" t="n">
        <v>0</v>
      </c>
      <c r="L164" s="8" t="n">
        <v>0</v>
      </c>
      <c r="M164" s="8" t="n">
        <v>0</v>
      </c>
      <c r="N164" s="8" t="n">
        <v>0</v>
      </c>
      <c r="O164" s="8" t="n">
        <v>3</v>
      </c>
      <c r="P164" s="8" t="n">
        <v>1</v>
      </c>
      <c r="Q164" s="8" t="n">
        <v>2</v>
      </c>
      <c r="R164" s="8" t="n">
        <v>0</v>
      </c>
      <c r="S164" s="8" t="n">
        <v>0</v>
      </c>
      <c r="T164" s="8" t="n">
        <v>1</v>
      </c>
      <c r="U164" s="8" t="n">
        <v>0</v>
      </c>
      <c r="V164" s="8" t="n">
        <v>0</v>
      </c>
      <c r="W164" s="8" t="n">
        <v>0</v>
      </c>
      <c r="X164" s="8" t="n">
        <v>0</v>
      </c>
      <c r="Y164" s="8" t="inlineStr">
        <is>
          <t>K_S T1 (Seq#4), K_S T3 (Seq#30), K_L T4 (Seq#41). SB T5 (Seq#53). Catcher errors ELNR E=2 (play #12), E=3 (play #15), E=6 (play #36) attributed to J Maitland in Fielding.</t>
        </is>
      </c>
    </row>
    <row r="165" ht="15.75" customHeight="1" s="35">
      <c r="A165" s="8" t="inlineStr">
        <is>
          <t>2026-03-07_ELNR_at_NRTH</t>
        </is>
      </c>
      <c r="B165" s="2" t="n">
        <v>46088</v>
      </c>
      <c r="C165" s="8" t="inlineStr">
        <is>
          <t>North Point Varsity Eagles</t>
        </is>
      </c>
      <c r="D165" s="8" t="inlineStr">
        <is>
          <t>ELNR</t>
        </is>
      </c>
      <c r="E165" s="8" t="inlineStr">
        <is>
          <t>R Coxen</t>
        </is>
      </c>
      <c r="F165" s="8" t="n">
        <v>3</v>
      </c>
      <c r="G165" s="8" t="n">
        <v>2</v>
      </c>
      <c r="H165" s="8" t="n">
        <v>0</v>
      </c>
      <c r="I165" s="8" t="n">
        <v>0</v>
      </c>
      <c r="J165" s="8" t="n">
        <v>0</v>
      </c>
      <c r="K165" s="8" t="n">
        <v>0</v>
      </c>
      <c r="L165" s="8" t="n">
        <v>0</v>
      </c>
      <c r="M165" s="8" t="n">
        <v>1</v>
      </c>
      <c r="N165" s="8" t="n">
        <v>0</v>
      </c>
      <c r="O165" s="8" t="n">
        <v>0</v>
      </c>
      <c r="P165" s="8" t="n">
        <v>0</v>
      </c>
      <c r="Q165" s="8" t="n">
        <v>0</v>
      </c>
      <c r="R165" s="8" t="n">
        <v>0</v>
      </c>
      <c r="S165" s="8" t="n">
        <v>0</v>
      </c>
      <c r="T165" s="8" t="n">
        <v>0</v>
      </c>
      <c r="U165" s="8" t="n">
        <v>0</v>
      </c>
      <c r="V165" s="8" t="n">
        <v>0</v>
      </c>
      <c r="W165" s="8" t="n">
        <v>0</v>
      </c>
      <c r="X165" s="8" t="n">
        <v>0</v>
      </c>
    </row>
    <row r="166" ht="15.75" customHeight="1" s="35">
      <c r="A166" s="8" t="inlineStr">
        <is>
          <t>2026-03-07_ELNR_at_NRTH</t>
        </is>
      </c>
      <c r="B166" s="2" t="n">
        <v>46088</v>
      </c>
      <c r="C166" s="8" t="inlineStr">
        <is>
          <t>North Point Varsity Eagles</t>
        </is>
      </c>
      <c r="D166" s="8" t="inlineStr">
        <is>
          <t>ELNR</t>
        </is>
      </c>
      <c r="E166" s="8" t="inlineStr">
        <is>
          <t>K Watkins-Fleisher</t>
        </is>
      </c>
      <c r="F166" s="8" t="n">
        <v>2</v>
      </c>
      <c r="G166" s="8" t="n">
        <v>2</v>
      </c>
      <c r="H166" s="8" t="n">
        <v>0</v>
      </c>
      <c r="I166" s="8" t="n">
        <v>0</v>
      </c>
      <c r="J166" s="8" t="n">
        <v>0</v>
      </c>
      <c r="K166" s="8" t="n">
        <v>0</v>
      </c>
      <c r="L166" s="8" t="n">
        <v>0</v>
      </c>
      <c r="M166" s="8" t="n">
        <v>0</v>
      </c>
      <c r="N166" s="8" t="n">
        <v>0</v>
      </c>
      <c r="O166" s="8" t="n">
        <v>0</v>
      </c>
      <c r="P166" s="8" t="n">
        <v>0</v>
      </c>
      <c r="Q166" s="8" t="n">
        <v>0</v>
      </c>
      <c r="R166" s="8" t="n">
        <v>0</v>
      </c>
      <c r="S166" s="8" t="n">
        <v>0</v>
      </c>
      <c r="T166" s="8" t="n">
        <v>0</v>
      </c>
      <c r="U166" s="8" t="n">
        <v>0</v>
      </c>
      <c r="V166" s="8" t="n">
        <v>0</v>
      </c>
      <c r="W166" s="8" t="n">
        <v>0</v>
      </c>
      <c r="X166" s="8" t="n">
        <v>0</v>
      </c>
    </row>
    <row r="167" ht="15.75" customHeight="1" s="35">
      <c r="A167" s="8" t="inlineStr">
        <is>
          <t>2026-03-07_ELNR_at_NRTH</t>
        </is>
      </c>
      <c r="B167" s="2" t="n">
        <v>46088</v>
      </c>
      <c r="C167" s="8" t="inlineStr">
        <is>
          <t>North Point Varsity Eagles</t>
        </is>
      </c>
      <c r="D167" s="8" t="inlineStr">
        <is>
          <t>ELNR</t>
        </is>
      </c>
      <c r="E167" s="8" t="inlineStr">
        <is>
          <t>A Kennell</t>
        </is>
      </c>
      <c r="F167" s="8" t="n">
        <v>2</v>
      </c>
      <c r="G167" s="8" t="n">
        <v>2</v>
      </c>
      <c r="H167" s="8" t="n">
        <v>0</v>
      </c>
      <c r="I167" s="8" t="n">
        <v>0</v>
      </c>
      <c r="J167" s="8" t="n">
        <v>0</v>
      </c>
      <c r="K167" s="8" t="n">
        <v>0</v>
      </c>
      <c r="L167" s="8" t="n">
        <v>0</v>
      </c>
      <c r="M167" s="8" t="n">
        <v>0</v>
      </c>
      <c r="N167" s="8" t="n">
        <v>0</v>
      </c>
      <c r="O167" s="8" t="n">
        <v>1</v>
      </c>
      <c r="P167" s="8" t="n">
        <v>0</v>
      </c>
      <c r="Q167" s="8" t="n">
        <v>1</v>
      </c>
      <c r="R167" s="8" t="n">
        <v>0</v>
      </c>
      <c r="S167" s="8" t="n">
        <v>0</v>
      </c>
      <c r="T167" s="8" t="n">
        <v>0</v>
      </c>
      <c r="U167" s="8" t="n">
        <v>0</v>
      </c>
      <c r="V167" s="8" t="n">
        <v>0</v>
      </c>
      <c r="W167" s="8" t="n">
        <v>0</v>
      </c>
      <c r="X167" s="8" t="n">
        <v>0</v>
      </c>
      <c r="Y167" s="8" t="inlineStr">
        <is>
          <t>K_S T3 (Seq#33; balk embedded in AB — see Flag #7). Also pitches B5 (entry inferred).</t>
        </is>
      </c>
    </row>
    <row r="168" ht="15.75" customHeight="1" s="35">
      <c r="A168" s="8" t="inlineStr">
        <is>
          <t>2026-03-07_ELNR_at_NRTH</t>
        </is>
      </c>
      <c r="B168" s="2" t="n">
        <v>46088</v>
      </c>
      <c r="C168" s="8" t="inlineStr">
        <is>
          <t>North Point Varsity Eagles</t>
        </is>
      </c>
      <c r="D168" s="8" t="inlineStr">
        <is>
          <t>ELNR</t>
        </is>
      </c>
      <c r="E168" s="8" t="inlineStr">
        <is>
          <t>J Burke</t>
        </is>
      </c>
      <c r="F168" s="8" t="n">
        <v>2</v>
      </c>
      <c r="G168" s="8" t="n">
        <v>2</v>
      </c>
      <c r="H168" s="8" t="n">
        <v>0</v>
      </c>
      <c r="I168" s="8" t="n">
        <v>0</v>
      </c>
      <c r="J168" s="8" t="n">
        <v>0</v>
      </c>
      <c r="K168" s="8" t="n">
        <v>0</v>
      </c>
      <c r="L168" s="8" t="n">
        <v>0</v>
      </c>
      <c r="M168" s="8" t="n">
        <v>0</v>
      </c>
      <c r="N168" s="8" t="n">
        <v>0</v>
      </c>
      <c r="O168" s="8" t="n">
        <v>1</v>
      </c>
      <c r="P168" s="8" t="n">
        <v>1</v>
      </c>
      <c r="Q168" s="8" t="n">
        <v>0</v>
      </c>
      <c r="R168" s="8" t="n">
        <v>0</v>
      </c>
      <c r="S168" s="8" t="n">
        <v>0</v>
      </c>
      <c r="T168" s="8" t="n">
        <v>0</v>
      </c>
      <c r="U168" s="8" t="n">
        <v>0</v>
      </c>
      <c r="V168" s="8" t="n">
        <v>1</v>
      </c>
      <c r="W168" s="8" t="n">
        <v>0</v>
      </c>
      <c r="X168" s="8" t="n">
        <v>0</v>
      </c>
      <c r="Y168" s="8" t="inlineStr">
        <is>
          <t>GDP T2 (play #20). K_L T4 (Seq#41). Also pitches B1.</t>
        </is>
      </c>
    </row>
    <row r="169" ht="15.75" customHeight="1" s="35">
      <c r="A169" s="8" t="inlineStr">
        <is>
          <t>2026-03-07_ELNR_at_NRTH</t>
        </is>
      </c>
      <c r="B169" s="2" t="n">
        <v>46088</v>
      </c>
      <c r="C169" s="8" t="inlineStr">
        <is>
          <t>North Point Varsity Eagles</t>
        </is>
      </c>
      <c r="D169" s="8" t="inlineStr">
        <is>
          <t>ELNR</t>
        </is>
      </c>
      <c r="E169" s="8" t="inlineStr">
        <is>
          <t>A Wimbish</t>
        </is>
      </c>
      <c r="F169" s="8" t="n">
        <v>2</v>
      </c>
      <c r="G169" s="8" t="n">
        <v>1</v>
      </c>
      <c r="H169" s="8" t="n">
        <v>0</v>
      </c>
      <c r="I169" s="8" t="n">
        <v>0</v>
      </c>
      <c r="J169" s="8" t="n">
        <v>0</v>
      </c>
      <c r="K169" s="8" t="n">
        <v>0</v>
      </c>
      <c r="L169" s="8" t="n">
        <v>0</v>
      </c>
      <c r="M169" s="8" t="n">
        <v>0</v>
      </c>
      <c r="N169" s="8" t="n">
        <v>1</v>
      </c>
      <c r="O169" s="8" t="n">
        <v>0</v>
      </c>
      <c r="P169" s="8" t="n">
        <v>0</v>
      </c>
      <c r="Q169" s="8" t="n">
        <v>0</v>
      </c>
      <c r="R169" s="8" t="n">
        <v>0</v>
      </c>
      <c r="S169" s="8" t="n">
        <v>0</v>
      </c>
      <c r="T169" s="8" t="n">
        <v>0</v>
      </c>
      <c r="U169" s="8" t="n">
        <v>0</v>
      </c>
      <c r="V169" s="8" t="n">
        <v>0</v>
      </c>
      <c r="W169" s="8" t="n">
        <v>0</v>
      </c>
      <c r="X169" s="8" t="n">
        <v>0</v>
      </c>
      <c r="Y169" s="8" t="inlineStr">
        <is>
          <t>HBP T2 (play #21).</t>
        </is>
      </c>
    </row>
    <row r="170" ht="15.75" customHeight="1" s="35">
      <c r="A170" s="8" t="inlineStr">
        <is>
          <t>2026-03-07_ELNR_at_NRTH</t>
        </is>
      </c>
      <c r="B170" s="2" t="n">
        <v>46088</v>
      </c>
      <c r="C170" s="8" t="inlineStr">
        <is>
          <t>North Point Varsity Eagles</t>
        </is>
      </c>
      <c r="D170" s="8" t="inlineStr">
        <is>
          <t>ELNR</t>
        </is>
      </c>
      <c r="E170" s="8" t="inlineStr">
        <is>
          <t>T White</t>
        </is>
      </c>
      <c r="F170" s="8" t="n">
        <v>0</v>
      </c>
      <c r="G170" s="8" t="n">
        <v>0</v>
      </c>
      <c r="H170" s="8" t="n">
        <v>0</v>
      </c>
      <c r="I170" s="8" t="n">
        <v>0</v>
      </c>
      <c r="J170" s="8" t="n">
        <v>0</v>
      </c>
      <c r="K170" s="8" t="n">
        <v>0</v>
      </c>
      <c r="L170" s="8" t="n">
        <v>0</v>
      </c>
      <c r="M170" s="8" t="n">
        <v>0</v>
      </c>
      <c r="N170" s="8" t="n">
        <v>0</v>
      </c>
      <c r="O170" s="8" t="n">
        <v>0</v>
      </c>
      <c r="P170" s="8" t="n">
        <v>0</v>
      </c>
      <c r="Q170" s="8" t="n">
        <v>0</v>
      </c>
      <c r="R170" s="8" t="n">
        <v>0</v>
      </c>
      <c r="S170" s="8" t="n">
        <v>0</v>
      </c>
      <c r="T170" s="8" t="n">
        <v>0</v>
      </c>
      <c r="U170" s="8" t="n">
        <v>0</v>
      </c>
      <c r="V170" s="8" t="n">
        <v>0</v>
      </c>
      <c r="W170" s="8" t="n">
        <v>0</v>
      </c>
      <c r="X170" s="8" t="n">
        <v>0</v>
      </c>
      <c r="Y170" s="8" t="inlineStr">
        <is>
          <t>T6 AB — no outcome recorded; scoring artifact per Flag #1. Identity conflict with NRTH fielder T White; see Flag #2.</t>
        </is>
      </c>
    </row>
    <row r="171" ht="15.75" customHeight="1" s="35">
      <c r="A171" s="8" t="inlineStr">
        <is>
          <t>2026-03-07_ELNR_at_NRTH</t>
        </is>
      </c>
      <c r="B171" s="2" t="n">
        <v>46088</v>
      </c>
      <c r="C171" s="8" t="inlineStr">
        <is>
          <t>North Point Varsity Eagles</t>
        </is>
      </c>
      <c r="D171" s="8" t="inlineStr">
        <is>
          <t>NRTH</t>
        </is>
      </c>
      <c r="E171" s="8" t="inlineStr">
        <is>
          <t>A Espejo</t>
        </is>
      </c>
      <c r="F171" s="8" t="n">
        <v>4</v>
      </c>
      <c r="G171" s="8" t="n">
        <v>1</v>
      </c>
      <c r="H171" s="8" t="n">
        <v>1</v>
      </c>
      <c r="I171" s="8" t="n">
        <v>1</v>
      </c>
      <c r="J171" s="8" t="n">
        <v>0</v>
      </c>
      <c r="K171" s="8" t="n">
        <v>0</v>
      </c>
      <c r="L171" s="8" t="n">
        <v>0</v>
      </c>
      <c r="M171" s="8" t="n">
        <v>3</v>
      </c>
      <c r="N171" s="8" t="n">
        <v>0</v>
      </c>
      <c r="O171" s="8" t="n">
        <v>0</v>
      </c>
      <c r="P171" s="8" t="n">
        <v>0</v>
      </c>
      <c r="Q171" s="8" t="n">
        <v>0</v>
      </c>
      <c r="R171" s="8" t="n">
        <v>2</v>
      </c>
      <c r="S171" s="8" t="n">
        <v>0</v>
      </c>
      <c r="T171" s="8" t="n">
        <v>1</v>
      </c>
      <c r="U171" s="8" t="n">
        <v>0</v>
      </c>
      <c r="V171" s="8" t="n">
        <v>0</v>
      </c>
      <c r="W171" s="8" t="n">
        <v>0</v>
      </c>
      <c r="X171" s="8" t="n">
        <v>0</v>
      </c>
      <c r="Y171" s="8" t="inlineStr">
        <is>
          <t>SB B3 (Seq#37, embedded during A Thomas AB). R: B1 via Z Bowman single (play #10); B3 via A Harding sac fly (play #38).</t>
        </is>
      </c>
    </row>
    <row r="172" ht="15.75" customHeight="1" s="35">
      <c r="A172" s="8" t="inlineStr">
        <is>
          <t>2026-03-07_ELNR_at_NRTH</t>
        </is>
      </c>
      <c r="B172" s="2" t="n">
        <v>46088</v>
      </c>
      <c r="C172" s="8" t="inlineStr">
        <is>
          <t>North Point Varsity Eagles</t>
        </is>
      </c>
      <c r="D172" s="8" t="inlineStr">
        <is>
          <t>NRTH</t>
        </is>
      </c>
      <c r="E172" s="8" t="inlineStr">
        <is>
          <t>A Thomas</t>
        </is>
      </c>
      <c r="F172" s="8" t="n">
        <v>4</v>
      </c>
      <c r="G172" s="8" t="n">
        <v>4</v>
      </c>
      <c r="H172" s="8" t="n">
        <v>2</v>
      </c>
      <c r="I172" s="8" t="n">
        <v>2</v>
      </c>
      <c r="J172" s="8" t="n">
        <v>0</v>
      </c>
      <c r="K172" s="8" t="n">
        <v>0</v>
      </c>
      <c r="L172" s="8" t="n">
        <v>0</v>
      </c>
      <c r="M172" s="8" t="n">
        <v>0</v>
      </c>
      <c r="N172" s="8" t="n">
        <v>0</v>
      </c>
      <c r="O172" s="8" t="n">
        <v>0</v>
      </c>
      <c r="P172" s="8" t="n">
        <v>0</v>
      </c>
      <c r="Q172" s="8" t="n">
        <v>0</v>
      </c>
      <c r="R172" s="8" t="n">
        <v>0</v>
      </c>
      <c r="S172" s="8" t="n">
        <v>3</v>
      </c>
      <c r="T172" s="8" t="n">
        <v>0</v>
      </c>
      <c r="U172" s="8" t="n">
        <v>0</v>
      </c>
      <c r="V172" s="8" t="n">
        <v>0</v>
      </c>
      <c r="W172" s="8" t="n">
        <v>0</v>
      </c>
      <c r="X172" s="8" t="n">
        <v>1</v>
      </c>
      <c r="Y172" s="8" t="inlineStr">
        <is>
          <t>RBI x3: C Pettko (play #17 B1), T Roy/A Williams credited (play #17 B1), C Pettko (play #37 B3).</t>
        </is>
      </c>
    </row>
    <row r="173" ht="15.75" customHeight="1" s="35">
      <c r="A173" s="8" t="inlineStr">
        <is>
          <t>2026-03-07_ELNR_at_NRTH</t>
        </is>
      </c>
      <c r="B173" s="2" t="n">
        <v>46088</v>
      </c>
      <c r="C173" s="8" t="inlineStr">
        <is>
          <t>North Point Varsity Eagles</t>
        </is>
      </c>
      <c r="D173" s="8" t="inlineStr">
        <is>
          <t>NRTH</t>
        </is>
      </c>
      <c r="E173" s="8" t="inlineStr">
        <is>
          <t>A Harding</t>
        </is>
      </c>
      <c r="F173" s="8" t="n">
        <v>3</v>
      </c>
      <c r="G173" s="8" t="n">
        <v>2</v>
      </c>
      <c r="H173" s="8" t="n">
        <v>0</v>
      </c>
      <c r="I173" s="8" t="n">
        <v>0</v>
      </c>
      <c r="J173" s="8" t="n">
        <v>0</v>
      </c>
      <c r="K173" s="8" t="n">
        <v>0</v>
      </c>
      <c r="L173" s="8" t="n">
        <v>0</v>
      </c>
      <c r="M173" s="8" t="n">
        <v>0</v>
      </c>
      <c r="N173" s="8" t="n">
        <v>0</v>
      </c>
      <c r="O173" s="8" t="n">
        <v>0</v>
      </c>
      <c r="P173" s="8" t="n">
        <v>0</v>
      </c>
      <c r="Q173" s="8" t="n">
        <v>0</v>
      </c>
      <c r="R173" s="8" t="n">
        <v>1</v>
      </c>
      <c r="S173" s="8" t="n">
        <v>1</v>
      </c>
      <c r="T173" s="8" t="n">
        <v>0</v>
      </c>
      <c r="U173" s="8" t="n">
        <v>0</v>
      </c>
      <c r="V173" s="8" t="n">
        <v>0</v>
      </c>
      <c r="W173" s="8" t="n">
        <v>1</v>
      </c>
      <c r="X173" s="8" t="n">
        <v>0</v>
      </c>
      <c r="Y173" s="8" t="inlineStr">
        <is>
          <t>R B1 (play #12 on W Kwisnek single; advances 3rd on throw, scores on catcher error — no RBI). RBI on sac fly B3 (play #38, A Espejo scores). Also pitches T3 (entry inferred).</t>
        </is>
      </c>
    </row>
    <row r="174" ht="15.75" customHeight="1" s="35">
      <c r="A174" s="8" t="inlineStr">
        <is>
          <t>2026-03-07_ELNR_at_NRTH</t>
        </is>
      </c>
      <c r="B174" s="2" t="n">
        <v>46088</v>
      </c>
      <c r="C174" s="8" t="inlineStr">
        <is>
          <t>North Point Varsity Eagles</t>
        </is>
      </c>
      <c r="D174" s="8" t="inlineStr">
        <is>
          <t>NRTH</t>
        </is>
      </c>
      <c r="E174" s="8" t="inlineStr">
        <is>
          <t>Z Bowman</t>
        </is>
      </c>
      <c r="F174" s="8" t="n">
        <v>3</v>
      </c>
      <c r="G174" s="8" t="n">
        <v>3</v>
      </c>
      <c r="H174" s="8" t="n">
        <v>1</v>
      </c>
      <c r="I174" s="8" t="n">
        <v>1</v>
      </c>
      <c r="J174" s="8" t="n">
        <v>0</v>
      </c>
      <c r="K174" s="8" t="n">
        <v>0</v>
      </c>
      <c r="L174" s="8" t="n">
        <v>0</v>
      </c>
      <c r="M174" s="8" t="n">
        <v>0</v>
      </c>
      <c r="N174" s="8" t="n">
        <v>0</v>
      </c>
      <c r="O174" s="8" t="n">
        <v>0</v>
      </c>
      <c r="P174" s="8" t="n">
        <v>0</v>
      </c>
      <c r="Q174" s="8" t="n">
        <v>0</v>
      </c>
      <c r="R174" s="8" t="n">
        <v>3</v>
      </c>
      <c r="S174" s="8" t="n">
        <v>1</v>
      </c>
      <c r="T174" s="8" t="n">
        <v>0</v>
      </c>
      <c r="U174" s="8" t="n">
        <v>0</v>
      </c>
      <c r="V174" s="8" t="n">
        <v>0</v>
      </c>
      <c r="W174" s="8" t="n">
        <v>0</v>
      </c>
      <c r="X174" s="8" t="n">
        <v>1</v>
      </c>
      <c r="Y174" s="8" t="inlineStr">
        <is>
          <t>RBI on 1B B1 (play #10, A Espejo scores). R x3: B1 via W Kwisnek single; B2 via S Dixon error; B3 via E Zimmerman single. Also pitches T4 (inferred).</t>
        </is>
      </c>
    </row>
    <row r="175" ht="15.75" customHeight="1" s="35">
      <c r="A175" s="8" t="inlineStr">
        <is>
          <t>2026-03-07_ELNR_at_NRTH</t>
        </is>
      </c>
      <c r="B175" s="2" t="n">
        <v>46088</v>
      </c>
      <c r="C175" s="8" t="inlineStr">
        <is>
          <t>North Point Varsity Eagles</t>
        </is>
      </c>
      <c r="D175" s="8" t="inlineStr">
        <is>
          <t>NRTH</t>
        </is>
      </c>
      <c r="E175" s="8" t="inlineStr">
        <is>
          <t>E Zimmerman</t>
        </is>
      </c>
      <c r="F175" s="8" t="n">
        <v>4</v>
      </c>
      <c r="G175" s="8" t="n">
        <v>4</v>
      </c>
      <c r="H175" s="8" t="n">
        <v>1</v>
      </c>
      <c r="I175" s="8" t="n">
        <v>1</v>
      </c>
      <c r="J175" s="8" t="n">
        <v>0</v>
      </c>
      <c r="K175" s="8" t="n">
        <v>0</v>
      </c>
      <c r="L175" s="8" t="n">
        <v>0</v>
      </c>
      <c r="M175" s="8" t="n">
        <v>0</v>
      </c>
      <c r="N175" s="8" t="n">
        <v>0</v>
      </c>
      <c r="O175" s="8" t="n">
        <v>1</v>
      </c>
      <c r="P175" s="8" t="n">
        <v>0</v>
      </c>
      <c r="Q175" s="8" t="n">
        <v>1</v>
      </c>
      <c r="R175" s="8" t="n">
        <v>0</v>
      </c>
      <c r="S175" s="8" t="n">
        <v>1</v>
      </c>
      <c r="T175" s="8" t="n">
        <v>0</v>
      </c>
      <c r="U175" s="8" t="n">
        <v>0</v>
      </c>
      <c r="V175" s="8" t="n">
        <v>0</v>
      </c>
      <c r="W175" s="8" t="n">
        <v>0</v>
      </c>
      <c r="X175" s="8" t="n">
        <v>0</v>
      </c>
      <c r="Y175" s="8" t="inlineStr">
        <is>
          <t>K_S B1 (Seq#11). 1B B3 (play #40) with batter-runner out advancing to 2nd; see Flag #9.</t>
        </is>
      </c>
    </row>
    <row r="176" ht="15.75" customHeight="1" s="35">
      <c r="A176" s="8" t="inlineStr">
        <is>
          <t>2026-03-07_ELNR_at_NRTH</t>
        </is>
      </c>
      <c r="B176" s="2" t="n">
        <v>46088</v>
      </c>
      <c r="C176" s="8" t="inlineStr">
        <is>
          <t>North Point Varsity Eagles</t>
        </is>
      </c>
      <c r="D176" s="8" t="inlineStr">
        <is>
          <t>NRTH</t>
        </is>
      </c>
      <c r="E176" s="8" t="inlineStr">
        <is>
          <t>W Kwisnek</t>
        </is>
      </c>
      <c r="F176" s="8" t="n">
        <v>4</v>
      </c>
      <c r="G176" s="8" t="n">
        <v>4</v>
      </c>
      <c r="H176" s="8" t="n">
        <v>2</v>
      </c>
      <c r="I176" s="8" t="n">
        <v>1</v>
      </c>
      <c r="J176" s="8" t="n">
        <v>0</v>
      </c>
      <c r="K176" s="8" t="n">
        <v>0</v>
      </c>
      <c r="L176" s="8" t="n">
        <v>1</v>
      </c>
      <c r="M176" s="8" t="n">
        <v>0</v>
      </c>
      <c r="N176" s="8" t="n">
        <v>0</v>
      </c>
      <c r="O176" s="8" t="n">
        <v>0</v>
      </c>
      <c r="P176" s="8" t="n">
        <v>0</v>
      </c>
      <c r="Q176" s="8" t="n">
        <v>0</v>
      </c>
      <c r="R176" s="8" t="n">
        <v>2</v>
      </c>
      <c r="S176" s="8" t="n">
        <v>2</v>
      </c>
      <c r="T176" s="8" t="n">
        <v>0</v>
      </c>
      <c r="U176" s="8" t="n">
        <v>0</v>
      </c>
      <c r="V176" s="8" t="n">
        <v>0</v>
      </c>
      <c r="W176" s="8" t="n">
        <v>0</v>
      </c>
      <c r="X176" s="8" t="n">
        <v>0</v>
      </c>
      <c r="Y176" s="8" t="inlineStr">
        <is>
          <t>1B B1 (play #12): Z Bowman scores (RBI); A Harding scores on subsequent catcher error — no RBI for that run. Solo HR B4 (play #44, RBI). R: B1 via S Dixon single; B4 own HR.</t>
        </is>
      </c>
    </row>
    <row r="177" ht="15.75" customHeight="1" s="35">
      <c r="A177" s="8" t="inlineStr">
        <is>
          <t>2026-03-07_ELNR_at_NRTH</t>
        </is>
      </c>
      <c r="B177" s="2" t="n">
        <v>46088</v>
      </c>
      <c r="C177" s="8" t="inlineStr">
        <is>
          <t>North Point Varsity Eagles</t>
        </is>
      </c>
      <c r="D177" s="8" t="inlineStr">
        <is>
          <t>NRTH</t>
        </is>
      </c>
      <c r="E177" s="8" t="inlineStr">
        <is>
          <t>S Dixon</t>
        </is>
      </c>
      <c r="F177" s="8" t="n">
        <v>5</v>
      </c>
      <c r="G177" s="8" t="n">
        <v>4</v>
      </c>
      <c r="H177" s="8" t="n">
        <v>1</v>
      </c>
      <c r="I177" s="8" t="n">
        <v>1</v>
      </c>
      <c r="J177" s="8" t="n">
        <v>0</v>
      </c>
      <c r="K177" s="8" t="n">
        <v>0</v>
      </c>
      <c r="L177" s="8" t="n">
        <v>0</v>
      </c>
      <c r="M177" s="8" t="n">
        <v>1</v>
      </c>
      <c r="N177" s="8" t="n">
        <v>0</v>
      </c>
      <c r="O177" s="8" t="n">
        <v>0</v>
      </c>
      <c r="P177" s="8" t="n">
        <v>0</v>
      </c>
      <c r="Q177" s="8" t="n">
        <v>0</v>
      </c>
      <c r="R177" s="8" t="n">
        <v>1</v>
      </c>
      <c r="S177" s="8" t="n">
        <v>1</v>
      </c>
      <c r="T177" s="8" t="n">
        <v>2</v>
      </c>
      <c r="U177" s="8" t="n">
        <v>1</v>
      </c>
      <c r="V177" s="8" t="n">
        <v>0</v>
      </c>
      <c r="W177" s="8" t="n">
        <v>0</v>
      </c>
      <c r="X177" s="8" t="n">
        <v>0</v>
      </c>
      <c r="Y177" s="8" t="inlineStr">
        <is>
          <t>SB x2: 2nd (Seq#14 B1), 3rd (Seq#15 B1). CS B2 (play #28, Seq#28). R scored B1 on error during C Pettko walk (play #15) — no RBI. Advances to 2nd on WP before CS attempt; see Flag #6.</t>
        </is>
      </c>
    </row>
    <row r="178" ht="15.75" customHeight="1" s="35">
      <c r="A178" s="8" t="inlineStr">
        <is>
          <t>2026-03-07_ELNR_at_NRTH</t>
        </is>
      </c>
      <c r="B178" s="2" t="n">
        <v>46088</v>
      </c>
      <c r="C178" s="8" t="inlineStr">
        <is>
          <t>North Point Varsity Eagles</t>
        </is>
      </c>
      <c r="D178" s="8" t="inlineStr">
        <is>
          <t>NRTH</t>
        </is>
      </c>
      <c r="E178" s="8" t="inlineStr">
        <is>
          <t>A Williams</t>
        </is>
      </c>
      <c r="F178" s="8" t="n">
        <v>4</v>
      </c>
      <c r="G178" s="8" t="n">
        <v>1</v>
      </c>
      <c r="H178" s="8" t="n">
        <v>1</v>
      </c>
      <c r="I178" s="8" t="n">
        <v>0</v>
      </c>
      <c r="J178" s="8" t="n">
        <v>1</v>
      </c>
      <c r="K178" s="8" t="n">
        <v>0</v>
      </c>
      <c r="L178" s="8" t="n">
        <v>0</v>
      </c>
      <c r="M178" s="8" t="n">
        <v>2</v>
      </c>
      <c r="N178" s="8" t="n">
        <v>1</v>
      </c>
      <c r="O178" s="8" t="n">
        <v>0</v>
      </c>
      <c r="P178" s="8" t="n">
        <v>0</v>
      </c>
      <c r="Q178" s="8" t="n">
        <v>0</v>
      </c>
      <c r="R178" s="8" t="n">
        <v>2</v>
      </c>
      <c r="S178" s="8" t="n">
        <v>0</v>
      </c>
      <c r="T178" s="8" t="n">
        <v>0</v>
      </c>
      <c r="U178" s="8" t="n">
        <v>0</v>
      </c>
      <c r="V178" s="8" t="n">
        <v>0</v>
      </c>
      <c r="W178" s="8" t="n">
        <v>0</v>
      </c>
      <c r="X178" s="8" t="n">
        <v>0</v>
      </c>
      <c r="Y178" s="8" t="inlineStr">
        <is>
          <t>R x2 credited from CR T Roy per Flag #12: T Roy scores B1 (play #17); T Roy scores B3 (play #36 error). 2B B4 (play #46). HBP B3 (play #34).</t>
        </is>
      </c>
    </row>
    <row r="179" ht="15.75" customHeight="1" s="35">
      <c r="A179" s="8" t="inlineStr">
        <is>
          <t>2026-03-07_ELNR_at_NRTH</t>
        </is>
      </c>
      <c r="B179" s="2" t="n">
        <v>46088</v>
      </c>
      <c r="C179" s="8" t="inlineStr">
        <is>
          <t>North Point Varsity Eagles</t>
        </is>
      </c>
      <c r="D179" s="8" t="inlineStr">
        <is>
          <t>NRTH</t>
        </is>
      </c>
      <c r="E179" s="8" t="inlineStr">
        <is>
          <t>C Pettko</t>
        </is>
      </c>
      <c r="F179" s="8" t="n">
        <v>4</v>
      </c>
      <c r="G179" s="8" t="n">
        <v>2</v>
      </c>
      <c r="H179" s="8" t="n">
        <v>0</v>
      </c>
      <c r="I179" s="8" t="n">
        <v>0</v>
      </c>
      <c r="J179" s="8" t="n">
        <v>0</v>
      </c>
      <c r="K179" s="8" t="n">
        <v>0</v>
      </c>
      <c r="L179" s="8" t="n">
        <v>0</v>
      </c>
      <c r="M179" s="8" t="n">
        <v>2</v>
      </c>
      <c r="N179" s="8" t="n">
        <v>0</v>
      </c>
      <c r="O179" s="8" t="n">
        <v>0</v>
      </c>
      <c r="P179" s="8" t="n">
        <v>0</v>
      </c>
      <c r="Q179" s="8" t="n">
        <v>0</v>
      </c>
      <c r="R179" s="8" t="n">
        <v>2</v>
      </c>
      <c r="S179" s="8" t="n">
        <v>0</v>
      </c>
      <c r="T179" s="8" t="n">
        <v>0</v>
      </c>
      <c r="U179" s="8" t="n">
        <v>0</v>
      </c>
      <c r="V179" s="8" t="n">
        <v>0</v>
      </c>
      <c r="W179" s="8" t="n">
        <v>0</v>
      </c>
      <c r="X179" s="8" t="n">
        <v>0</v>
      </c>
      <c r="Y179" s="8" t="inlineStr">
        <is>
          <t>R: B1 (play #17 A Thomas single); B3 (play #37 A Thomas single). Also pitches T1-T2 (entry inferred — Flag #11).</t>
        </is>
      </c>
    </row>
    <row r="180" ht="15.75" customHeight="1" s="35">
      <c r="A180" s="8" t="inlineStr">
        <is>
          <t>2026-03-07_ELNR_at_NRTH</t>
        </is>
      </c>
      <c r="B180" s="2" t="n">
        <v>46088</v>
      </c>
      <c r="C180" s="8" t="inlineStr">
        <is>
          <t>North Point Varsity Eagles</t>
        </is>
      </c>
      <c r="D180" s="8" t="inlineStr">
        <is>
          <t>NRTH</t>
        </is>
      </c>
      <c r="E180" s="8" t="inlineStr">
        <is>
          <t>T Roy</t>
        </is>
      </c>
      <c r="F180" s="8" t="n">
        <v>1</v>
      </c>
      <c r="G180" s="8" t="n">
        <v>1</v>
      </c>
      <c r="H180" s="8" t="n">
        <v>1</v>
      </c>
      <c r="I180" s="8" t="n">
        <v>0</v>
      </c>
      <c r="J180" s="8" t="n">
        <v>1</v>
      </c>
      <c r="K180" s="8" t="n">
        <v>0</v>
      </c>
      <c r="L180" s="8" t="n">
        <v>0</v>
      </c>
      <c r="M180" s="8" t="n">
        <v>0</v>
      </c>
      <c r="N180" s="8" t="n">
        <v>0</v>
      </c>
      <c r="O180" s="8" t="n">
        <v>0</v>
      </c>
      <c r="P180" s="8" t="n">
        <v>0</v>
      </c>
      <c r="Q180" s="8" t="n">
        <v>0</v>
      </c>
      <c r="R180" s="8" t="n">
        <v>1</v>
      </c>
      <c r="S180" s="8" t="n">
        <v>0</v>
      </c>
      <c r="T180" s="8" t="n">
        <v>1</v>
      </c>
      <c r="U180" s="8" t="n">
        <v>0</v>
      </c>
      <c r="V180" s="8" t="n">
        <v>0</v>
      </c>
      <c r="W180" s="8" t="n">
        <v>0</v>
      </c>
      <c r="X180" s="8" t="n">
        <v>0</v>
      </c>
      <c r="Y180" s="8" t="inlineStr">
        <is>
          <t>CR for A Williams in B1 (play #15) and B3 (play #35) — runs scored as CR credited to A Williams (Flag #12). SB as CR in B1 (Seq#15). Bats independently B5 (play #55, 2B); R scored B5 (play #56, after advancing 3rd on WP Seq#55).</t>
        </is>
      </c>
    </row>
    <row r="181" ht="15.75" customHeight="1" s="35">
      <c r="A181" s="8" t="inlineStr">
        <is>
          <t>2026-03-07_ELNR_at_NRTH</t>
        </is>
      </c>
      <c r="B181" s="2" t="n">
        <v>46088</v>
      </c>
      <c r="C181" s="8" t="inlineStr">
        <is>
          <t>North Point Varsity Eagles</t>
        </is>
      </c>
      <c r="D181" s="8" t="inlineStr">
        <is>
          <t>NRTH</t>
        </is>
      </c>
      <c r="E181" s="8" t="inlineStr">
        <is>
          <t>J Smith</t>
        </is>
      </c>
      <c r="F181" s="8" t="n">
        <v>1</v>
      </c>
      <c r="G181" s="8" t="n">
        <v>1</v>
      </c>
      <c r="H181" s="8" t="n">
        <v>0</v>
      </c>
      <c r="I181" s="8" t="n">
        <v>0</v>
      </c>
      <c r="J181" s="8" t="n">
        <v>0</v>
      </c>
      <c r="K181" s="8" t="n">
        <v>0</v>
      </c>
      <c r="L181" s="8" t="n">
        <v>0</v>
      </c>
      <c r="M181" s="8" t="n">
        <v>0</v>
      </c>
      <c r="N181" s="8" t="n">
        <v>0</v>
      </c>
      <c r="O181" s="8" t="n">
        <v>0</v>
      </c>
      <c r="P181" s="8" t="n">
        <v>0</v>
      </c>
      <c r="Q181" s="8" t="n">
        <v>0</v>
      </c>
      <c r="R181" s="8" t="n">
        <v>0</v>
      </c>
      <c r="S181" s="8" t="n">
        <v>1</v>
      </c>
      <c r="T181" s="8" t="n">
        <v>0</v>
      </c>
      <c r="U181" s="8" t="n">
        <v>0</v>
      </c>
      <c r="V181" s="8" t="n">
        <v>0</v>
      </c>
      <c r="W181" s="8" t="n">
        <v>0</v>
      </c>
      <c r="X181" s="8" t="n">
        <v>0</v>
      </c>
      <c r="Y181" s="8" t="inlineStr">
        <is>
          <t>Also pitches T5. RBI on ground out B5 (play #56, T Roy scores).</t>
        </is>
      </c>
    </row>
    <row r="182" ht="15.75" customHeight="1" s="35">
      <c r="A182" s="8" t="inlineStr">
        <is>
          <t>2026-03-14_NRTH_at_ARND</t>
        </is>
      </c>
      <c r="B182" s="2" t="n">
        <v>46095</v>
      </c>
      <c r="C182" s="8" t="inlineStr">
        <is>
          <t>ARND</t>
        </is>
      </c>
      <c r="D182" s="8" t="inlineStr">
        <is>
          <t>NRTH</t>
        </is>
      </c>
      <c r="E182" s="8" t="inlineStr">
        <is>
          <t>A Espejo</t>
        </is>
      </c>
      <c r="F182" s="8" t="n">
        <v>3</v>
      </c>
      <c r="G182" s="8" t="n">
        <v>3</v>
      </c>
      <c r="H182" s="8" t="n">
        <v>1</v>
      </c>
      <c r="I182" s="8" t="n">
        <v>0</v>
      </c>
      <c r="J182" s="8" t="n">
        <v>1</v>
      </c>
      <c r="K182" s="8" t="n">
        <v>0</v>
      </c>
      <c r="L182" s="8" t="n">
        <v>0</v>
      </c>
      <c r="M182" s="8" t="n">
        <v>0</v>
      </c>
      <c r="N182" s="8" t="n">
        <v>0</v>
      </c>
      <c r="O182" s="8" t="n">
        <v>1</v>
      </c>
      <c r="P182" s="8" t="n">
        <v>0</v>
      </c>
      <c r="Q182" s="8" t="n">
        <v>1</v>
      </c>
      <c r="R182" s="8" t="n">
        <v>0</v>
      </c>
      <c r="S182" s="8" t="n">
        <v>0</v>
      </c>
      <c r="T182" s="8" t="n">
        <v>0</v>
      </c>
      <c r="U182" s="8" t="n">
        <v>0</v>
      </c>
      <c r="V182" s="8" t="n">
        <v>0</v>
      </c>
      <c r="W182" s="8" t="n">
        <v>0</v>
      </c>
      <c r="X182" s="8" t="n">
        <v>0</v>
      </c>
      <c r="Y182" s="8" t="inlineStr">
        <is>
          <t>2B T1 play#1; K_S T3 Seq#29</t>
        </is>
      </c>
    </row>
    <row r="183" ht="15.75" customHeight="1" s="35">
      <c r="A183" s="8" t="inlineStr">
        <is>
          <t>2026-03-14_NRTH_at_ARND</t>
        </is>
      </c>
      <c r="B183" s="2" t="n">
        <v>46095</v>
      </c>
      <c r="C183" s="8" t="inlineStr">
        <is>
          <t>ARND</t>
        </is>
      </c>
      <c r="D183" s="8" t="inlineStr">
        <is>
          <t>NRTH</t>
        </is>
      </c>
      <c r="E183" s="8" t="inlineStr">
        <is>
          <t>A Thomas</t>
        </is>
      </c>
      <c r="F183" s="8" t="n">
        <v>2</v>
      </c>
      <c r="G183" s="8" t="n">
        <v>2</v>
      </c>
      <c r="H183" s="8" t="n">
        <v>0</v>
      </c>
      <c r="I183" s="8" t="n">
        <v>0</v>
      </c>
      <c r="J183" s="8" t="n">
        <v>0</v>
      </c>
      <c r="K183" s="8" t="n">
        <v>0</v>
      </c>
      <c r="L183" s="8" t="n">
        <v>0</v>
      </c>
      <c r="M183" s="8" t="n">
        <v>0</v>
      </c>
      <c r="N183" s="8" t="n">
        <v>0</v>
      </c>
      <c r="O183" s="8" t="n">
        <v>0</v>
      </c>
      <c r="P183" s="8" t="n">
        <v>0</v>
      </c>
      <c r="Q183" s="8" t="n">
        <v>0</v>
      </c>
      <c r="R183" s="8" t="n">
        <v>0</v>
      </c>
      <c r="S183" s="8" t="n">
        <v>0</v>
      </c>
      <c r="T183" s="8" t="n">
        <v>0</v>
      </c>
      <c r="U183" s="8" t="n">
        <v>0</v>
      </c>
      <c r="V183" s="8" t="n">
        <v>0</v>
      </c>
      <c r="W183" s="8" t="n">
        <v>0</v>
      </c>
      <c r="X183" s="8" t="n">
        <v>0</v>
      </c>
      <c r="Y183" s="8" t="inlineStr">
        <is>
          <t>FO T1 play#2; LO T4 play#36; E play#62 (2B)</t>
        </is>
      </c>
    </row>
    <row r="184" ht="15.75" customHeight="1" s="35">
      <c r="A184" s="8" t="inlineStr">
        <is>
          <t>2026-03-14_NRTH_at_ARND</t>
        </is>
      </c>
      <c r="B184" s="2" t="n">
        <v>46095</v>
      </c>
      <c r="C184" s="8" t="inlineStr">
        <is>
          <t>ARND</t>
        </is>
      </c>
      <c r="D184" s="8" t="inlineStr">
        <is>
          <t>NRTH</t>
        </is>
      </c>
      <c r="E184" s="8" t="inlineStr">
        <is>
          <t>A Harding</t>
        </is>
      </c>
      <c r="F184" s="8" t="n">
        <v>3</v>
      </c>
      <c r="G184" s="8" t="n">
        <v>2</v>
      </c>
      <c r="H184" s="8" t="n">
        <v>0</v>
      </c>
      <c r="I184" s="8" t="n">
        <v>0</v>
      </c>
      <c r="J184" s="8" t="n">
        <v>0</v>
      </c>
      <c r="K184" s="8" t="n">
        <v>0</v>
      </c>
      <c r="L184" s="8" t="n">
        <v>0</v>
      </c>
      <c r="M184" s="8" t="n">
        <v>1</v>
      </c>
      <c r="N184" s="8" t="n">
        <v>0</v>
      </c>
      <c r="O184" s="8" t="n">
        <v>1</v>
      </c>
      <c r="P184" s="8" t="n">
        <v>0</v>
      </c>
      <c r="Q184" s="8" t="n">
        <v>1</v>
      </c>
      <c r="R184" s="8" t="n">
        <v>0</v>
      </c>
      <c r="S184" s="8" t="n">
        <v>0</v>
      </c>
      <c r="T184" s="8" t="n">
        <v>0</v>
      </c>
      <c r="U184" s="8" t="n">
        <v>0</v>
      </c>
      <c r="V184" s="8" t="n">
        <v>0</v>
      </c>
      <c r="W184" s="8" t="n">
        <v>0</v>
      </c>
      <c r="X184" s="8" t="n">
        <v>0</v>
      </c>
      <c r="Y184" s="8" t="inlineStr">
        <is>
          <t>K_S T1 Seq#3; BB T4 play#37; E plays#8,#43,#54 (SS)</t>
        </is>
      </c>
    </row>
    <row r="185" ht="15.75" customHeight="1" s="35">
      <c r="A185" s="8" t="inlineStr">
        <is>
          <t>2026-03-14_NRTH_at_ARND</t>
        </is>
      </c>
      <c r="B185" s="2" t="n">
        <v>46095</v>
      </c>
      <c r="C185" s="8" t="inlineStr">
        <is>
          <t>ARND</t>
        </is>
      </c>
      <c r="D185" s="8" t="inlineStr">
        <is>
          <t>NRTH</t>
        </is>
      </c>
      <c r="E185" s="8" t="inlineStr">
        <is>
          <t>Z Bowman</t>
        </is>
      </c>
      <c r="F185" s="8" t="n">
        <v>2</v>
      </c>
      <c r="G185" s="8" t="n">
        <v>2</v>
      </c>
      <c r="H185" s="8" t="n">
        <v>0</v>
      </c>
      <c r="I185" s="8" t="n">
        <v>0</v>
      </c>
      <c r="J185" s="8" t="n">
        <v>0</v>
      </c>
      <c r="K185" s="8" t="n">
        <v>0</v>
      </c>
      <c r="L185" s="8" t="n">
        <v>0</v>
      </c>
      <c r="M185" s="8" t="n">
        <v>0</v>
      </c>
      <c r="N185" s="8" t="n">
        <v>0</v>
      </c>
      <c r="O185" s="8" t="n">
        <v>0</v>
      </c>
      <c r="P185" s="8" t="n">
        <v>0</v>
      </c>
      <c r="Q185" s="8" t="n">
        <v>0</v>
      </c>
      <c r="R185" s="8" t="n">
        <v>0</v>
      </c>
      <c r="S185" s="8" t="n">
        <v>0</v>
      </c>
      <c r="T185" s="8" t="n">
        <v>0</v>
      </c>
      <c r="U185" s="8" t="n">
        <v>0</v>
      </c>
      <c r="V185" s="8" t="n">
        <v>0</v>
      </c>
      <c r="W185" s="8" t="n">
        <v>0</v>
      </c>
      <c r="X185" s="8" t="n">
        <v>1</v>
      </c>
      <c r="Y185" s="8" t="inlineStr">
        <is>
          <t>GO T1 play#4; FC T4 play#38</t>
        </is>
      </c>
    </row>
    <row r="186" ht="15.75" customHeight="1" s="35">
      <c r="A186" s="8" t="inlineStr">
        <is>
          <t>2026-03-14_NRTH_at_ARND</t>
        </is>
      </c>
      <c r="B186" s="2" t="n">
        <v>46095</v>
      </c>
      <c r="C186" s="8" t="inlineStr">
        <is>
          <t>ARND</t>
        </is>
      </c>
      <c r="D186" s="8" t="inlineStr">
        <is>
          <t>NRTH</t>
        </is>
      </c>
      <c r="E186" s="8" t="inlineStr">
        <is>
          <t>E Zimmerman</t>
        </is>
      </c>
      <c r="F186" s="8" t="n">
        <v>2</v>
      </c>
      <c r="G186" s="8" t="n">
        <v>2</v>
      </c>
      <c r="H186" s="8" t="n">
        <v>0</v>
      </c>
      <c r="I186" s="8" t="n">
        <v>0</v>
      </c>
      <c r="J186" s="8" t="n">
        <v>0</v>
      </c>
      <c r="K186" s="8" t="n">
        <v>0</v>
      </c>
      <c r="L186" s="8" t="n">
        <v>0</v>
      </c>
      <c r="M186" s="8" t="n">
        <v>0</v>
      </c>
      <c r="N186" s="8" t="n">
        <v>0</v>
      </c>
      <c r="O186" s="8" t="n">
        <v>1</v>
      </c>
      <c r="P186" s="8" t="n">
        <v>0</v>
      </c>
      <c r="Q186" s="8" t="n">
        <v>1</v>
      </c>
      <c r="R186" s="8" t="n">
        <v>0</v>
      </c>
      <c r="S186" s="8" t="n">
        <v>0</v>
      </c>
      <c r="T186" s="8" t="n">
        <v>0</v>
      </c>
      <c r="U186" s="8" t="n">
        <v>0</v>
      </c>
      <c r="V186" s="8" t="n">
        <v>0</v>
      </c>
      <c r="W186" s="8" t="n">
        <v>0</v>
      </c>
      <c r="X186" s="8" t="n">
        <v>0</v>
      </c>
      <c r="Y186" s="8" t="inlineStr">
        <is>
          <t>Dropped 3rd strike T2 play#12 (K_S Seq#12); GO T4 play#39</t>
        </is>
      </c>
    </row>
    <row r="187" ht="15.75" customHeight="1" s="35">
      <c r="A187" s="8" t="inlineStr">
        <is>
          <t>2026-03-14_NRTH_at_ARND</t>
        </is>
      </c>
      <c r="B187" s="2" t="n">
        <v>46095</v>
      </c>
      <c r="C187" s="8" t="inlineStr">
        <is>
          <t>ARND</t>
        </is>
      </c>
      <c r="D187" s="8" t="inlineStr">
        <is>
          <t>NRTH</t>
        </is>
      </c>
      <c r="E187" s="8" t="inlineStr">
        <is>
          <t>W Kwisnek</t>
        </is>
      </c>
      <c r="F187" s="8" t="n">
        <v>2</v>
      </c>
      <c r="G187" s="8" t="n">
        <v>2</v>
      </c>
      <c r="H187" s="8" t="n">
        <v>1</v>
      </c>
      <c r="I187" s="8" t="n">
        <v>0</v>
      </c>
      <c r="J187" s="8" t="n">
        <v>1</v>
      </c>
      <c r="K187" s="8" t="n">
        <v>0</v>
      </c>
      <c r="L187" s="8" t="n">
        <v>0</v>
      </c>
      <c r="M187" s="8" t="n">
        <v>0</v>
      </c>
      <c r="N187" s="8" t="n">
        <v>0</v>
      </c>
      <c r="O187" s="8" t="n">
        <v>1</v>
      </c>
      <c r="P187" s="8" t="n">
        <v>0</v>
      </c>
      <c r="Q187" s="8" t="n">
        <v>1</v>
      </c>
      <c r="R187" s="8" t="n">
        <v>1</v>
      </c>
      <c r="S187" s="8" t="n">
        <v>0</v>
      </c>
      <c r="T187" s="8" t="n">
        <v>0</v>
      </c>
      <c r="U187" s="8" t="n">
        <v>0</v>
      </c>
      <c r="V187" s="8" t="n">
        <v>0</v>
      </c>
      <c r="W187" s="8" t="n">
        <v>0</v>
      </c>
      <c r="X187" s="8" t="n">
        <v>0</v>
      </c>
      <c r="Y187" s="8" t="inlineStr">
        <is>
          <t>K_S T2 Seq#13; 2B T5 play#50; R scored T5 on WP play#52 (during A Williams AB); see Flag#8</t>
        </is>
      </c>
    </row>
    <row r="188" ht="15.75" customHeight="1" s="35">
      <c r="A188" s="8" t="inlineStr">
        <is>
          <t>2026-03-14_NRTH_at_ARND</t>
        </is>
      </c>
      <c r="B188" s="2" t="n">
        <v>46095</v>
      </c>
      <c r="C188" s="8" t="inlineStr">
        <is>
          <t>ARND</t>
        </is>
      </c>
      <c r="D188" s="8" t="inlineStr">
        <is>
          <t>NRTH</t>
        </is>
      </c>
      <c r="E188" s="8" t="inlineStr">
        <is>
          <t>S Dixon</t>
        </is>
      </c>
      <c r="F188" s="8" t="n">
        <v>2</v>
      </c>
      <c r="G188" s="8" t="n">
        <v>1</v>
      </c>
      <c r="H188" s="8" t="n">
        <v>0</v>
      </c>
      <c r="I188" s="8" t="n">
        <v>0</v>
      </c>
      <c r="J188" s="8" t="n">
        <v>0</v>
      </c>
      <c r="K188" s="8" t="n">
        <v>0</v>
      </c>
      <c r="L188" s="8" t="n">
        <v>0</v>
      </c>
      <c r="M188" s="8" t="n">
        <v>1</v>
      </c>
      <c r="N188" s="8" t="n">
        <v>0</v>
      </c>
      <c r="O188" s="8" t="n">
        <v>1</v>
      </c>
      <c r="P188" s="8" t="n">
        <v>1</v>
      </c>
      <c r="Q188" s="8" t="n">
        <v>0</v>
      </c>
      <c r="R188" s="8" t="n">
        <v>0</v>
      </c>
      <c r="S188" s="8" t="n">
        <v>0</v>
      </c>
      <c r="T188" s="8" t="n">
        <v>1</v>
      </c>
      <c r="U188" s="8" t="n">
        <v>0</v>
      </c>
      <c r="V188" s="8" t="n">
        <v>0</v>
      </c>
      <c r="W188" s="8" t="n">
        <v>0</v>
      </c>
      <c r="X188" s="8" t="n">
        <v>0</v>
      </c>
      <c r="Y188" s="8" t="inlineStr">
        <is>
          <t>BB T2 play#14; SB 2nd T2 Seq#15; K_L T5 Seq#51; see Flag#10</t>
        </is>
      </c>
    </row>
    <row r="189" ht="15.75" customHeight="1" s="35">
      <c r="A189" s="8" t="inlineStr">
        <is>
          <t>2026-03-14_NRTH_at_ARND</t>
        </is>
      </c>
      <c r="B189" s="2" t="n">
        <v>46095</v>
      </c>
      <c r="C189" s="8" t="inlineStr">
        <is>
          <t>ARND</t>
        </is>
      </c>
      <c r="D189" s="8" t="inlineStr">
        <is>
          <t>NRTH</t>
        </is>
      </c>
      <c r="E189" s="8" t="inlineStr">
        <is>
          <t>A Williams</t>
        </is>
      </c>
      <c r="F189" s="8" t="n">
        <v>2</v>
      </c>
      <c r="G189" s="8" t="n">
        <v>2</v>
      </c>
      <c r="H189" s="8" t="n">
        <v>0</v>
      </c>
      <c r="I189" s="8" t="n">
        <v>0</v>
      </c>
      <c r="J189" s="8" t="n">
        <v>0</v>
      </c>
      <c r="K189" s="8" t="n">
        <v>0</v>
      </c>
      <c r="L189" s="8" t="n">
        <v>0</v>
      </c>
      <c r="M189" s="8" t="n">
        <v>0</v>
      </c>
      <c r="N189" s="8" t="n">
        <v>0</v>
      </c>
      <c r="O189" s="8" t="n">
        <v>2</v>
      </c>
      <c r="P189" s="8" t="n">
        <v>0</v>
      </c>
      <c r="Q189" s="8" t="n">
        <v>2</v>
      </c>
      <c r="R189" s="8" t="n">
        <v>0</v>
      </c>
      <c r="S189" s="8" t="n">
        <v>0</v>
      </c>
      <c r="T189" s="8" t="n">
        <v>0</v>
      </c>
      <c r="U189" s="8" t="n">
        <v>0</v>
      </c>
      <c r="V189" s="8" t="n">
        <v>0</v>
      </c>
      <c r="W189" s="8" t="n">
        <v>0</v>
      </c>
      <c r="X189" s="8" t="n">
        <v>0</v>
      </c>
      <c r="Y189" s="8" t="inlineStr">
        <is>
          <t>K_S T2 Seq#15; K_S T5 Seq#52; E plays#41,#43 (C)</t>
        </is>
      </c>
    </row>
    <row r="190" ht="15.75" customHeight="1" s="35">
      <c r="A190" s="8" t="inlineStr">
        <is>
          <t>2026-03-14_NRTH_at_ARND</t>
        </is>
      </c>
      <c r="B190" s="2" t="n">
        <v>46095</v>
      </c>
      <c r="C190" s="8" t="inlineStr">
        <is>
          <t>ARND</t>
        </is>
      </c>
      <c r="D190" s="8" t="inlineStr">
        <is>
          <t>NRTH</t>
        </is>
      </c>
      <c r="E190" s="8" t="inlineStr">
        <is>
          <t>C Pettko</t>
        </is>
      </c>
      <c r="F190" s="8" t="n">
        <v>2</v>
      </c>
      <c r="G190" s="8" t="n">
        <v>2</v>
      </c>
      <c r="H190" s="8" t="n">
        <v>0</v>
      </c>
      <c r="I190" s="8" t="n">
        <v>0</v>
      </c>
      <c r="J190" s="8" t="n">
        <v>0</v>
      </c>
      <c r="K190" s="8" t="n">
        <v>0</v>
      </c>
      <c r="L190" s="8" t="n">
        <v>0</v>
      </c>
      <c r="M190" s="8" t="n">
        <v>0</v>
      </c>
      <c r="N190" s="8" t="n">
        <v>0</v>
      </c>
      <c r="O190" s="8" t="n">
        <v>1</v>
      </c>
      <c r="P190" s="8" t="n">
        <v>1</v>
      </c>
      <c r="Q190" s="8" t="n">
        <v>0</v>
      </c>
      <c r="R190" s="8" t="n">
        <v>0</v>
      </c>
      <c r="S190" s="8" t="n">
        <v>0</v>
      </c>
      <c r="T190" s="8" t="n">
        <v>0</v>
      </c>
      <c r="U190" s="8" t="n">
        <v>0</v>
      </c>
      <c r="V190" s="8" t="n">
        <v>0</v>
      </c>
      <c r="W190" s="8" t="n">
        <v>0</v>
      </c>
      <c r="X190" s="8" t="n">
        <v>0</v>
      </c>
      <c r="Y190" s="8" t="inlineStr">
        <is>
          <t>K_L T3 Seq#27; FO T5 play#53</t>
        </is>
      </c>
    </row>
    <row r="191" ht="15.75" customHeight="1" s="35">
      <c r="A191" s="8" t="inlineStr">
        <is>
          <t>2026-03-14_NRTH_at_ARND</t>
        </is>
      </c>
      <c r="B191" s="2" t="n">
        <v>46095</v>
      </c>
      <c r="C191" s="8" t="inlineStr">
        <is>
          <t>ARND</t>
        </is>
      </c>
      <c r="D191" s="8" t="inlineStr">
        <is>
          <t>NRTH</t>
        </is>
      </c>
      <c r="E191" s="8" t="inlineStr">
        <is>
          <t>T Roy</t>
        </is>
      </c>
      <c r="F191" s="8" t="n">
        <v>1</v>
      </c>
      <c r="G191" s="8" t="n">
        <v>1</v>
      </c>
      <c r="H191" s="8" t="n">
        <v>0</v>
      </c>
      <c r="I191" s="8" t="n">
        <v>0</v>
      </c>
      <c r="J191" s="8" t="n">
        <v>0</v>
      </c>
      <c r="K191" s="8" t="n">
        <v>0</v>
      </c>
      <c r="L191" s="8" t="n">
        <v>0</v>
      </c>
      <c r="M191" s="8" t="n">
        <v>0</v>
      </c>
      <c r="N191" s="8" t="n">
        <v>0</v>
      </c>
      <c r="O191" s="8" t="n">
        <v>1</v>
      </c>
      <c r="P191" s="8" t="n">
        <v>0</v>
      </c>
      <c r="Q191" s="8" t="n">
        <v>1</v>
      </c>
      <c r="R191" s="8" t="n">
        <v>0</v>
      </c>
      <c r="S191" s="8" t="n">
        <v>0</v>
      </c>
      <c r="T191" s="8" t="n">
        <v>0</v>
      </c>
      <c r="U191" s="8" t="n">
        <v>0</v>
      </c>
      <c r="V191" s="8" t="n">
        <v>0</v>
      </c>
      <c r="W191" s="8" t="n">
        <v>0</v>
      </c>
      <c r="X191" s="8" t="n">
        <v>0</v>
      </c>
      <c r="Y191" s="8" t="inlineStr">
        <is>
          <t>K_S T3 Seq#28</t>
        </is>
      </c>
    </row>
    <row r="192" ht="15.75" customHeight="1" s="35">
      <c r="A192" s="8" t="inlineStr">
        <is>
          <t>2026-03-14_NRTH_at_ARND</t>
        </is>
      </c>
      <c r="B192" s="2" t="n">
        <v>46095</v>
      </c>
      <c r="C192" s="8" t="inlineStr">
        <is>
          <t>NRTH</t>
        </is>
      </c>
      <c r="D192" s="8" t="inlineStr">
        <is>
          <t>ARND</t>
        </is>
      </c>
      <c r="E192" s="8" t="inlineStr">
        <is>
          <t>L Gamble</t>
        </is>
      </c>
      <c r="F192" s="8" t="n">
        <v>3</v>
      </c>
      <c r="G192" s="8" t="n">
        <v>0</v>
      </c>
      <c r="H192" s="8" t="n">
        <v>0</v>
      </c>
      <c r="I192" s="8" t="n">
        <v>0</v>
      </c>
      <c r="J192" s="8" t="n">
        <v>0</v>
      </c>
      <c r="K192" s="8" t="n">
        <v>0</v>
      </c>
      <c r="L192" s="8" t="n">
        <v>0</v>
      </c>
      <c r="M192" s="8" t="n">
        <v>1</v>
      </c>
      <c r="N192" s="8" t="n">
        <v>2</v>
      </c>
      <c r="O192" s="8" t="n">
        <v>0</v>
      </c>
      <c r="P192" s="8" t="n">
        <v>0</v>
      </c>
      <c r="Q192" s="8" t="n">
        <v>0</v>
      </c>
      <c r="R192" s="8" t="n">
        <v>2</v>
      </c>
      <c r="S192" s="8" t="n">
        <v>0</v>
      </c>
      <c r="T192" s="8" t="n">
        <v>2</v>
      </c>
      <c r="U192" s="8" t="n">
        <v>0</v>
      </c>
      <c r="V192" s="8" t="n">
        <v>0</v>
      </c>
      <c r="W192" s="8" t="n">
        <v>0</v>
      </c>
      <c r="X192" s="8" t="n">
        <v>0</v>
      </c>
      <c r="Y192" s="8" t="inlineStr">
        <is>
          <t>HBP B1 play#5, B2 play#19; BB B3 play#33; R: plays#6,#22(WP); SB x2 Seq#21(B2),Seq#34(B3); see Flags#8,#10</t>
        </is>
      </c>
    </row>
    <row r="193" ht="15.75" customHeight="1" s="35">
      <c r="A193" s="8" t="inlineStr">
        <is>
          <t>2026-03-14_NRTH_at_ARND</t>
        </is>
      </c>
      <c r="B193" s="2" t="n">
        <v>46095</v>
      </c>
      <c r="C193" s="8" t="inlineStr">
        <is>
          <t>NRTH</t>
        </is>
      </c>
      <c r="D193" s="8" t="inlineStr">
        <is>
          <t>ARND</t>
        </is>
      </c>
      <c r="E193" s="8" t="inlineStr">
        <is>
          <t>J Bailey</t>
        </is>
      </c>
      <c r="F193" s="8" t="n">
        <v>5</v>
      </c>
      <c r="G193" s="8" t="n">
        <v>4</v>
      </c>
      <c r="H193" s="8" t="n">
        <v>2</v>
      </c>
      <c r="I193" s="8" t="n">
        <v>2</v>
      </c>
      <c r="J193" s="8" t="n">
        <v>0</v>
      </c>
      <c r="K193" s="8" t="n">
        <v>0</v>
      </c>
      <c r="L193" s="8" t="n">
        <v>0</v>
      </c>
      <c r="M193" s="8" t="n">
        <v>1</v>
      </c>
      <c r="N193" s="8" t="n">
        <v>0</v>
      </c>
      <c r="O193" s="8" t="n">
        <v>0</v>
      </c>
      <c r="P193" s="8" t="n">
        <v>0</v>
      </c>
      <c r="Q193" s="8" t="n">
        <v>0</v>
      </c>
      <c r="R193" s="8" t="n">
        <v>5</v>
      </c>
      <c r="S193" s="8" t="n">
        <v>3</v>
      </c>
      <c r="T193" s="8" t="n">
        <v>2</v>
      </c>
      <c r="U193" s="8" t="n">
        <v>0</v>
      </c>
      <c r="V193" s="8" t="n">
        <v>0</v>
      </c>
      <c r="W193" s="8" t="n">
        <v>0</v>
      </c>
      <c r="X193" s="8" t="n">
        <v>0</v>
      </c>
      <c r="Y193" s="8" t="inlineStr">
        <is>
          <t>E B1 play#6; 1B B2 play#20 (RBI x2); BB B3 play#34; E B4 play#43; 1B B5 play#57 (RBI x1); R: plays#7,#23,#47,#58; play#25 anomalous (Flag#4); SB x2 Seq#21(B2),Seq#45(B4); see Flags#3,#4,#10; play#25 J Bailey scores also logged (Flag#4 anomaly — cannot score twice without re-reaching base; recorded as logged)</t>
        </is>
      </c>
    </row>
    <row r="194" ht="15.75" customHeight="1" s="35">
      <c r="A194" s="8" t="inlineStr">
        <is>
          <t>2026-03-14_NRTH_at_ARND</t>
        </is>
      </c>
      <c r="B194" s="2" t="n">
        <v>46095</v>
      </c>
      <c r="C194" s="8" t="inlineStr">
        <is>
          <t>NRTH</t>
        </is>
      </c>
      <c r="D194" s="8" t="inlineStr">
        <is>
          <t>ARND</t>
        </is>
      </c>
      <c r="E194" s="8" t="inlineStr">
        <is>
          <t>G O'Donnell</t>
        </is>
      </c>
      <c r="F194" s="8" t="n">
        <v>3</v>
      </c>
      <c r="G194" s="8" t="n">
        <v>2</v>
      </c>
      <c r="H194" s="8" t="n">
        <v>1</v>
      </c>
      <c r="I194" s="8" t="n">
        <v>0</v>
      </c>
      <c r="J194" s="8" t="n">
        <v>1</v>
      </c>
      <c r="K194" s="8" t="n">
        <v>0</v>
      </c>
      <c r="L194" s="8" t="n">
        <v>0</v>
      </c>
      <c r="M194" s="8" t="n">
        <v>1</v>
      </c>
      <c r="N194" s="8" t="n">
        <v>0</v>
      </c>
      <c r="O194" s="8" t="n">
        <v>0</v>
      </c>
      <c r="P194" s="8" t="n">
        <v>0</v>
      </c>
      <c r="Q194" s="8" t="n">
        <v>0</v>
      </c>
      <c r="R194" s="8" t="n">
        <v>1</v>
      </c>
      <c r="S194" s="8" t="n">
        <v>1</v>
      </c>
      <c r="T194" s="8" t="n">
        <v>0</v>
      </c>
      <c r="U194" s="8" t="n">
        <v>0</v>
      </c>
      <c r="V194" s="8" t="n">
        <v>0</v>
      </c>
      <c r="W194" s="8" t="n">
        <v>0</v>
      </c>
      <c r="X194" s="8" t="n">
        <v>0</v>
      </c>
      <c r="Y194" s="8" t="inlineStr">
        <is>
          <t>2B B1 play#7 (RBI J Bailey); BB B2 play#21; FO B3 play#35; CR J Perry in B2 play#23; R via CR J Perry play#26 WP; see Flags#4,#8</t>
        </is>
      </c>
    </row>
    <row r="195" ht="15.75" customHeight="1" s="35">
      <c r="A195" s="8" t="inlineStr">
        <is>
          <t>2026-03-14_NRTH_at_ARND</t>
        </is>
      </c>
      <c r="B195" s="2" t="n">
        <v>46095</v>
      </c>
      <c r="C195" s="8" t="inlineStr">
        <is>
          <t>NRTH</t>
        </is>
      </c>
      <c r="D195" s="8" t="inlineStr">
        <is>
          <t>ARND</t>
        </is>
      </c>
      <c r="E195" s="8" t="inlineStr">
        <is>
          <t>B Gardner</t>
        </is>
      </c>
      <c r="F195" s="8" t="n">
        <v>4</v>
      </c>
      <c r="G195" s="8" t="n">
        <v>1</v>
      </c>
      <c r="H195" s="8" t="n">
        <v>0</v>
      </c>
      <c r="I195" s="8" t="n">
        <v>0</v>
      </c>
      <c r="J195" s="8" t="n">
        <v>0</v>
      </c>
      <c r="K195" s="8" t="n">
        <v>0</v>
      </c>
      <c r="L195" s="8" t="n">
        <v>0</v>
      </c>
      <c r="M195" s="8" t="n">
        <v>2</v>
      </c>
      <c r="N195" s="8" t="n">
        <v>0</v>
      </c>
      <c r="O195" s="8" t="n">
        <v>1</v>
      </c>
      <c r="P195" s="8" t="n">
        <v>1</v>
      </c>
      <c r="Q195" s="8" t="n">
        <v>0</v>
      </c>
      <c r="R195" s="8" t="n">
        <v>1</v>
      </c>
      <c r="S195" s="8" t="n">
        <v>0</v>
      </c>
      <c r="T195" s="8" t="n">
        <v>2</v>
      </c>
      <c r="U195" s="8" t="n">
        <v>0</v>
      </c>
      <c r="V195" s="8" t="n">
        <v>0</v>
      </c>
      <c r="W195" s="8" t="n">
        <v>0</v>
      </c>
      <c r="X195" s="8" t="n">
        <v>0</v>
      </c>
      <c r="Y195" s="8" t="inlineStr">
        <is>
          <t>E B1 play#8; BB B2 play#22; K_L B2 Seq#24; BB B4 play#40; R play#41 on E (A Williams); SB x2 B4 Seq#41; batting anomaly B2 plays#22+#24 (Flag#4); see Flags#4,#5,#10</t>
        </is>
      </c>
    </row>
    <row r="196" ht="15.75" customHeight="1" s="35">
      <c r="A196" s="8" t="inlineStr">
        <is>
          <t>2026-03-14_NRTH_at_ARND</t>
        </is>
      </c>
      <c r="B196" s="2" t="n">
        <v>46095</v>
      </c>
      <c r="C196" s="8" t="inlineStr">
        <is>
          <t>NRTH</t>
        </is>
      </c>
      <c r="D196" s="8" t="inlineStr">
        <is>
          <t>ARND</t>
        </is>
      </c>
      <c r="E196" s="8" t="inlineStr">
        <is>
          <t>J Niles</t>
        </is>
      </c>
      <c r="F196" s="8" t="n">
        <v>4</v>
      </c>
      <c r="G196" s="8" t="n">
        <v>3</v>
      </c>
      <c r="H196" s="8" t="n">
        <v>0</v>
      </c>
      <c r="I196" s="8" t="n">
        <v>0</v>
      </c>
      <c r="J196" s="8" t="n">
        <v>0</v>
      </c>
      <c r="K196" s="8" t="n">
        <v>0</v>
      </c>
      <c r="L196" s="8" t="n">
        <v>0</v>
      </c>
      <c r="M196" s="8" t="n">
        <v>1</v>
      </c>
      <c r="N196" s="8" t="n">
        <v>0</v>
      </c>
      <c r="O196" s="8" t="n">
        <v>1</v>
      </c>
      <c r="P196" s="8" t="n">
        <v>0</v>
      </c>
      <c r="Q196" s="8" t="n">
        <v>1</v>
      </c>
      <c r="R196" s="8" t="n">
        <v>1</v>
      </c>
      <c r="S196" s="8" t="n">
        <v>0</v>
      </c>
      <c r="T196" s="8" t="n">
        <v>1</v>
      </c>
      <c r="U196" s="8" t="n">
        <v>1</v>
      </c>
      <c r="V196" s="8" t="n">
        <v>0</v>
      </c>
      <c r="W196" s="8" t="n">
        <v>0</v>
      </c>
      <c r="X196" s="8" t="n">
        <v>0</v>
      </c>
      <c r="Y196" s="8" t="inlineStr">
        <is>
          <t>K_S B1 Seq#9; BB B2 play#23; E B5 play#58; SB B4 Seq#42; CS B4 Seq#43 (A Williams to Z Bowman); R play#61 (J Perry BB); see Flags#5,#6,#10</t>
        </is>
      </c>
    </row>
    <row r="197" ht="15.75" customHeight="1" s="35">
      <c r="A197" s="8" t="inlineStr">
        <is>
          <t>2026-03-14_NRTH_at_ARND</t>
        </is>
      </c>
      <c r="B197" s="2" t="n">
        <v>46095</v>
      </c>
      <c r="C197" s="8" t="inlineStr">
        <is>
          <t>NRTH</t>
        </is>
      </c>
      <c r="D197" s="8" t="inlineStr">
        <is>
          <t>ARND</t>
        </is>
      </c>
      <c r="E197" s="8" t="inlineStr">
        <is>
          <t>J Fuller</t>
        </is>
      </c>
      <c r="F197" s="8" t="n">
        <v>2</v>
      </c>
      <c r="G197" s="8" t="n">
        <v>1</v>
      </c>
      <c r="H197" s="8" t="n">
        <v>0</v>
      </c>
      <c r="I197" s="8" t="n">
        <v>0</v>
      </c>
      <c r="J197" s="8" t="n">
        <v>0</v>
      </c>
      <c r="K197" s="8" t="n">
        <v>0</v>
      </c>
      <c r="L197" s="8" t="n">
        <v>0</v>
      </c>
      <c r="M197" s="8" t="n">
        <v>1</v>
      </c>
      <c r="N197" s="8" t="n">
        <v>0</v>
      </c>
      <c r="O197" s="8" t="n">
        <v>0</v>
      </c>
      <c r="P197" s="8" t="n">
        <v>0</v>
      </c>
      <c r="Q197" s="8" t="n">
        <v>0</v>
      </c>
      <c r="R197" s="8" t="n">
        <v>0</v>
      </c>
      <c r="S197" s="8" t="n">
        <v>0</v>
      </c>
      <c r="T197" s="8" t="n">
        <v>0</v>
      </c>
      <c r="U197" s="8" t="n">
        <v>0</v>
      </c>
      <c r="V197" s="8" t="n">
        <v>0</v>
      </c>
      <c r="W197" s="8" t="n">
        <v>0</v>
      </c>
      <c r="X197" s="8" t="n">
        <v>0</v>
      </c>
      <c r="Y197" s="8" t="inlineStr">
        <is>
          <t>FO B1 play#10; BB B2 play#25; replaced by C Dennehy B4 play#42</t>
        </is>
      </c>
    </row>
    <row r="198" ht="15.75" customHeight="1" s="35">
      <c r="A198" s="8" t="inlineStr">
        <is>
          <t>2026-03-14_NRTH_at_ARND</t>
        </is>
      </c>
      <c r="B198" s="2" t="n">
        <v>46095</v>
      </c>
      <c r="C198" s="8" t="inlineStr">
        <is>
          <t>NRTH</t>
        </is>
      </c>
      <c r="D198" s="8" t="inlineStr">
        <is>
          <t>ARND</t>
        </is>
      </c>
      <c r="E198" s="8" t="inlineStr">
        <is>
          <t>F Doty</t>
        </is>
      </c>
      <c r="F198" s="8" t="n">
        <v>2</v>
      </c>
      <c r="G198" s="8" t="n">
        <v>2</v>
      </c>
      <c r="H198" s="8" t="n">
        <v>0</v>
      </c>
      <c r="I198" s="8" t="n">
        <v>0</v>
      </c>
      <c r="J198" s="8" t="n">
        <v>0</v>
      </c>
      <c r="K198" s="8" t="n">
        <v>0</v>
      </c>
      <c r="L198" s="8" t="n">
        <v>0</v>
      </c>
      <c r="M198" s="8" t="n">
        <v>0</v>
      </c>
      <c r="N198" s="8" t="n">
        <v>0</v>
      </c>
      <c r="O198" s="8" t="n">
        <v>1</v>
      </c>
      <c r="P198" s="8" t="n">
        <v>0</v>
      </c>
      <c r="Q198" s="8" t="n">
        <v>1</v>
      </c>
      <c r="R198" s="8" t="n">
        <v>0</v>
      </c>
      <c r="S198" s="8" t="n">
        <v>0</v>
      </c>
      <c r="T198" s="8" t="n">
        <v>0</v>
      </c>
      <c r="U198" s="8" t="n">
        <v>0</v>
      </c>
      <c r="V198" s="8" t="n">
        <v>0</v>
      </c>
      <c r="W198" s="8" t="n">
        <v>0</v>
      </c>
      <c r="X198" s="8" t="n">
        <v>0</v>
      </c>
      <c r="Y198" s="8" t="inlineStr">
        <is>
          <t>K_S B1 Seq#11 (dropped 3rd strike); GO B2 play#26; replaced by J Bailey B4 play#43</t>
        </is>
      </c>
    </row>
    <row r="199" ht="15.75" customHeight="1" s="35">
      <c r="A199" s="8" t="inlineStr">
        <is>
          <t>2026-03-14_NRTH_at_ARND</t>
        </is>
      </c>
      <c r="B199" s="2" t="n">
        <v>46095</v>
      </c>
      <c r="C199" s="8" t="inlineStr">
        <is>
          <t>NRTH</t>
        </is>
      </c>
      <c r="D199" s="8" t="inlineStr">
        <is>
          <t>ARND</t>
        </is>
      </c>
      <c r="E199" s="8" t="inlineStr">
        <is>
          <t>P Smith</t>
        </is>
      </c>
      <c r="F199" s="8" t="n">
        <v>2</v>
      </c>
      <c r="G199" s="8" t="n">
        <v>2</v>
      </c>
      <c r="H199" s="8" t="n">
        <v>1</v>
      </c>
      <c r="I199" s="8" t="n">
        <v>1</v>
      </c>
      <c r="J199" s="8" t="n">
        <v>0</v>
      </c>
      <c r="K199" s="8" t="n">
        <v>0</v>
      </c>
      <c r="L199" s="8" t="n">
        <v>0</v>
      </c>
      <c r="M199" s="8" t="n">
        <v>0</v>
      </c>
      <c r="N199" s="8" t="n">
        <v>0</v>
      </c>
      <c r="O199" s="8" t="n">
        <v>0</v>
      </c>
      <c r="P199" s="8" t="n">
        <v>0</v>
      </c>
      <c r="Q199" s="8" t="n">
        <v>0</v>
      </c>
      <c r="R199" s="8" t="n">
        <v>1</v>
      </c>
      <c r="S199" s="8" t="n">
        <v>0</v>
      </c>
      <c r="T199" s="8" t="n">
        <v>0</v>
      </c>
      <c r="U199" s="8" t="n">
        <v>0</v>
      </c>
      <c r="V199" s="8" t="n">
        <v>0</v>
      </c>
      <c r="W199" s="8" t="n">
        <v>0</v>
      </c>
      <c r="X199" s="8" t="n">
        <v>0</v>
      </c>
      <c r="Y199" s="8" t="inlineStr">
        <is>
          <t>1B B2 play#16; LO B3 play#30; R play#20 (J Bailey 1B); replaced by G Pedrozo B4 play#45</t>
        </is>
      </c>
    </row>
    <row r="200" ht="15.75" customHeight="1" s="35">
      <c r="A200" s="8" t="inlineStr">
        <is>
          <t>2026-03-14_NRTH_at_ARND</t>
        </is>
      </c>
      <c r="B200" s="2" t="n">
        <v>46095</v>
      </c>
      <c r="C200" s="8" t="inlineStr">
        <is>
          <t>NRTH</t>
        </is>
      </c>
      <c r="D200" s="8" t="inlineStr">
        <is>
          <t>ARND</t>
        </is>
      </c>
      <c r="E200" s="8" t="inlineStr">
        <is>
          <t>L Atherton</t>
        </is>
      </c>
      <c r="F200" s="8" t="n">
        <v>2</v>
      </c>
      <c r="G200" s="8" t="n">
        <v>0</v>
      </c>
      <c r="H200" s="8" t="n">
        <v>0</v>
      </c>
      <c r="I200" s="8" t="n">
        <v>0</v>
      </c>
      <c r="J200" s="8" t="n">
        <v>0</v>
      </c>
      <c r="K200" s="8" t="n">
        <v>0</v>
      </c>
      <c r="L200" s="8" t="n">
        <v>0</v>
      </c>
      <c r="M200" s="8" t="n">
        <v>1</v>
      </c>
      <c r="N200" s="8" t="n">
        <v>1</v>
      </c>
      <c r="O200" s="8" t="n">
        <v>0</v>
      </c>
      <c r="P200" s="8" t="n">
        <v>0</v>
      </c>
      <c r="Q200" s="8" t="n">
        <v>0</v>
      </c>
      <c r="R200" s="8" t="n">
        <v>1</v>
      </c>
      <c r="S200" s="8" t="n">
        <v>0</v>
      </c>
      <c r="T200" s="8" t="n">
        <v>1</v>
      </c>
      <c r="U200" s="8" t="n">
        <v>0</v>
      </c>
      <c r="V200" s="8" t="n">
        <v>0</v>
      </c>
      <c r="W200" s="8" t="n">
        <v>0</v>
      </c>
      <c r="X200" s="8" t="n">
        <v>0</v>
      </c>
      <c r="Y200" s="8" t="inlineStr">
        <is>
          <t>HBP B2 play#17; BB B3 play#31; R play#20 (J Bailey 1B); SB B3 Seq#31; see Flag#9; replaced by J Verdier B4 play#44</t>
        </is>
      </c>
    </row>
    <row r="201" ht="15.75" customHeight="1" s="35">
      <c r="A201" s="8" t="inlineStr">
        <is>
          <t>2026-03-14_NRTH_at_ARND</t>
        </is>
      </c>
      <c r="B201" s="2" t="n">
        <v>46095</v>
      </c>
      <c r="C201" s="8" t="inlineStr">
        <is>
          <t>NRTH</t>
        </is>
      </c>
      <c r="D201" s="8" t="inlineStr">
        <is>
          <t>ARND</t>
        </is>
      </c>
      <c r="E201" s="8" t="inlineStr">
        <is>
          <t>C Clarke</t>
        </is>
      </c>
      <c r="F201" s="8" t="n">
        <v>2</v>
      </c>
      <c r="G201" s="8" t="n">
        <v>1</v>
      </c>
      <c r="H201" s="8" t="n">
        <v>0</v>
      </c>
      <c r="I201" s="8" t="n">
        <v>0</v>
      </c>
      <c r="J201" s="8" t="n">
        <v>0</v>
      </c>
      <c r="K201" s="8" t="n">
        <v>0</v>
      </c>
      <c r="L201" s="8" t="n">
        <v>0</v>
      </c>
      <c r="M201" s="8" t="n">
        <v>0</v>
      </c>
      <c r="N201" s="8" t="n">
        <v>0</v>
      </c>
      <c r="O201" s="8" t="n">
        <v>1</v>
      </c>
      <c r="P201" s="8" t="n">
        <v>0</v>
      </c>
      <c r="Q201" s="8" t="n">
        <v>1</v>
      </c>
      <c r="R201" s="8" t="n">
        <v>0</v>
      </c>
      <c r="S201" s="8" t="n">
        <v>0</v>
      </c>
      <c r="T201" s="8" t="n">
        <v>0</v>
      </c>
      <c r="U201" s="8" t="n">
        <v>0</v>
      </c>
      <c r="V201" s="8" t="n">
        <v>0</v>
      </c>
      <c r="W201" s="8" t="n">
        <v>1</v>
      </c>
      <c r="X201" s="8" t="n">
        <v>0</v>
      </c>
      <c r="Y201" s="8" t="inlineStr">
        <is>
          <t>K_S B2 Seq#18; SAC B3 play#32; replaced by C Wojtyszyn B4 play#46</t>
        </is>
      </c>
    </row>
    <row r="202" ht="15.75" customHeight="1" s="35">
      <c r="A202" s="8" t="inlineStr">
        <is>
          <t>2026-03-14_NRTH_at_ARND</t>
        </is>
      </c>
      <c r="B202" s="2" t="n">
        <v>46095</v>
      </c>
      <c r="C202" s="8" t="inlineStr">
        <is>
          <t>NRTH</t>
        </is>
      </c>
      <c r="D202" s="8" t="inlineStr">
        <is>
          <t>ARND</t>
        </is>
      </c>
      <c r="E202" s="8" t="inlineStr">
        <is>
          <t>J Verdier</t>
        </is>
      </c>
      <c r="F202" s="8" t="n">
        <v>3</v>
      </c>
      <c r="G202" s="8" t="n">
        <v>3</v>
      </c>
      <c r="H202" s="8" t="n">
        <v>0</v>
      </c>
      <c r="I202" s="8" t="n">
        <v>0</v>
      </c>
      <c r="J202" s="8" t="n">
        <v>0</v>
      </c>
      <c r="K202" s="8" t="n">
        <v>0</v>
      </c>
      <c r="L202" s="8" t="n">
        <v>0</v>
      </c>
      <c r="M202" s="8" t="n">
        <v>0</v>
      </c>
      <c r="N202" s="8" t="n">
        <v>0</v>
      </c>
      <c r="O202" s="8" t="n">
        <v>0</v>
      </c>
      <c r="P202" s="8" t="n">
        <v>0</v>
      </c>
      <c r="Q202" s="8" t="n">
        <v>0</v>
      </c>
      <c r="R202" s="8" t="n">
        <v>1</v>
      </c>
      <c r="S202" s="8" t="n">
        <v>0</v>
      </c>
      <c r="T202" s="8" t="n">
        <v>1</v>
      </c>
      <c r="U202" s="8" t="n">
        <v>0</v>
      </c>
      <c r="V202" s="8" t="n">
        <v>0</v>
      </c>
      <c r="W202" s="8" t="n">
        <v>0</v>
      </c>
      <c r="X202" s="8" t="n">
        <v>0</v>
      </c>
      <c r="Y202" s="8" t="inlineStr">
        <is>
          <t>PO B4 play#44; E B5 play#54; E B5 play#62; R play#56 (C Dennehy 1B); SB B5 Seq#55</t>
        </is>
      </c>
    </row>
    <row r="203" ht="15.75" customHeight="1" s="35">
      <c r="A203" s="8" t="inlineStr">
        <is>
          <t>2026-03-14_NRTH_at_ARND</t>
        </is>
      </c>
      <c r="B203" s="2" t="n">
        <v>46095</v>
      </c>
      <c r="C203" s="8" t="inlineStr">
        <is>
          <t>NRTH</t>
        </is>
      </c>
      <c r="D203" s="8" t="inlineStr">
        <is>
          <t>ARND</t>
        </is>
      </c>
      <c r="E203" s="8" t="inlineStr">
        <is>
          <t>G Pedrozo</t>
        </is>
      </c>
      <c r="F203" s="8" t="n">
        <v>1</v>
      </c>
      <c r="G203" s="8" t="n">
        <v>0</v>
      </c>
      <c r="H203" s="8" t="n">
        <v>0</v>
      </c>
      <c r="I203" s="8" t="n">
        <v>0</v>
      </c>
      <c r="J203" s="8" t="n">
        <v>0</v>
      </c>
      <c r="K203" s="8" t="n">
        <v>0</v>
      </c>
      <c r="L203" s="8" t="n">
        <v>0</v>
      </c>
      <c r="M203" s="8" t="n">
        <v>1</v>
      </c>
      <c r="N203" s="8" t="n">
        <v>0</v>
      </c>
      <c r="O203" s="8" t="n">
        <v>0</v>
      </c>
      <c r="P203" s="8" t="n">
        <v>0</v>
      </c>
      <c r="Q203" s="8" t="n">
        <v>0</v>
      </c>
      <c r="R203" s="8" t="n">
        <v>1</v>
      </c>
      <c r="S203" s="8" t="n">
        <v>0</v>
      </c>
      <c r="T203" s="8" t="n">
        <v>0</v>
      </c>
      <c r="U203" s="8" t="n">
        <v>0</v>
      </c>
      <c r="V203" s="8" t="n">
        <v>0</v>
      </c>
      <c r="W203" s="8" t="n">
        <v>0</v>
      </c>
      <c r="X203" s="8" t="n">
        <v>0</v>
      </c>
      <c r="Y203" s="8" t="inlineStr">
        <is>
          <t>BB B4 play#45; R play#47 (J Haslup 3B)</t>
        </is>
      </c>
    </row>
    <row r="204" ht="15.75" customHeight="1" s="35">
      <c r="A204" s="8" t="inlineStr">
        <is>
          <t>2026-03-14_NRTH_at_ARND</t>
        </is>
      </c>
      <c r="B204" s="2" t="n">
        <v>46095</v>
      </c>
      <c r="C204" s="8" t="inlineStr">
        <is>
          <t>NRTH</t>
        </is>
      </c>
      <c r="D204" s="8" t="inlineStr">
        <is>
          <t>ARND</t>
        </is>
      </c>
      <c r="E204" s="8" t="inlineStr">
        <is>
          <t>C Wojtyszyn</t>
        </is>
      </c>
      <c r="F204" s="8" t="n">
        <v>2</v>
      </c>
      <c r="G204" s="8" t="n">
        <v>1</v>
      </c>
      <c r="H204" s="8" t="n">
        <v>1</v>
      </c>
      <c r="I204" s="8" t="n">
        <v>1</v>
      </c>
      <c r="J204" s="8" t="n">
        <v>0</v>
      </c>
      <c r="K204" s="8" t="n">
        <v>0</v>
      </c>
      <c r="L204" s="8" t="n">
        <v>0</v>
      </c>
      <c r="M204" s="8" t="n">
        <v>1</v>
      </c>
      <c r="N204" s="8" t="n">
        <v>0</v>
      </c>
      <c r="O204" s="8" t="n">
        <v>0</v>
      </c>
      <c r="P204" s="8" t="n">
        <v>0</v>
      </c>
      <c r="Q204" s="8" t="n">
        <v>0</v>
      </c>
      <c r="R204" s="8" t="n">
        <v>2</v>
      </c>
      <c r="S204" s="8" t="n">
        <v>1</v>
      </c>
      <c r="T204" s="8" t="n">
        <v>0</v>
      </c>
      <c r="U204" s="8" t="n">
        <v>0</v>
      </c>
      <c r="V204" s="8" t="n">
        <v>0</v>
      </c>
      <c r="W204" s="8" t="n">
        <v>0</v>
      </c>
      <c r="X204" s="8" t="n">
        <v>0</v>
      </c>
      <c r="Y204" s="8" t="inlineStr">
        <is>
          <t>1B B4 play#46 (RBI C Dennehy); BB B5 play#59; R plays#46,#62</t>
        </is>
      </c>
    </row>
    <row r="205" ht="15.75" customHeight="1" s="35">
      <c r="A205" s="8" t="inlineStr">
        <is>
          <t>2026-03-14_NRTH_at_ARND</t>
        </is>
      </c>
      <c r="B205" s="2" t="n">
        <v>46095</v>
      </c>
      <c r="C205" s="8" t="inlineStr">
        <is>
          <t>NRTH</t>
        </is>
      </c>
      <c r="D205" s="8" t="inlineStr">
        <is>
          <t>ARND</t>
        </is>
      </c>
      <c r="E205" s="8" t="inlineStr">
        <is>
          <t>J Haslup</t>
        </is>
      </c>
      <c r="F205" s="8" t="n">
        <v>2</v>
      </c>
      <c r="G205" s="8" t="n">
        <v>1</v>
      </c>
      <c r="H205" s="8" t="n">
        <v>1</v>
      </c>
      <c r="I205" s="8" t="n">
        <v>0</v>
      </c>
      <c r="J205" s="8" t="n">
        <v>0</v>
      </c>
      <c r="K205" s="8" t="n">
        <v>1</v>
      </c>
      <c r="L205" s="8" t="n">
        <v>0</v>
      </c>
      <c r="M205" s="8" t="n">
        <v>1</v>
      </c>
      <c r="N205" s="8" t="n">
        <v>0</v>
      </c>
      <c r="O205" s="8" t="n">
        <v>0</v>
      </c>
      <c r="P205" s="8" t="n">
        <v>0</v>
      </c>
      <c r="Q205" s="8" t="n">
        <v>0</v>
      </c>
      <c r="R205" s="8" t="n">
        <v>2</v>
      </c>
      <c r="S205" s="8" t="n">
        <v>3</v>
      </c>
      <c r="T205" s="8" t="n">
        <v>0</v>
      </c>
      <c r="U205" s="8" t="n">
        <v>0</v>
      </c>
      <c r="V205" s="8" t="n">
        <v>0</v>
      </c>
      <c r="W205" s="8" t="n">
        <v>0</v>
      </c>
      <c r="X205" s="8" t="n">
        <v>0</v>
      </c>
      <c r="Y205" s="8" t="inlineStr">
        <is>
          <t>3B B4 play#47 (RBI x3: J Bailey,G Pedrozo,C Wojtyszyn); BB B5 play#60; R plays#48,#63(WP); see Flag#8</t>
        </is>
      </c>
    </row>
    <row r="206" ht="15.75" customHeight="1" s="35">
      <c r="A206" s="8" t="inlineStr">
        <is>
          <t>2026-03-14_NRTH_at_ARND</t>
        </is>
      </c>
      <c r="B206" s="2" t="n">
        <v>46095</v>
      </c>
      <c r="C206" s="8" t="inlineStr">
        <is>
          <t>NRTH</t>
        </is>
      </c>
      <c r="D206" s="8" t="inlineStr">
        <is>
          <t>ARND</t>
        </is>
      </c>
      <c r="E206" s="8" t="inlineStr">
        <is>
          <t>J Perry</t>
        </is>
      </c>
      <c r="F206" s="8" t="n">
        <v>2</v>
      </c>
      <c r="G206" s="8" t="n">
        <v>1</v>
      </c>
      <c r="H206" s="8" t="n">
        <v>1</v>
      </c>
      <c r="I206" s="8" t="n">
        <v>1</v>
      </c>
      <c r="J206" s="8" t="n">
        <v>0</v>
      </c>
      <c r="K206" s="8" t="n">
        <v>0</v>
      </c>
      <c r="L206" s="8" t="n">
        <v>0</v>
      </c>
      <c r="M206" s="8" t="n">
        <v>1</v>
      </c>
      <c r="N206" s="8" t="n">
        <v>0</v>
      </c>
      <c r="O206" s="8" t="n">
        <v>0</v>
      </c>
      <c r="P206" s="8" t="n">
        <v>0</v>
      </c>
      <c r="Q206" s="8" t="n">
        <v>0</v>
      </c>
      <c r="R206" s="8" t="n">
        <v>0</v>
      </c>
      <c r="S206" s="8" t="n">
        <v>1</v>
      </c>
      <c r="T206" s="8" t="n">
        <v>0</v>
      </c>
      <c r="U206" s="8" t="n">
        <v>0</v>
      </c>
      <c r="V206" s="8" t="n">
        <v>0</v>
      </c>
      <c r="W206" s="8" t="n">
        <v>0</v>
      </c>
      <c r="X206" s="8" t="n">
        <v>0</v>
      </c>
      <c r="Y206" s="8" t="inlineStr">
        <is>
          <t>CR for G O'Donnell B2 play#23; R as CR credited to G O'Donnell; 1B B4 play#48 (RBI J Haslup); BB B5 play#61; see Flags#4,#8</t>
        </is>
      </c>
    </row>
    <row r="207" ht="15.75" customHeight="1" s="35">
      <c r="A207" s="8" t="inlineStr">
        <is>
          <t>2026-03-14_NRTH_at_ARND</t>
        </is>
      </c>
      <c r="B207" s="2" t="n">
        <v>46095</v>
      </c>
      <c r="C207" s="8" t="inlineStr">
        <is>
          <t>NRTH</t>
        </is>
      </c>
      <c r="D207" s="8" t="inlineStr">
        <is>
          <t>ARND</t>
        </is>
      </c>
      <c r="E207" s="8" t="inlineStr">
        <is>
          <t>J Witcher</t>
        </is>
      </c>
      <c r="F207" s="8" t="n">
        <v>3</v>
      </c>
      <c r="G207" s="8" t="n">
        <v>2</v>
      </c>
      <c r="H207" s="8" t="n">
        <v>1</v>
      </c>
      <c r="I207" s="8" t="n">
        <v>1</v>
      </c>
      <c r="J207" s="8" t="n">
        <v>0</v>
      </c>
      <c r="K207" s="8" t="n">
        <v>0</v>
      </c>
      <c r="L207" s="8" t="n">
        <v>0</v>
      </c>
      <c r="M207" s="8" t="n">
        <v>1</v>
      </c>
      <c r="N207" s="8" t="n">
        <v>0</v>
      </c>
      <c r="O207" s="8" t="n">
        <v>0</v>
      </c>
      <c r="P207" s="8" t="n">
        <v>0</v>
      </c>
      <c r="Q207" s="8" t="n">
        <v>0</v>
      </c>
      <c r="R207" s="8" t="n">
        <v>1</v>
      </c>
      <c r="S207" s="8" t="n">
        <v>0</v>
      </c>
      <c r="T207" s="8" t="n">
        <v>0</v>
      </c>
      <c r="U207" s="8" t="n">
        <v>0</v>
      </c>
      <c r="V207" s="8" t="n">
        <v>0</v>
      </c>
      <c r="W207" s="8" t="n">
        <v>0</v>
      </c>
      <c r="X207" s="8" t="n">
        <v>0</v>
      </c>
      <c r="Y207" s="8" t="inlineStr">
        <is>
          <t>GO B4 play#49; 1B B5 play#55; BB B5 play#63; R play#57 (J Bailey 1B)</t>
        </is>
      </c>
    </row>
    <row r="208" ht="15.75" customHeight="1" s="35">
      <c r="A208" s="8" t="inlineStr">
        <is>
          <t>2026-03-14_NRTH_at_ARND</t>
        </is>
      </c>
      <c r="B208" s="2" t="n">
        <v>46095</v>
      </c>
      <c r="C208" s="8" t="inlineStr">
        <is>
          <t>NRTH</t>
        </is>
      </c>
      <c r="D208" s="8" t="inlineStr">
        <is>
          <t>ARND</t>
        </is>
      </c>
      <c r="E208" s="8" t="inlineStr">
        <is>
          <t>C Dennehy</t>
        </is>
      </c>
      <c r="F208" s="8" t="n">
        <v>2</v>
      </c>
      <c r="G208" s="8" t="n">
        <v>1</v>
      </c>
      <c r="H208" s="8" t="n">
        <v>1</v>
      </c>
      <c r="I208" s="8" t="n">
        <v>1</v>
      </c>
      <c r="J208" s="8" t="n">
        <v>0</v>
      </c>
      <c r="K208" s="8" t="n">
        <v>0</v>
      </c>
      <c r="L208" s="8" t="n">
        <v>0</v>
      </c>
      <c r="M208" s="8" t="n">
        <v>1</v>
      </c>
      <c r="N208" s="8" t="n">
        <v>0</v>
      </c>
      <c r="O208" s="8" t="n">
        <v>0</v>
      </c>
      <c r="P208" s="8" t="n">
        <v>0</v>
      </c>
      <c r="Q208" s="8" t="n">
        <v>0</v>
      </c>
      <c r="R208" s="8" t="n">
        <v>1</v>
      </c>
      <c r="S208" s="8" t="n">
        <v>1</v>
      </c>
      <c r="T208" s="8" t="n">
        <v>0</v>
      </c>
      <c r="U208" s="8" t="n">
        <v>0</v>
      </c>
      <c r="V208" s="8" t="n">
        <v>0</v>
      </c>
      <c r="W208" s="8" t="n">
        <v>0</v>
      </c>
      <c r="X208" s="8" t="n">
        <v>0</v>
      </c>
      <c r="Y208" s="8" t="inlineStr">
        <is>
          <t>BB B4 play#42; 1B B5 play#56 (RBI J Verdier); play#64 incomplete AB not counted (Flag#1); R play#58 WP; see Flag#8</t>
        </is>
      </c>
    </row>
    <row r="209" ht="15.75" customHeight="1" s="35">
      <c r="A209" s="8" t="inlineStr">
        <is>
          <t>2026-03-14_NRTH_at_MRRT</t>
        </is>
      </c>
      <c r="B209" s="2" t="n">
        <v>46095</v>
      </c>
      <c r="C209" s="8" t="inlineStr">
        <is>
          <t>MRRT</t>
        </is>
      </c>
      <c r="D209" s="8" t="inlineStr">
        <is>
          <t>NRTH</t>
        </is>
      </c>
      <c r="E209" s="8" t="inlineStr">
        <is>
          <t>A Espejo</t>
        </is>
      </c>
      <c r="F209" s="8" t="n">
        <v>3</v>
      </c>
      <c r="G209" s="8" t="n">
        <v>1</v>
      </c>
      <c r="H209" s="8" t="n">
        <v>1</v>
      </c>
      <c r="I209" s="8" t="n">
        <v>1</v>
      </c>
      <c r="J209" s="8" t="n">
        <v>0</v>
      </c>
      <c r="K209" s="8" t="n">
        <v>0</v>
      </c>
      <c r="L209" s="8" t="n">
        <v>0</v>
      </c>
      <c r="M209" s="8" t="n">
        <v>2</v>
      </c>
      <c r="N209" s="8" t="n">
        <v>0</v>
      </c>
      <c r="O209" s="8" t="n">
        <v>0</v>
      </c>
      <c r="P209" s="8" t="n">
        <v>0</v>
      </c>
      <c r="Q209" s="8" t="n">
        <v>0</v>
      </c>
      <c r="R209" s="8" t="n">
        <v>0</v>
      </c>
      <c r="S209" s="8" t="n">
        <v>0</v>
      </c>
      <c r="T209" s="8" t="n">
        <v>1</v>
      </c>
      <c r="U209" s="8" t="n">
        <v>0</v>
      </c>
      <c r="V209" s="8" t="n">
        <v>0</v>
      </c>
      <c r="W209" s="8" t="n">
        <v>0</v>
      </c>
      <c r="X209" s="8" t="n">
        <v>0</v>
      </c>
      <c r="Y209" s="8" t="inlineStr">
        <is>
          <t>1B T1 play#1; BB T3 play#25; BB T5 play#46; SB 2nd T3 Seq#27 (embedded A Harding GO); also pitches B1-B2 (Flag#4)</t>
        </is>
      </c>
    </row>
    <row r="210" ht="15.75" customHeight="1" s="35">
      <c r="A210" s="8" t="inlineStr">
        <is>
          <t>2026-03-14_NRTH_at_MRRT</t>
        </is>
      </c>
      <c r="B210" s="2" t="n">
        <v>46095</v>
      </c>
      <c r="C210" s="8" t="inlineStr">
        <is>
          <t>MRRT</t>
        </is>
      </c>
      <c r="D210" s="8" t="inlineStr">
        <is>
          <t>NRTH</t>
        </is>
      </c>
      <c r="E210" s="8" t="inlineStr">
        <is>
          <t>A Thomas</t>
        </is>
      </c>
      <c r="F210" s="8" t="n">
        <v>3</v>
      </c>
      <c r="G210" s="8" t="n">
        <v>1</v>
      </c>
      <c r="H210" s="8" t="n">
        <v>0</v>
      </c>
      <c r="I210" s="8" t="n">
        <v>0</v>
      </c>
      <c r="J210" s="8" t="n">
        <v>0</v>
      </c>
      <c r="K210" s="8" t="n">
        <v>0</v>
      </c>
      <c r="L210" s="8" t="n">
        <v>0</v>
      </c>
      <c r="M210" s="8" t="n">
        <v>0</v>
      </c>
      <c r="N210" s="8" t="n">
        <v>0</v>
      </c>
      <c r="O210" s="8" t="n">
        <v>2</v>
      </c>
      <c r="P210" s="8" t="n">
        <v>2</v>
      </c>
      <c r="Q210" s="8" t="n">
        <v>0</v>
      </c>
      <c r="R210" s="8" t="n">
        <v>0</v>
      </c>
      <c r="S210" s="8" t="n">
        <v>0</v>
      </c>
      <c r="T210" s="8" t="n">
        <v>0</v>
      </c>
      <c r="U210" s="8" t="n">
        <v>0</v>
      </c>
      <c r="V210" s="8" t="n">
        <v>0</v>
      </c>
      <c r="W210" s="8" t="n">
        <v>1</v>
      </c>
      <c r="X210" s="8" t="n">
        <v>0</v>
      </c>
      <c r="Y210" s="8" t="inlineStr">
        <is>
          <t>SAC bunt T1 play#2; K_L T3 Seq#26; K_L T5 Seq#47; E at 2B play#9 B1 (Z Magee adv on E, embedded A Devito AB)</t>
        </is>
      </c>
    </row>
    <row r="211" ht="15.75" customHeight="1" s="35">
      <c r="A211" s="8" t="inlineStr">
        <is>
          <t>2026-03-14_NRTH_at_MRRT</t>
        </is>
      </c>
      <c r="B211" s="2" t="n">
        <v>46095</v>
      </c>
      <c r="C211" s="8" t="inlineStr">
        <is>
          <t>MRRT</t>
        </is>
      </c>
      <c r="D211" s="8" t="inlineStr">
        <is>
          <t>NRTH</t>
        </is>
      </c>
      <c r="E211" s="8" t="inlineStr">
        <is>
          <t>A Harding</t>
        </is>
      </c>
      <c r="F211" s="8" t="n">
        <v>3</v>
      </c>
      <c r="G211" s="8" t="n">
        <v>3</v>
      </c>
      <c r="H211" s="8" t="n">
        <v>0</v>
      </c>
      <c r="I211" s="8" t="n">
        <v>0</v>
      </c>
      <c r="J211" s="8" t="n">
        <v>0</v>
      </c>
      <c r="K211" s="8" t="n">
        <v>0</v>
      </c>
      <c r="L211" s="8" t="n">
        <v>0</v>
      </c>
      <c r="M211" s="8" t="n">
        <v>0</v>
      </c>
      <c r="N211" s="8" t="n">
        <v>0</v>
      </c>
      <c r="O211" s="8" t="n">
        <v>1</v>
      </c>
      <c r="P211" s="8" t="n">
        <v>0</v>
      </c>
      <c r="Q211" s="8" t="n">
        <v>1</v>
      </c>
      <c r="R211" s="8" t="n">
        <v>0</v>
      </c>
      <c r="S211" s="8" t="n">
        <v>1</v>
      </c>
      <c r="T211" s="8" t="n">
        <v>0</v>
      </c>
      <c r="U211" s="8" t="n">
        <v>0</v>
      </c>
      <c r="V211" s="8" t="n">
        <v>0</v>
      </c>
      <c r="W211" s="8" t="n">
        <v>0</v>
      </c>
      <c r="X211" s="8" t="n">
        <v>0</v>
      </c>
      <c r="Y211" s="8" t="inlineStr">
        <is>
          <t>K_S T1 Seq#3; GO T3 play#27 (T Roy scores, RBI:1); FO T5 play#48</t>
        </is>
      </c>
    </row>
    <row r="212" ht="15.75" customHeight="1" s="35">
      <c r="A212" s="8" t="inlineStr">
        <is>
          <t>2026-03-14_NRTH_at_MRRT</t>
        </is>
      </c>
      <c r="B212" s="2" t="n">
        <v>46095</v>
      </c>
      <c r="C212" s="8" t="inlineStr">
        <is>
          <t>MRRT</t>
        </is>
      </c>
      <c r="D212" s="8" t="inlineStr">
        <is>
          <t>NRTH</t>
        </is>
      </c>
      <c r="E212" s="8" t="inlineStr">
        <is>
          <t>Z Bowman</t>
        </is>
      </c>
      <c r="F212" s="8" t="n">
        <v>3</v>
      </c>
      <c r="G212" s="8" t="n">
        <v>2</v>
      </c>
      <c r="H212" s="8" t="n">
        <v>0</v>
      </c>
      <c r="I212" s="8" t="n">
        <v>0</v>
      </c>
      <c r="J212" s="8" t="n">
        <v>0</v>
      </c>
      <c r="K212" s="8" t="n">
        <v>0</v>
      </c>
      <c r="L212" s="8" t="n">
        <v>0</v>
      </c>
      <c r="M212" s="8" t="n">
        <v>1</v>
      </c>
      <c r="N212" s="8" t="n">
        <v>0</v>
      </c>
      <c r="O212" s="8" t="n">
        <v>0</v>
      </c>
      <c r="P212" s="8" t="n">
        <v>0</v>
      </c>
      <c r="Q212" s="8" t="n">
        <v>0</v>
      </c>
      <c r="R212" s="8" t="n">
        <v>1</v>
      </c>
      <c r="S212" s="8" t="n">
        <v>0</v>
      </c>
      <c r="T212" s="8" t="n">
        <v>0</v>
      </c>
      <c r="U212" s="8" t="n">
        <v>0</v>
      </c>
      <c r="V212" s="8" t="n">
        <v>0</v>
      </c>
      <c r="W212" s="8" t="n">
        <v>0</v>
      </c>
      <c r="X212" s="8" t="n">
        <v>0</v>
      </c>
      <c r="Y212" s="8" t="inlineStr">
        <is>
          <t>GO T1 play#4; LO T3 play#28; BB T6 play#58; R T6 play#60 (W Kwisnek GO); E at 3B plays#30,#34 (B3); E as P play#56 (B5); also pitches B5 (Flag#3)</t>
        </is>
      </c>
    </row>
    <row r="213" ht="15.75" customHeight="1" s="35">
      <c r="A213" s="8" t="inlineStr">
        <is>
          <t>2026-03-14_NRTH_at_MRRT</t>
        </is>
      </c>
      <c r="B213" s="2" t="n">
        <v>46095</v>
      </c>
      <c r="C213" s="8" t="inlineStr">
        <is>
          <t>MRRT</t>
        </is>
      </c>
      <c r="D213" s="8" t="inlineStr">
        <is>
          <t>NRTH</t>
        </is>
      </c>
      <c r="E213" s="8" t="inlineStr">
        <is>
          <t>E Zimmerman</t>
        </is>
      </c>
      <c r="F213" s="8" t="n">
        <v>3</v>
      </c>
      <c r="G213" s="8" t="n">
        <v>3</v>
      </c>
      <c r="H213" s="8" t="n">
        <v>2</v>
      </c>
      <c r="I213" s="8" t="n">
        <v>1</v>
      </c>
      <c r="J213" s="8" t="n">
        <v>1</v>
      </c>
      <c r="K213" s="8" t="n">
        <v>0</v>
      </c>
      <c r="L213" s="8" t="n">
        <v>0</v>
      </c>
      <c r="M213" s="8" t="n">
        <v>0</v>
      </c>
      <c r="N213" s="8" t="n">
        <v>0</v>
      </c>
      <c r="O213" s="8" t="n">
        <v>0</v>
      </c>
      <c r="P213" s="8" t="n">
        <v>0</v>
      </c>
      <c r="Q213" s="8" t="n">
        <v>0</v>
      </c>
      <c r="R213" s="8" t="n">
        <v>0</v>
      </c>
      <c r="S213" s="8" t="n">
        <v>0</v>
      </c>
      <c r="T213" s="8" t="n">
        <v>0</v>
      </c>
      <c r="U213" s="8" t="n">
        <v>0</v>
      </c>
      <c r="V213" s="8" t="n">
        <v>0</v>
      </c>
      <c r="W213" s="8" t="n">
        <v>0</v>
      </c>
      <c r="X213" s="8" t="n">
        <v>0</v>
      </c>
      <c r="Y213" s="8" t="inlineStr">
        <is>
          <t>1B T2 play#11 (see Flag#8 re fly ball to C); GO T4 play#37; 2B T6 play#59; stranded at 3rd end T6; also pitches B3-B4 (Flag#5)</t>
        </is>
      </c>
    </row>
    <row r="214" ht="15.75" customHeight="1" s="35">
      <c r="A214" s="8" t="inlineStr">
        <is>
          <t>2026-03-14_NRTH_at_MRRT</t>
        </is>
      </c>
      <c r="B214" s="2" t="n">
        <v>46095</v>
      </c>
      <c r="C214" s="8" t="inlineStr">
        <is>
          <t>MRRT</t>
        </is>
      </c>
      <c r="D214" s="8" t="inlineStr">
        <is>
          <t>NRTH</t>
        </is>
      </c>
      <c r="E214" s="8" t="inlineStr">
        <is>
          <t>W Kwisnek</t>
        </is>
      </c>
      <c r="F214" s="8" t="n">
        <v>3</v>
      </c>
      <c r="G214" s="8" t="n">
        <v>2</v>
      </c>
      <c r="H214" s="8" t="n">
        <v>0</v>
      </c>
      <c r="I214" s="8" t="n">
        <v>0</v>
      </c>
      <c r="J214" s="8" t="n">
        <v>0</v>
      </c>
      <c r="K214" s="8" t="n">
        <v>0</v>
      </c>
      <c r="L214" s="8" t="n">
        <v>0</v>
      </c>
      <c r="M214" s="8" t="n">
        <v>0</v>
      </c>
      <c r="N214" s="8" t="n">
        <v>1</v>
      </c>
      <c r="O214" s="8" t="n">
        <v>1</v>
      </c>
      <c r="P214" s="8" t="n">
        <v>0</v>
      </c>
      <c r="Q214" s="8" t="n">
        <v>1</v>
      </c>
      <c r="R214" s="8" t="n">
        <v>0</v>
      </c>
      <c r="S214" s="8" t="n">
        <v>1</v>
      </c>
      <c r="T214" s="8" t="n">
        <v>0</v>
      </c>
      <c r="U214" s="8" t="n">
        <v>0</v>
      </c>
      <c r="V214" s="8" t="n">
        <v>0</v>
      </c>
      <c r="W214" s="8" t="n">
        <v>0</v>
      </c>
      <c r="X214" s="8" t="n">
        <v>0</v>
      </c>
      <c r="Y214" s="8" t="inlineStr">
        <is>
          <t>HBP T2 play#12; K_S T4 play#38 (dropped 3rd strike, reaches base); GO T6 play#60 (Z Bowman scores, RBI:1)</t>
        </is>
      </c>
    </row>
    <row r="215" ht="15.75" customHeight="1" s="35">
      <c r="A215" s="8" t="inlineStr">
        <is>
          <t>2026-03-14_NRTH_at_MRRT</t>
        </is>
      </c>
      <c r="B215" s="2" t="n">
        <v>46095</v>
      </c>
      <c r="C215" s="8" t="inlineStr">
        <is>
          <t>MRRT</t>
        </is>
      </c>
      <c r="D215" s="8" t="inlineStr">
        <is>
          <t>NRTH</t>
        </is>
      </c>
      <c r="E215" s="8" t="inlineStr">
        <is>
          <t>S Dixon</t>
        </is>
      </c>
      <c r="F215" s="8" t="n">
        <v>3</v>
      </c>
      <c r="G215" s="8" t="n">
        <v>3</v>
      </c>
      <c r="H215" s="8" t="n">
        <v>0</v>
      </c>
      <c r="I215" s="8" t="n">
        <v>0</v>
      </c>
      <c r="J215" s="8" t="n">
        <v>0</v>
      </c>
      <c r="K215" s="8" t="n">
        <v>0</v>
      </c>
      <c r="L215" s="8" t="n">
        <v>0</v>
      </c>
      <c r="M215" s="8" t="n">
        <v>0</v>
      </c>
      <c r="N215" s="8" t="n">
        <v>0</v>
      </c>
      <c r="O215" s="8" t="n">
        <v>2</v>
      </c>
      <c r="P215" s="8" t="n">
        <v>0</v>
      </c>
      <c r="Q215" s="8" t="n">
        <v>2</v>
      </c>
      <c r="R215" s="8" t="n">
        <v>0</v>
      </c>
      <c r="S215" s="8" t="n">
        <v>0</v>
      </c>
      <c r="T215" s="8" t="n">
        <v>0</v>
      </c>
      <c r="U215" s="8" t="n">
        <v>0</v>
      </c>
      <c r="V215" s="8" t="n">
        <v>0</v>
      </c>
      <c r="W215" s="8" t="n">
        <v>0</v>
      </c>
      <c r="X215" s="8" t="n">
        <v>0</v>
      </c>
      <c r="Y215" s="8" t="inlineStr">
        <is>
          <t>K_S T2 Seq#13; DP T4 play#39 (lines into DP, not GDP); K_S T6 Seq#61; E at LF play#51 B5 (A Montgomery scores on E)</t>
        </is>
      </c>
    </row>
    <row r="216" ht="15.75" customHeight="1" s="35">
      <c r="A216" s="8" t="inlineStr">
        <is>
          <t>2026-03-14_NRTH_at_MRRT</t>
        </is>
      </c>
      <c r="B216" s="2" t="n">
        <v>46095</v>
      </c>
      <c r="C216" s="8" t="inlineStr">
        <is>
          <t>MRRT</t>
        </is>
      </c>
      <c r="D216" s="8" t="inlineStr">
        <is>
          <t>NRTH</t>
        </is>
      </c>
      <c r="E216" s="8" t="inlineStr">
        <is>
          <t>C Pettko</t>
        </is>
      </c>
      <c r="F216" s="8" t="n">
        <v>3</v>
      </c>
      <c r="G216" s="8" t="n">
        <v>1</v>
      </c>
      <c r="H216" s="8" t="n">
        <v>0</v>
      </c>
      <c r="I216" s="8" t="n">
        <v>0</v>
      </c>
      <c r="J216" s="8" t="n">
        <v>0</v>
      </c>
      <c r="K216" s="8" t="n">
        <v>0</v>
      </c>
      <c r="L216" s="8" t="n">
        <v>0</v>
      </c>
      <c r="M216" s="8" t="n">
        <v>1</v>
      </c>
      <c r="N216" s="8" t="n">
        <v>1</v>
      </c>
      <c r="O216" s="8" t="n">
        <v>0</v>
      </c>
      <c r="P216" s="8" t="n">
        <v>0</v>
      </c>
      <c r="Q216" s="8" t="n">
        <v>0</v>
      </c>
      <c r="R216" s="8" t="n">
        <v>0</v>
      </c>
      <c r="S216" s="8" t="n">
        <v>0</v>
      </c>
      <c r="T216" s="8" t="n">
        <v>2</v>
      </c>
      <c r="U216" s="8" t="n">
        <v>0</v>
      </c>
      <c r="V216" s="8" t="n">
        <v>1</v>
      </c>
      <c r="W216" s="8" t="n">
        <v>0</v>
      </c>
      <c r="X216" s="8" t="n">
        <v>0</v>
      </c>
      <c r="Y216" s="8" t="inlineStr">
        <is>
          <t>GDP T2 play#14 (grounds into DP); BB T5 play#44; SB x2 T5 Seq#46 (steals 2nd and 3rd during A Espejo BB AB); HBP T6 play#62</t>
        </is>
      </c>
    </row>
    <row r="217" ht="15.75" customHeight="1" s="35">
      <c r="A217" s="8" t="inlineStr">
        <is>
          <t>2026-03-14_NRTH_at_MRRT</t>
        </is>
      </c>
      <c r="B217" s="2" t="n">
        <v>46095</v>
      </c>
      <c r="C217" s="8" t="inlineStr">
        <is>
          <t>MRRT</t>
        </is>
      </c>
      <c r="D217" s="8" t="inlineStr">
        <is>
          <t>NRTH</t>
        </is>
      </c>
      <c r="E217" s="8" t="inlineStr">
        <is>
          <t>T Roy</t>
        </is>
      </c>
      <c r="F217" s="8" t="n">
        <v>1</v>
      </c>
      <c r="G217" s="8" t="n">
        <v>1</v>
      </c>
      <c r="H217" s="8" t="n">
        <v>1</v>
      </c>
      <c r="I217" s="8" t="n">
        <v>1</v>
      </c>
      <c r="J217" s="8" t="n">
        <v>0</v>
      </c>
      <c r="K217" s="8" t="n">
        <v>0</v>
      </c>
      <c r="L217" s="8" t="n">
        <v>0</v>
      </c>
      <c r="M217" s="8" t="n">
        <v>0</v>
      </c>
      <c r="N217" s="8" t="n">
        <v>0</v>
      </c>
      <c r="O217" s="8" t="n">
        <v>0</v>
      </c>
      <c r="P217" s="8" t="n">
        <v>0</v>
      </c>
      <c r="Q217" s="8" t="n">
        <v>0</v>
      </c>
      <c r="R217" s="8" t="n">
        <v>1</v>
      </c>
      <c r="S217" s="8" t="n">
        <v>0</v>
      </c>
      <c r="T217" s="8" t="n">
        <v>0</v>
      </c>
      <c r="U217" s="8" t="n">
        <v>0</v>
      </c>
      <c r="V217" s="8" t="n">
        <v>0</v>
      </c>
      <c r="W217" s="8" t="n">
        <v>0</v>
      </c>
      <c r="X217" s="8" t="n">
        <v>0</v>
      </c>
      <c r="Y217" s="8" t="inlineStr">
        <is>
          <t>1B T3 play#24; R play#27 (A Harding GO); replaced by J Smith (no lineup note, Flag#7)</t>
        </is>
      </c>
    </row>
    <row r="218" ht="15.75" customHeight="1" s="35">
      <c r="A218" s="8" t="inlineStr">
        <is>
          <t>2026-03-14_NRTH_at_MRRT</t>
        </is>
      </c>
      <c r="B218" s="2" t="n">
        <v>46095</v>
      </c>
      <c r="C218" s="8" t="inlineStr">
        <is>
          <t>MRRT</t>
        </is>
      </c>
      <c r="D218" s="8" t="inlineStr">
        <is>
          <t>NRTH</t>
        </is>
      </c>
      <c r="E218" s="8" t="inlineStr">
        <is>
          <t>J Smith</t>
        </is>
      </c>
      <c r="F218" s="8" t="n">
        <v>2</v>
      </c>
      <c r="G218" s="8" t="n">
        <v>2</v>
      </c>
      <c r="H218" s="8" t="n">
        <v>0</v>
      </c>
      <c r="I218" s="8" t="n">
        <v>0</v>
      </c>
      <c r="J218" s="8" t="n">
        <v>0</v>
      </c>
      <c r="K218" s="8" t="n">
        <v>0</v>
      </c>
      <c r="L218" s="8" t="n">
        <v>0</v>
      </c>
      <c r="M218" s="8" t="n">
        <v>0</v>
      </c>
      <c r="N218" s="8" t="n">
        <v>0</v>
      </c>
      <c r="O218" s="8" t="n">
        <v>1</v>
      </c>
      <c r="P218" s="8" t="n">
        <v>0</v>
      </c>
      <c r="Q218" s="8" t="n">
        <v>1</v>
      </c>
      <c r="R218" s="8" t="n">
        <v>0</v>
      </c>
      <c r="S218" s="8" t="n">
        <v>0</v>
      </c>
      <c r="T218" s="8" t="n">
        <v>0</v>
      </c>
      <c r="U218" s="8" t="n">
        <v>0</v>
      </c>
      <c r="V218" s="8" t="n">
        <v>0</v>
      </c>
      <c r="W218" s="8" t="n">
        <v>0</v>
      </c>
      <c r="X218" s="8" t="n">
        <v>0</v>
      </c>
      <c r="Y218" s="8" t="inlineStr">
        <is>
          <t>Entry T5 play#45 (no lineup note, Flag#7); K_S T5 Seq#45; LO T6 play#63</t>
        </is>
      </c>
    </row>
    <row r="219" ht="15.75" customHeight="1" s="35">
      <c r="A219" s="8" t="inlineStr">
        <is>
          <t>2026-03-14_NRTH_at_MRRT</t>
        </is>
      </c>
      <c r="B219" s="2" t="n">
        <v>46095</v>
      </c>
      <c r="C219" s="8" t="inlineStr">
        <is>
          <t>NRTH</t>
        </is>
      </c>
      <c r="D219" s="8" t="inlineStr">
        <is>
          <t>MRRT</t>
        </is>
      </c>
      <c r="E219" s="8" t="inlineStr">
        <is>
          <t>O Snow</t>
        </is>
      </c>
      <c r="F219" s="8" t="n">
        <v>2</v>
      </c>
      <c r="G219" s="8" t="n">
        <v>1</v>
      </c>
      <c r="H219" s="8" t="n">
        <v>1</v>
      </c>
      <c r="I219" s="8" t="n">
        <v>0</v>
      </c>
      <c r="J219" s="8" t="n">
        <v>0</v>
      </c>
      <c r="K219" s="8" t="n">
        <v>1</v>
      </c>
      <c r="L219" s="8" t="n">
        <v>0</v>
      </c>
      <c r="M219" s="8" t="n">
        <v>0</v>
      </c>
      <c r="N219" s="8" t="n">
        <v>1</v>
      </c>
      <c r="O219" s="8" t="n">
        <v>0</v>
      </c>
      <c r="P219" s="8" t="n">
        <v>0</v>
      </c>
      <c r="Q219" s="8" t="n">
        <v>0</v>
      </c>
      <c r="R219" s="8" t="n">
        <v>2</v>
      </c>
      <c r="S219" s="8" t="n">
        <v>0</v>
      </c>
      <c r="T219" s="8" t="n">
        <v>1</v>
      </c>
      <c r="U219" s="8" t="n">
        <v>0</v>
      </c>
      <c r="V219" s="8" t="n">
        <v>0</v>
      </c>
      <c r="W219" s="8" t="n">
        <v>0</v>
      </c>
      <c r="X219" s="8" t="n">
        <v>0</v>
      </c>
      <c r="Y219" s="8" t="inlineStr">
        <is>
          <t>3B B1 play#5; HBP B2 play#19; R: B1 play#6 (M Parson SAC fly), B2 play#21 (E A Williams); SB 3rd B2 Seq#21; replaced by A Hlavaty B3 play#34</t>
        </is>
      </c>
    </row>
    <row r="220" ht="15.75" customHeight="1" s="35">
      <c r="A220" s="8" t="inlineStr">
        <is>
          <t>2026-03-14_NRTH_at_MRRT</t>
        </is>
      </c>
      <c r="B220" s="2" t="n">
        <v>46095</v>
      </c>
      <c r="C220" s="8" t="inlineStr">
        <is>
          <t>NRTH</t>
        </is>
      </c>
      <c r="D220" s="8" t="inlineStr">
        <is>
          <t>MRRT</t>
        </is>
      </c>
      <c r="E220" s="8" t="inlineStr">
        <is>
          <t>M Parson</t>
        </is>
      </c>
      <c r="F220" s="8" t="n">
        <v>2</v>
      </c>
      <c r="G220" s="8" t="n">
        <v>1</v>
      </c>
      <c r="H220" s="8" t="n">
        <v>1</v>
      </c>
      <c r="I220" s="8" t="n">
        <v>1</v>
      </c>
      <c r="J220" s="8" t="n">
        <v>0</v>
      </c>
      <c r="K220" s="8" t="n">
        <v>0</v>
      </c>
      <c r="L220" s="8" t="n">
        <v>0</v>
      </c>
      <c r="M220" s="8" t="n">
        <v>0</v>
      </c>
      <c r="N220" s="8" t="n">
        <v>0</v>
      </c>
      <c r="O220" s="8" t="n">
        <v>0</v>
      </c>
      <c r="P220" s="8" t="n">
        <v>0</v>
      </c>
      <c r="Q220" s="8" t="n">
        <v>0</v>
      </c>
      <c r="R220" s="8" t="n">
        <v>1</v>
      </c>
      <c r="S220" s="8" t="n">
        <v>2</v>
      </c>
      <c r="T220" s="8" t="n">
        <v>0</v>
      </c>
      <c r="U220" s="8" t="n">
        <v>0</v>
      </c>
      <c r="V220" s="8" t="n">
        <v>0</v>
      </c>
      <c r="W220" s="8" t="n">
        <v>1</v>
      </c>
      <c r="X220" s="8" t="n">
        <v>0</v>
      </c>
      <c r="Y220" s="8" t="inlineStr">
        <is>
          <t>SAC fly B1 play#6 (RBI O Snow); 1B B2 play#20 (RBI M Delmonte); R B2 play#21 (N Brown 1B); replaced by S Grams B3 play#35</t>
        </is>
      </c>
    </row>
    <row r="221" ht="15.75" customHeight="1" s="35">
      <c r="A221" s="8" t="inlineStr">
        <is>
          <t>2026-03-14_NRTH_at_MRRT</t>
        </is>
      </c>
      <c r="B221" s="2" t="n">
        <v>46095</v>
      </c>
      <c r="C221" s="8" t="inlineStr">
        <is>
          <t>NRTH</t>
        </is>
      </c>
      <c r="D221" s="8" t="inlineStr">
        <is>
          <t>MRRT</t>
        </is>
      </c>
      <c r="E221" s="8" t="inlineStr">
        <is>
          <t>N Brown</t>
        </is>
      </c>
      <c r="F221" s="8" t="n">
        <v>2</v>
      </c>
      <c r="G221" s="8" t="n">
        <v>1</v>
      </c>
      <c r="H221" s="8" t="n">
        <v>1</v>
      </c>
      <c r="I221" s="8" t="n">
        <v>1</v>
      </c>
      <c r="J221" s="8" t="n">
        <v>0</v>
      </c>
      <c r="K221" s="8" t="n">
        <v>0</v>
      </c>
      <c r="L221" s="8" t="n">
        <v>0</v>
      </c>
      <c r="M221" s="8" t="n">
        <v>1</v>
      </c>
      <c r="N221" s="8" t="n">
        <v>0</v>
      </c>
      <c r="O221" s="8" t="n">
        <v>0</v>
      </c>
      <c r="P221" s="8" t="n">
        <v>0</v>
      </c>
      <c r="Q221" s="8" t="n">
        <v>0</v>
      </c>
      <c r="R221" s="8" t="n">
        <v>1</v>
      </c>
      <c r="S221" s="8" t="n">
        <v>1</v>
      </c>
      <c r="T221" s="8" t="n">
        <v>1</v>
      </c>
      <c r="U221" s="8" t="n">
        <v>1</v>
      </c>
      <c r="V221" s="8" t="n">
        <v>0</v>
      </c>
      <c r="W221" s="8" t="n">
        <v>0</v>
      </c>
      <c r="X221" s="8" t="n">
        <v>0</v>
      </c>
      <c r="Y221" s="8" t="inlineStr">
        <is>
          <t>BB B1 play#7; CS B1 Seq#8 (A Williams to C Pettko); 1B B2 play#21 (RBI M Parson); SB 3rd B2 Seq#23; R B2 Seq#23 WP (embedded A Devito K); replaced by T Smith B3 play#36</t>
        </is>
      </c>
    </row>
    <row r="222" ht="15.75" customHeight="1" s="35">
      <c r="A222" s="8" t="inlineStr">
        <is>
          <t>2026-03-14_NRTH_at_MRRT</t>
        </is>
      </c>
      <c r="B222" s="2" t="n">
        <v>46095</v>
      </c>
      <c r="C222" s="8" t="inlineStr">
        <is>
          <t>NRTH</t>
        </is>
      </c>
      <c r="D222" s="8" t="inlineStr">
        <is>
          <t>MRRT</t>
        </is>
      </c>
      <c r="E222" s="8" t="inlineStr">
        <is>
          <t>Z Magee</t>
        </is>
      </c>
      <c r="F222" s="8" t="n">
        <v>3</v>
      </c>
      <c r="G222" s="8" t="n">
        <v>2</v>
      </c>
      <c r="H222" s="8" t="n">
        <v>0</v>
      </c>
      <c r="I222" s="8" t="n">
        <v>0</v>
      </c>
      <c r="J222" s="8" t="n">
        <v>0</v>
      </c>
      <c r="K222" s="8" t="n">
        <v>0</v>
      </c>
      <c r="L222" s="8" t="n">
        <v>0</v>
      </c>
      <c r="M222" s="8" t="n">
        <v>2</v>
      </c>
      <c r="N222" s="8" t="n">
        <v>0</v>
      </c>
      <c r="O222" s="8" t="n">
        <v>1</v>
      </c>
      <c r="P222" s="8" t="n">
        <v>1</v>
      </c>
      <c r="Q222" s="8" t="n">
        <v>0</v>
      </c>
      <c r="R222" s="8" t="n">
        <v>1</v>
      </c>
      <c r="S222" s="8" t="n">
        <v>0</v>
      </c>
      <c r="T222" s="8" t="n">
        <v>1</v>
      </c>
      <c r="U222" s="8" t="n">
        <v>0</v>
      </c>
      <c r="V222" s="8" t="n">
        <v>0</v>
      </c>
      <c r="W222" s="8" t="n">
        <v>0</v>
      </c>
      <c r="X222" s="8" t="n">
        <v>0</v>
      </c>
      <c r="Y222" s="8" t="inlineStr">
        <is>
          <t>BB B1 play#8; BB B2 play#22; K_L B4 play#40 Seq#40; R B1 play#9 (A Devito 1B); SB 2nd B2 Seq#23 (embedded A Devito K)</t>
        </is>
      </c>
    </row>
    <row r="223" ht="15.75" customHeight="1" s="35">
      <c r="A223" s="8" t="inlineStr">
        <is>
          <t>2026-03-14_NRTH_at_MRRT</t>
        </is>
      </c>
      <c r="B223" s="2" t="n">
        <v>46095</v>
      </c>
      <c r="C223" s="8" t="inlineStr">
        <is>
          <t>NRTH</t>
        </is>
      </c>
      <c r="D223" s="8" t="inlineStr">
        <is>
          <t>MRRT</t>
        </is>
      </c>
      <c r="E223" s="8" t="inlineStr">
        <is>
          <t>A Devito</t>
        </is>
      </c>
      <c r="F223" s="8" t="n">
        <v>2</v>
      </c>
      <c r="G223" s="8" t="n">
        <v>2</v>
      </c>
      <c r="H223" s="8" t="n">
        <v>1</v>
      </c>
      <c r="I223" s="8" t="n">
        <v>1</v>
      </c>
      <c r="J223" s="8" t="n">
        <v>0</v>
      </c>
      <c r="K223" s="8" t="n">
        <v>0</v>
      </c>
      <c r="L223" s="8" t="n">
        <v>0</v>
      </c>
      <c r="M223" s="8" t="n">
        <v>0</v>
      </c>
      <c r="N223" s="8" t="n">
        <v>0</v>
      </c>
      <c r="O223" s="8" t="n">
        <v>1</v>
      </c>
      <c r="P223" s="8" t="n">
        <v>0</v>
      </c>
      <c r="Q223" s="8" t="n">
        <v>1</v>
      </c>
      <c r="R223" s="8" t="n">
        <v>0</v>
      </c>
      <c r="S223" s="8" t="n">
        <v>1</v>
      </c>
      <c r="T223" s="8" t="n">
        <v>0</v>
      </c>
      <c r="U223" s="8" t="n">
        <v>0</v>
      </c>
      <c r="V223" s="8" t="n">
        <v>0</v>
      </c>
      <c r="W223" s="8" t="n">
        <v>0</v>
      </c>
      <c r="X223" s="8" t="n">
        <v>0</v>
      </c>
      <c r="Y223" s="8" t="inlineStr">
        <is>
          <t>1B B1 play#9 (RBI Z Magee; Z Magee adv on E A Thomas + WP embedded in AB); K_S B2 Seq#23; replaced by R Marsili B4 play#41</t>
        </is>
      </c>
    </row>
    <row r="224" ht="15.75" customHeight="1" s="35">
      <c r="A224" s="8" t="inlineStr">
        <is>
          <t>2026-03-14_NRTH_at_MRRT</t>
        </is>
      </c>
      <c r="B224" s="2" t="n">
        <v>46095</v>
      </c>
      <c r="C224" s="8" t="inlineStr">
        <is>
          <t>NRTH</t>
        </is>
      </c>
      <c r="D224" s="8" t="inlineStr">
        <is>
          <t>MRRT</t>
        </is>
      </c>
      <c r="E224" s="8" t="inlineStr">
        <is>
          <t>A Schwendeman</t>
        </is>
      </c>
      <c r="F224" s="8" t="n">
        <v>2</v>
      </c>
      <c r="G224" s="8" t="n">
        <v>2</v>
      </c>
      <c r="H224" s="8" t="n">
        <v>1</v>
      </c>
      <c r="I224" s="8" t="n">
        <v>0</v>
      </c>
      <c r="J224" s="8" t="n">
        <v>0</v>
      </c>
      <c r="K224" s="8" t="n">
        <v>0</v>
      </c>
      <c r="L224" s="8" t="n">
        <v>1</v>
      </c>
      <c r="M224" s="8" t="n">
        <v>0</v>
      </c>
      <c r="N224" s="8" t="n">
        <v>0</v>
      </c>
      <c r="O224" s="8" t="n">
        <v>1</v>
      </c>
      <c r="P224" s="8" t="n">
        <v>0</v>
      </c>
      <c r="Q224" s="8" t="n">
        <v>1</v>
      </c>
      <c r="R224" s="8" t="n">
        <v>1</v>
      </c>
      <c r="S224" s="8" t="n">
        <v>1</v>
      </c>
      <c r="T224" s="8" t="n">
        <v>0</v>
      </c>
      <c r="U224" s="8" t="n">
        <v>0</v>
      </c>
      <c r="V224" s="8" t="n">
        <v>0</v>
      </c>
      <c r="W224" s="8" t="n">
        <v>0</v>
      </c>
      <c r="X224" s="8" t="n">
        <v>0</v>
      </c>
      <c r="Y224" s="8" t="inlineStr">
        <is>
          <t>K_S B1 Seq#10 (dropped 3rd strike); HR B3 play#29 (solo, RBI:1); replaced by J Ketterer B4 play#42</t>
        </is>
      </c>
    </row>
    <row r="225" ht="15.75" customHeight="1" s="35">
      <c r="A225" s="8" t="inlineStr">
        <is>
          <t>2026-03-14_NRTH_at_MRRT</t>
        </is>
      </c>
      <c r="B225" s="2" t="n">
        <v>46095</v>
      </c>
      <c r="C225" s="8" t="inlineStr">
        <is>
          <t>NRTH</t>
        </is>
      </c>
      <c r="D225" s="8" t="inlineStr">
        <is>
          <t>MRRT</t>
        </is>
      </c>
      <c r="E225" s="8" t="inlineStr">
        <is>
          <t>J Devito</t>
        </is>
      </c>
      <c r="F225" s="8" t="n">
        <v>2</v>
      </c>
      <c r="G225" s="8" t="n">
        <v>2</v>
      </c>
      <c r="H225" s="8" t="n">
        <v>0</v>
      </c>
      <c r="I225" s="8" t="n">
        <v>0</v>
      </c>
      <c r="J225" s="8" t="n">
        <v>0</v>
      </c>
      <c r="K225" s="8" t="n">
        <v>0</v>
      </c>
      <c r="L225" s="8" t="n">
        <v>0</v>
      </c>
      <c r="M225" s="8" t="n">
        <v>0</v>
      </c>
      <c r="N225" s="8" t="n">
        <v>0</v>
      </c>
      <c r="O225" s="8" t="n">
        <v>0</v>
      </c>
      <c r="P225" s="8" t="n">
        <v>0</v>
      </c>
      <c r="Q225" s="8" t="n">
        <v>0</v>
      </c>
      <c r="R225" s="8" t="n">
        <v>1</v>
      </c>
      <c r="S225" s="8" t="n">
        <v>0</v>
      </c>
      <c r="T225" s="8" t="n">
        <v>1</v>
      </c>
      <c r="U225" s="8" t="n">
        <v>0</v>
      </c>
      <c r="V225" s="8" t="n">
        <v>0</v>
      </c>
      <c r="W225" s="8" t="n">
        <v>0</v>
      </c>
      <c r="X225" s="8" t="n">
        <v>0</v>
      </c>
      <c r="Y225" s="8" t="inlineStr">
        <is>
          <t>PO B2 play#15; E B3 play#30 (Z Bowman 3B); SB 2nd B3 Seq#31; R B3 play#34 (A Hlavaty E, J Devito scores); replaced by B Balighian B4 play#43</t>
        </is>
      </c>
    </row>
    <row r="226" ht="15.75" customHeight="1" s="35">
      <c r="A226" s="8" t="inlineStr">
        <is>
          <t>2026-03-14_NRTH_at_MRRT</t>
        </is>
      </c>
      <c r="B226" s="2" t="n">
        <v>46095</v>
      </c>
      <c r="C226" s="8" t="inlineStr">
        <is>
          <t>NRTH</t>
        </is>
      </c>
      <c r="D226" s="8" t="inlineStr">
        <is>
          <t>MRRT</t>
        </is>
      </c>
      <c r="E226" s="8" t="inlineStr">
        <is>
          <t>S Thomas</t>
        </is>
      </c>
      <c r="F226" s="8" t="n">
        <v>2</v>
      </c>
      <c r="G226" s="8" t="n">
        <v>0</v>
      </c>
      <c r="H226" s="8" t="n">
        <v>0</v>
      </c>
      <c r="I226" s="8" t="n">
        <v>0</v>
      </c>
      <c r="J226" s="8" t="n">
        <v>0</v>
      </c>
      <c r="K226" s="8" t="n">
        <v>0</v>
      </c>
      <c r="L226" s="8" t="n">
        <v>0</v>
      </c>
      <c r="M226" s="8" t="n">
        <v>1</v>
      </c>
      <c r="N226" s="8" t="n">
        <v>1</v>
      </c>
      <c r="O226" s="8" t="n">
        <v>0</v>
      </c>
      <c r="P226" s="8" t="n">
        <v>0</v>
      </c>
      <c r="Q226" s="8" t="n">
        <v>0</v>
      </c>
      <c r="R226" s="8" t="n">
        <v>2</v>
      </c>
      <c r="S226" s="8" t="n">
        <v>0</v>
      </c>
      <c r="T226" s="8" t="n">
        <v>0</v>
      </c>
      <c r="U226" s="8" t="n">
        <v>0</v>
      </c>
      <c r="V226" s="8" t="n">
        <v>0</v>
      </c>
      <c r="W226" s="8" t="n">
        <v>0</v>
      </c>
      <c r="X226" s="8" t="n">
        <v>0</v>
      </c>
      <c r="Y226" s="8" t="inlineStr">
        <is>
          <t>HBP B2 play#16; CR R Marsili in for S Thomas (B2 play#16); R: via CR R Marsili play#18 PB + own legs B3 play#36 WP; BB B3 play#31; replaced by J Yeich B5 play#49; also pitches T1-T2</t>
        </is>
      </c>
    </row>
    <row r="227" ht="15.75" customHeight="1" s="35">
      <c r="A227" s="8" t="inlineStr">
        <is>
          <t>2026-03-14_NRTH_at_MRRT</t>
        </is>
      </c>
      <c r="B227" s="2" t="n">
        <v>46095</v>
      </c>
      <c r="C227" s="8" t="inlineStr">
        <is>
          <t>NRTH</t>
        </is>
      </c>
      <c r="D227" s="8" t="inlineStr">
        <is>
          <t>MRRT</t>
        </is>
      </c>
      <c r="E227" s="8" t="inlineStr">
        <is>
          <t>T Rauscher</t>
        </is>
      </c>
      <c r="F227" s="8" t="n">
        <v>3</v>
      </c>
      <c r="G227" s="8" t="n">
        <v>3</v>
      </c>
      <c r="H227" s="8" t="n">
        <v>1</v>
      </c>
      <c r="I227" s="8" t="n">
        <v>1</v>
      </c>
      <c r="J227" s="8" t="n">
        <v>0</v>
      </c>
      <c r="K227" s="8" t="n">
        <v>0</v>
      </c>
      <c r="L227" s="8" t="n">
        <v>0</v>
      </c>
      <c r="M227" s="8" t="n">
        <v>0</v>
      </c>
      <c r="N227" s="8" t="n">
        <v>0</v>
      </c>
      <c r="O227" s="8" t="n">
        <v>1</v>
      </c>
      <c r="P227" s="8" t="n">
        <v>0</v>
      </c>
      <c r="Q227" s="8" t="n">
        <v>1</v>
      </c>
      <c r="R227" s="8" t="n">
        <v>1</v>
      </c>
      <c r="S227" s="8" t="n">
        <v>0</v>
      </c>
      <c r="T227" s="8" t="n">
        <v>0</v>
      </c>
      <c r="U227" s="8" t="n">
        <v>0</v>
      </c>
      <c r="V227" s="8" t="n">
        <v>0</v>
      </c>
      <c r="W227" s="8" t="n">
        <v>0</v>
      </c>
      <c r="X227" s="8" t="n">
        <v>0</v>
      </c>
      <c r="Y227" s="8" t="inlineStr">
        <is>
          <t>LO B2 play#17; K_S B3 Seq#32; 1B B5 play#50 (CR A Montgomery in B5 play#51); R B5 play#51 via CR A Montgomery (E S Dixon); B6 play#64 no outcome not counted (Flag#1)</t>
        </is>
      </c>
    </row>
    <row r="228" ht="15.75" customHeight="1" s="35">
      <c r="A228" s="8" t="inlineStr">
        <is>
          <t>2026-03-14_NRTH_at_MRRT</t>
        </is>
      </c>
      <c r="B228" s="2" t="n">
        <v>46095</v>
      </c>
      <c r="C228" s="8" t="inlineStr">
        <is>
          <t>NRTH</t>
        </is>
      </c>
      <c r="D228" s="8" t="inlineStr">
        <is>
          <t>MRRT</t>
        </is>
      </c>
      <c r="E228" s="8" t="inlineStr">
        <is>
          <t>M Delmonte</t>
        </is>
      </c>
      <c r="F228" s="8" t="n">
        <v>2</v>
      </c>
      <c r="G228" s="8" t="n">
        <v>1</v>
      </c>
      <c r="H228" s="8" t="n">
        <v>0</v>
      </c>
      <c r="I228" s="8" t="n">
        <v>0</v>
      </c>
      <c r="J228" s="8" t="n">
        <v>0</v>
      </c>
      <c r="K228" s="8" t="n">
        <v>0</v>
      </c>
      <c r="L228" s="8" t="n">
        <v>0</v>
      </c>
      <c r="M228" s="8" t="n">
        <v>1</v>
      </c>
      <c r="N228" s="8" t="n">
        <v>0</v>
      </c>
      <c r="O228" s="8" t="n">
        <v>1</v>
      </c>
      <c r="P228" s="8" t="n">
        <v>0</v>
      </c>
      <c r="Q228" s="8" t="n">
        <v>1</v>
      </c>
      <c r="R228" s="8" t="n">
        <v>1</v>
      </c>
      <c r="S228" s="8" t="n">
        <v>0</v>
      </c>
      <c r="T228" s="8" t="n">
        <v>0</v>
      </c>
      <c r="U228" s="8" t="n">
        <v>0</v>
      </c>
      <c r="V228" s="8" t="n">
        <v>0</v>
      </c>
      <c r="W228" s="8" t="n">
        <v>0</v>
      </c>
      <c r="X228" s="8" t="n">
        <v>0</v>
      </c>
      <c r="Y228" s="8" t="inlineStr">
        <is>
          <t>BB B2 play#18; K_S B3 Seq#33; R B2 play#20 (M Parson 1B); replaced by #6 B5 play#51</t>
        </is>
      </c>
    </row>
    <row r="229" ht="15.75" customHeight="1" s="35">
      <c r="A229" s="8" t="inlineStr">
        <is>
          <t>2026-03-14_NRTH_at_MRRT</t>
        </is>
      </c>
      <c r="B229" s="2" t="n">
        <v>46095</v>
      </c>
      <c r="C229" s="8" t="inlineStr">
        <is>
          <t>NRTH</t>
        </is>
      </c>
      <c r="D229" s="8" t="inlineStr">
        <is>
          <t>MRRT</t>
        </is>
      </c>
      <c r="E229" s="8" t="inlineStr">
        <is>
          <t>A Hlavaty</t>
        </is>
      </c>
      <c r="F229" s="8" t="n">
        <v>1</v>
      </c>
      <c r="G229" s="8" t="n">
        <v>1</v>
      </c>
      <c r="H229" s="8" t="n">
        <v>0</v>
      </c>
      <c r="I229" s="8" t="n">
        <v>0</v>
      </c>
      <c r="J229" s="8" t="n">
        <v>0</v>
      </c>
      <c r="K229" s="8" t="n">
        <v>0</v>
      </c>
      <c r="L229" s="8" t="n">
        <v>0</v>
      </c>
      <c r="M229" s="8" t="n">
        <v>0</v>
      </c>
      <c r="N229" s="8" t="n">
        <v>0</v>
      </c>
      <c r="O229" s="8" t="n">
        <v>0</v>
      </c>
      <c r="P229" s="8" t="n">
        <v>0</v>
      </c>
      <c r="Q229" s="8" t="n">
        <v>0</v>
      </c>
      <c r="R229" s="8" t="n">
        <v>0</v>
      </c>
      <c r="S229" s="8" t="n">
        <v>0</v>
      </c>
      <c r="T229" s="8" t="n">
        <v>0</v>
      </c>
      <c r="U229" s="8" t="n">
        <v>0</v>
      </c>
      <c r="V229" s="8" t="n">
        <v>0</v>
      </c>
      <c r="W229" s="8" t="n">
        <v>0</v>
      </c>
      <c r="X229" s="8" t="n">
        <v>0</v>
      </c>
      <c r="Y229" s="8" t="inlineStr">
        <is>
          <t>E B3 play#34 (reaches on Z Bowman 3B error; J Devito scores, S Thomas adv to 3rd, A Hlavaty adv to 2nd; stranded at 3rd end B3); pinch-hits for O Snow; replaced by #2 B5 play#52</t>
        </is>
      </c>
    </row>
    <row r="230" ht="15.75" customHeight="1" s="35">
      <c r="A230" s="8" t="inlineStr">
        <is>
          <t>2026-03-14_NRTH_at_MRRT</t>
        </is>
      </c>
      <c r="B230" s="2" t="n">
        <v>46095</v>
      </c>
      <c r="C230" s="8" t="inlineStr">
        <is>
          <t>NRTH</t>
        </is>
      </c>
      <c r="D230" s="8" t="inlineStr">
        <is>
          <t>MRRT</t>
        </is>
      </c>
      <c r="E230" s="8" t="inlineStr">
        <is>
          <t>S Grams</t>
        </is>
      </c>
      <c r="F230" s="8" t="n">
        <v>1</v>
      </c>
      <c r="G230" s="8" t="n">
        <v>0</v>
      </c>
      <c r="H230" s="8" t="n">
        <v>0</v>
      </c>
      <c r="I230" s="8" t="n">
        <v>0</v>
      </c>
      <c r="J230" s="8" t="n">
        <v>0</v>
      </c>
      <c r="K230" s="8" t="n">
        <v>0</v>
      </c>
      <c r="L230" s="8" t="n">
        <v>0</v>
      </c>
      <c r="M230" s="8" t="n">
        <v>1</v>
      </c>
      <c r="N230" s="8" t="n">
        <v>0</v>
      </c>
      <c r="O230" s="8" t="n">
        <v>0</v>
      </c>
      <c r="P230" s="8" t="n">
        <v>0</v>
      </c>
      <c r="Q230" s="8" t="n">
        <v>0</v>
      </c>
      <c r="R230" s="8" t="n">
        <v>0</v>
      </c>
      <c r="S230" s="8" t="n">
        <v>0</v>
      </c>
      <c r="T230" s="8" t="n">
        <v>0</v>
      </c>
      <c r="U230" s="8" t="n">
        <v>0</v>
      </c>
      <c r="V230" s="8" t="n">
        <v>0</v>
      </c>
      <c r="W230" s="8" t="n">
        <v>0</v>
      </c>
      <c r="X230" s="8" t="n">
        <v>0</v>
      </c>
      <c r="Y230" s="8" t="inlineStr">
        <is>
          <t>BB B3 play#35; pinch-hits for M Parson; stranded end B3; replaced by K Yarema B5 play#54</t>
        </is>
      </c>
    </row>
    <row r="231" ht="15.75" customHeight="1" s="35">
      <c r="A231" s="8" t="inlineStr">
        <is>
          <t>2026-03-14_NRTH_at_MRRT</t>
        </is>
      </c>
      <c r="B231" s="2" t="n">
        <v>46095</v>
      </c>
      <c r="C231" s="8" t="inlineStr">
        <is>
          <t>NRTH</t>
        </is>
      </c>
      <c r="D231" s="8" t="inlineStr">
        <is>
          <t>MRRT</t>
        </is>
      </c>
      <c r="E231" s="8" t="inlineStr">
        <is>
          <t>T Smith</t>
        </is>
      </c>
      <c r="F231" s="8" t="n">
        <v>2</v>
      </c>
      <c r="G231" s="8" t="n">
        <v>1</v>
      </c>
      <c r="H231" s="8" t="n">
        <v>0</v>
      </c>
      <c r="I231" s="8" t="n">
        <v>0</v>
      </c>
      <c r="J231" s="8" t="n">
        <v>0</v>
      </c>
      <c r="K231" s="8" t="n">
        <v>0</v>
      </c>
      <c r="L231" s="8" t="n">
        <v>0</v>
      </c>
      <c r="M231" s="8" t="n">
        <v>1</v>
      </c>
      <c r="N231" s="8" t="n">
        <v>0</v>
      </c>
      <c r="O231" s="8" t="n">
        <v>1</v>
      </c>
      <c r="P231" s="8" t="n">
        <v>1</v>
      </c>
      <c r="Q231" s="8" t="n">
        <v>0</v>
      </c>
      <c r="R231" s="8" t="n">
        <v>1</v>
      </c>
      <c r="S231" s="8" t="n">
        <v>0</v>
      </c>
      <c r="T231" s="8" t="n">
        <v>0</v>
      </c>
      <c r="U231" s="8" t="n">
        <v>0</v>
      </c>
      <c r="V231" s="8" t="n">
        <v>0</v>
      </c>
      <c r="W231" s="8" t="n">
        <v>0</v>
      </c>
      <c r="X231" s="8" t="n">
        <v>0</v>
      </c>
      <c r="Y231" s="8" t="inlineStr">
        <is>
          <t>K_L B3 Seq#36 (S Thomas scores on WP embedded); BB B5 play#53; R B5 play#54 (K Yarema 2B); pinch-hits for N Brown; also pitches T5</t>
        </is>
      </c>
    </row>
    <row r="232" ht="15.75" customHeight="1" s="35">
      <c r="A232" s="8" t="inlineStr">
        <is>
          <t>2026-03-14_NRTH_at_MRRT</t>
        </is>
      </c>
      <c r="B232" s="2" t="n">
        <v>46095</v>
      </c>
      <c r="C232" s="8" t="inlineStr">
        <is>
          <t>NRTH</t>
        </is>
      </c>
      <c r="D232" s="8" t="inlineStr">
        <is>
          <t>MRRT</t>
        </is>
      </c>
      <c r="E232" s="8" t="inlineStr">
        <is>
          <t>R Marsili</t>
        </is>
      </c>
      <c r="F232" s="8" t="n">
        <v>1</v>
      </c>
      <c r="G232" s="8" t="n">
        <v>1</v>
      </c>
      <c r="H232" s="8" t="n">
        <v>1</v>
      </c>
      <c r="I232" s="8" t="n">
        <v>1</v>
      </c>
      <c r="J232" s="8" t="n">
        <v>0</v>
      </c>
      <c r="K232" s="8" t="n">
        <v>0</v>
      </c>
      <c r="L232" s="8" t="n">
        <v>0</v>
      </c>
      <c r="M232" s="8" t="n">
        <v>0</v>
      </c>
      <c r="N232" s="8" t="n">
        <v>0</v>
      </c>
      <c r="O232" s="8" t="n">
        <v>0</v>
      </c>
      <c r="P232" s="8" t="n">
        <v>0</v>
      </c>
      <c r="Q232" s="8" t="n">
        <v>0</v>
      </c>
      <c r="R232" s="8" t="n">
        <v>0</v>
      </c>
      <c r="S232" s="8" t="n">
        <v>0</v>
      </c>
      <c r="T232" s="8" t="n">
        <v>1</v>
      </c>
      <c r="U232" s="8" t="n">
        <v>0</v>
      </c>
      <c r="V232" s="8" t="n">
        <v>0</v>
      </c>
      <c r="W232" s="8" t="n">
        <v>0</v>
      </c>
      <c r="X232" s="8" t="n">
        <v>0</v>
      </c>
      <c r="Y232" s="8" t="inlineStr">
        <is>
          <t>CR for S Thomas B2 play#16 (R as CR credited to S Thomas); 1B B4 play#41 (replaces A Devito); SB 2nd B4 Seq#42; R as CR credited to S Thomas; also pitches T6</t>
        </is>
      </c>
    </row>
    <row r="233" ht="15.75" customHeight="1" s="35">
      <c r="A233" s="8" t="inlineStr">
        <is>
          <t>2026-03-14_NRTH_at_MRRT</t>
        </is>
      </c>
      <c r="B233" s="2" t="n">
        <v>46095</v>
      </c>
      <c r="C233" s="8" t="inlineStr">
        <is>
          <t>NRTH</t>
        </is>
      </c>
      <c r="D233" s="8" t="inlineStr">
        <is>
          <t>MRRT</t>
        </is>
      </c>
      <c r="E233" s="8" t="inlineStr">
        <is>
          <t>J Ketterer</t>
        </is>
      </c>
      <c r="F233" s="8" t="n">
        <v>2</v>
      </c>
      <c r="G233" s="8" t="n">
        <v>2</v>
      </c>
      <c r="H233" s="8" t="n">
        <v>1</v>
      </c>
      <c r="I233" s="8" t="n">
        <v>1</v>
      </c>
      <c r="J233" s="8" t="n">
        <v>0</v>
      </c>
      <c r="K233" s="8" t="n">
        <v>0</v>
      </c>
      <c r="L233" s="8" t="n">
        <v>0</v>
      </c>
      <c r="M233" s="8" t="n">
        <v>0</v>
      </c>
      <c r="N233" s="8" t="n">
        <v>0</v>
      </c>
      <c r="O233" s="8" t="n">
        <v>1</v>
      </c>
      <c r="P233" s="8" t="n">
        <v>1</v>
      </c>
      <c r="Q233" s="8" t="n">
        <v>0</v>
      </c>
      <c r="R233" s="8" t="n">
        <v>0</v>
      </c>
      <c r="S233" s="8" t="n">
        <v>0</v>
      </c>
      <c r="T233" s="8" t="n">
        <v>0</v>
      </c>
      <c r="U233" s="8" t="n">
        <v>0</v>
      </c>
      <c r="V233" s="8" t="n">
        <v>0</v>
      </c>
      <c r="W233" s="8" t="n">
        <v>0</v>
      </c>
      <c r="X233" s="8" t="n">
        <v>0</v>
      </c>
      <c r="Y233" s="8" t="inlineStr">
        <is>
          <t>K_L B4 Seq#42; 1B B5 play#55 (K Yarema adv to 3rd); adv 2nd on E Z Bowman Seq#56 (not SB)</t>
        </is>
      </c>
    </row>
    <row r="234" ht="15.75" customHeight="1" s="35">
      <c r="A234" s="8" t="inlineStr">
        <is>
          <t>2026-03-14_NRTH_at_MRRT</t>
        </is>
      </c>
      <c r="B234" s="2" t="n">
        <v>46095</v>
      </c>
      <c r="C234" s="8" t="inlineStr">
        <is>
          <t>NRTH</t>
        </is>
      </c>
      <c r="D234" s="8" t="inlineStr">
        <is>
          <t>MRRT</t>
        </is>
      </c>
      <c r="E234" s="8" t="inlineStr">
        <is>
          <t>B Balighian</t>
        </is>
      </c>
      <c r="F234" s="8" t="n">
        <v>2</v>
      </c>
      <c r="G234" s="8" t="n">
        <v>2</v>
      </c>
      <c r="H234" s="8" t="n">
        <v>0</v>
      </c>
      <c r="I234" s="8" t="n">
        <v>0</v>
      </c>
      <c r="J234" s="8" t="n">
        <v>0</v>
      </c>
      <c r="K234" s="8" t="n">
        <v>0</v>
      </c>
      <c r="L234" s="8" t="n">
        <v>0</v>
      </c>
      <c r="M234" s="8" t="n">
        <v>0</v>
      </c>
      <c r="N234" s="8" t="n">
        <v>0</v>
      </c>
      <c r="O234" s="8" t="n">
        <v>2</v>
      </c>
      <c r="P234" s="8" t="n">
        <v>1</v>
      </c>
      <c r="Q234" s="8" t="n">
        <v>1</v>
      </c>
      <c r="R234" s="8" t="n">
        <v>0</v>
      </c>
      <c r="S234" s="8" t="n">
        <v>0</v>
      </c>
      <c r="T234" s="8" t="n">
        <v>0</v>
      </c>
      <c r="U234" s="8" t="n">
        <v>0</v>
      </c>
      <c r="V234" s="8" t="n">
        <v>0</v>
      </c>
      <c r="W234" s="8" t="n">
        <v>0</v>
      </c>
      <c r="X234" s="8" t="n">
        <v>0</v>
      </c>
      <c r="Y234" s="8" t="inlineStr">
        <is>
          <t>K_L B4 Seq#43; K_S B5 Seq#56</t>
        </is>
      </c>
    </row>
    <row r="235" ht="15.75" customHeight="1" s="35">
      <c r="A235" s="8" t="inlineStr">
        <is>
          <t>2026-03-14_NRTH_at_MRRT</t>
        </is>
      </c>
      <c r="B235" s="2" t="n">
        <v>46095</v>
      </c>
      <c r="C235" s="8" t="inlineStr">
        <is>
          <t>NRTH</t>
        </is>
      </c>
      <c r="D235" s="8" t="inlineStr">
        <is>
          <t>MRRT</t>
        </is>
      </c>
      <c r="E235" s="8" t="inlineStr">
        <is>
          <t>J Yeich</t>
        </is>
      </c>
      <c r="F235" s="8" t="n">
        <v>2</v>
      </c>
      <c r="G235" s="8" t="n">
        <v>2</v>
      </c>
      <c r="H235" s="8" t="n">
        <v>0</v>
      </c>
      <c r="I235" s="8" t="n">
        <v>0</v>
      </c>
      <c r="J235" s="8" t="n">
        <v>0</v>
      </c>
      <c r="K235" s="8" t="n">
        <v>0</v>
      </c>
      <c r="L235" s="8" t="n">
        <v>0</v>
      </c>
      <c r="M235" s="8" t="n">
        <v>0</v>
      </c>
      <c r="N235" s="8" t="n">
        <v>0</v>
      </c>
      <c r="O235" s="8" t="n">
        <v>0</v>
      </c>
      <c r="P235" s="8" t="n">
        <v>0</v>
      </c>
      <c r="Q235" s="8" t="n">
        <v>0</v>
      </c>
      <c r="R235" s="8" t="n">
        <v>0</v>
      </c>
      <c r="S235" s="8" t="n">
        <v>0</v>
      </c>
      <c r="T235" s="8" t="n">
        <v>0</v>
      </c>
      <c r="U235" s="8" t="n">
        <v>0</v>
      </c>
      <c r="V235" s="8" t="n">
        <v>0</v>
      </c>
      <c r="W235" s="8" t="n">
        <v>0</v>
      </c>
      <c r="X235" s="8" t="n">
        <v>0</v>
      </c>
      <c r="Y235" s="8" t="inlineStr">
        <is>
          <t>GO B5 play#49 (replaces S Thomas); LO B5 play#57 (bats twice B5, Flag#6); also pitches T3-T4</t>
        </is>
      </c>
    </row>
    <row r="236" ht="15.75" customHeight="1" s="35">
      <c r="A236" s="8" t="inlineStr">
        <is>
          <t>2026-03-14_NRTH_at_MRRT</t>
        </is>
      </c>
      <c r="B236" s="2" t="n">
        <v>46095</v>
      </c>
      <c r="C236" s="8" t="inlineStr">
        <is>
          <t>NRTH</t>
        </is>
      </c>
      <c r="D236" s="8" t="inlineStr">
        <is>
          <t>MRRT</t>
        </is>
      </c>
      <c r="E236" s="8" t="inlineStr">
        <is>
          <t>#6</t>
        </is>
      </c>
      <c r="F236" s="8" t="n">
        <v>1</v>
      </c>
      <c r="G236" s="8" t="n">
        <v>1</v>
      </c>
      <c r="H236" s="8" t="n">
        <v>1</v>
      </c>
      <c r="I236" s="8" t="n">
        <v>1</v>
      </c>
      <c r="J236" s="8" t="n">
        <v>0</v>
      </c>
      <c r="K236" s="8" t="n">
        <v>0</v>
      </c>
      <c r="L236" s="8" t="n">
        <v>0</v>
      </c>
      <c r="M236" s="8" t="n">
        <v>0</v>
      </c>
      <c r="N236" s="8" t="n">
        <v>0</v>
      </c>
      <c r="O236" s="8" t="n">
        <v>0</v>
      </c>
      <c r="P236" s="8" t="n">
        <v>0</v>
      </c>
      <c r="Q236" s="8" t="n">
        <v>0</v>
      </c>
      <c r="R236" s="8" t="n">
        <v>1</v>
      </c>
      <c r="S236" s="8" t="n">
        <v>0</v>
      </c>
      <c r="T236" s="8" t="n">
        <v>1</v>
      </c>
      <c r="U236" s="8" t="n">
        <v>0</v>
      </c>
      <c r="V236" s="8" t="n">
        <v>0</v>
      </c>
      <c r="W236" s="8" t="n">
        <v>0</v>
      </c>
      <c r="X236" s="8" t="n">
        <v>0</v>
      </c>
      <c r="Y236" s="8" t="inlineStr">
        <is>
          <t>1B B5 play#51 (replaces M Delmonte; A Montgomery CR for T Rauscher scores on E S Dixon); SB 3rd B5 Seq#52; R B5 Seq#54 embedded (E A Williams before K Yarema batted ball); see Flags#12,#13</t>
        </is>
      </c>
    </row>
    <row r="237" ht="15.75" customHeight="1" s="35">
      <c r="A237" s="8" t="inlineStr">
        <is>
          <t>2026-03-14_NRTH_at_MRRT</t>
        </is>
      </c>
      <c r="B237" s="2" t="n">
        <v>46095</v>
      </c>
      <c r="C237" s="8" t="inlineStr">
        <is>
          <t>NRTH</t>
        </is>
      </c>
      <c r="D237" s="8" t="inlineStr">
        <is>
          <t>MRRT</t>
        </is>
      </c>
      <c r="E237" s="8" t="inlineStr">
        <is>
          <t>#2</t>
        </is>
      </c>
      <c r="F237" s="8" t="n">
        <v>1</v>
      </c>
      <c r="G237" s="8" t="n">
        <v>0</v>
      </c>
      <c r="H237" s="8" t="n">
        <v>0</v>
      </c>
      <c r="I237" s="8" t="n">
        <v>0</v>
      </c>
      <c r="J237" s="8" t="n">
        <v>0</v>
      </c>
      <c r="K237" s="8" t="n">
        <v>0</v>
      </c>
      <c r="L237" s="8" t="n">
        <v>0</v>
      </c>
      <c r="M237" s="8" t="n">
        <v>1</v>
      </c>
      <c r="N237" s="8" t="n">
        <v>0</v>
      </c>
      <c r="O237" s="8" t="n">
        <v>0</v>
      </c>
      <c r="P237" s="8" t="n">
        <v>0</v>
      </c>
      <c r="Q237" s="8" t="n">
        <v>0</v>
      </c>
      <c r="R237" s="8" t="n">
        <v>1</v>
      </c>
      <c r="S237" s="8" t="n">
        <v>0</v>
      </c>
      <c r="T237" s="8" t="n">
        <v>1</v>
      </c>
      <c r="U237" s="8" t="n">
        <v>0</v>
      </c>
      <c r="V237" s="8" t="n">
        <v>0</v>
      </c>
      <c r="W237" s="8" t="n">
        <v>0</v>
      </c>
      <c r="X237" s="8" t="n">
        <v>0</v>
      </c>
      <c r="Y237" s="8" t="inlineStr">
        <is>
          <t>BB B5 play#52 (replaces A Hlavaty); SB 2nd B5 Seq#53; R B5 play#54 (K Yarema 2B); see Flag#13</t>
        </is>
      </c>
    </row>
    <row r="238" ht="15.75" customHeight="1" s="35">
      <c r="A238" s="8" t="inlineStr">
        <is>
          <t>2026-03-14_NRTH_at_MRRT</t>
        </is>
      </c>
      <c r="B238" s="2" t="n">
        <v>46095</v>
      </c>
      <c r="C238" s="8" t="inlineStr">
        <is>
          <t>NRTH</t>
        </is>
      </c>
      <c r="D238" s="8" t="inlineStr">
        <is>
          <t>MRRT</t>
        </is>
      </c>
      <c r="E238" s="8" t="inlineStr">
        <is>
          <t>K Yarema</t>
        </is>
      </c>
      <c r="F238" s="8" t="n">
        <v>1</v>
      </c>
      <c r="G238" s="8" t="n">
        <v>1</v>
      </c>
      <c r="H238" s="8" t="n">
        <v>1</v>
      </c>
      <c r="I238" s="8" t="n">
        <v>0</v>
      </c>
      <c r="J238" s="8" t="n">
        <v>1</v>
      </c>
      <c r="K238" s="8" t="n">
        <v>0</v>
      </c>
      <c r="L238" s="8" t="n">
        <v>0</v>
      </c>
      <c r="M238" s="8" t="n">
        <v>0</v>
      </c>
      <c r="N238" s="8" t="n">
        <v>0</v>
      </c>
      <c r="O238" s="8" t="n">
        <v>0</v>
      </c>
      <c r="P238" s="8" t="n">
        <v>0</v>
      </c>
      <c r="Q238" s="8" t="n">
        <v>0</v>
      </c>
      <c r="R238" s="8" t="n">
        <v>1</v>
      </c>
      <c r="S238" s="8" t="n">
        <v>2</v>
      </c>
      <c r="T238" s="8" t="n">
        <v>0</v>
      </c>
      <c r="U238" s="8" t="n">
        <v>0</v>
      </c>
      <c r="V238" s="8" t="n">
        <v>0</v>
      </c>
      <c r="W238" s="8" t="n">
        <v>0</v>
      </c>
      <c r="X238" s="8" t="n">
        <v>0</v>
      </c>
      <c r="Y238" s="8" t="inlineStr">
        <is>
          <t>2B B5 play#54 (replaces S Grams; RBI: T Smith scores + #2 scores; #6 scores on E A Williams embedded before batted ball, Flag#12); R B5 Seq#56 embedded E Z Bowman (K Yarema scores on E during B Balighian K)</t>
        </is>
      </c>
    </row>
    <row r="239" ht="15.75" customHeight="1" s="35">
      <c r="A239" s="8" t="inlineStr">
        <is>
          <t>2026-03-20_PTXN_at_NRTH</t>
        </is>
      </c>
      <c r="B239" s="2" t="n">
        <v>46101</v>
      </c>
      <c r="C239" s="8" t="inlineStr">
        <is>
          <t>PTXN</t>
        </is>
      </c>
      <c r="D239" s="8" t="inlineStr">
        <is>
          <t>NRTH</t>
        </is>
      </c>
      <c r="E239" s="8" t="inlineStr">
        <is>
          <t>A Espejo</t>
        </is>
      </c>
      <c r="F239" s="8" t="n">
        <v>4</v>
      </c>
      <c r="G239" s="8" t="n">
        <v>4</v>
      </c>
      <c r="H239" s="8" t="n">
        <v>1</v>
      </c>
      <c r="I239" s="8" t="n">
        <v>1</v>
      </c>
      <c r="J239" s="8" t="n">
        <v>0</v>
      </c>
      <c r="K239" s="8" t="n">
        <v>0</v>
      </c>
      <c r="L239" s="8" t="n">
        <v>0</v>
      </c>
      <c r="M239" s="8" t="n">
        <v>0</v>
      </c>
      <c r="N239" s="8" t="n">
        <v>0</v>
      </c>
      <c r="O239" s="8" t="n">
        <v>2</v>
      </c>
      <c r="P239" s="8" t="n">
        <v>2</v>
      </c>
      <c r="Q239" s="8" t="n">
        <v>0</v>
      </c>
      <c r="R239" s="8" t="n">
        <v>0</v>
      </c>
      <c r="S239" s="8" t="n">
        <v>0</v>
      </c>
      <c r="T239" s="8" t="n">
        <v>1</v>
      </c>
      <c r="U239" s="8" t="n">
        <v>0</v>
      </c>
      <c r="V239" s="8" t="n">
        <v>0</v>
      </c>
      <c r="W239" s="8" t="n">
        <v>0</v>
      </c>
      <c r="X239" s="8" t="n">
        <v>0</v>
      </c>
      <c r="Y239" s="8" t="inlineStr">
        <is>
          <t>K_L B1 Seq#6; 1B B2 play#22; K_L B5 Seq#43; GO B7 play#65; SB 2nd B2 Seq#24 (embedded A Harding K AB); also pitches T1-T5</t>
        </is>
      </c>
    </row>
    <row r="240" ht="15.75" customHeight="1" s="35">
      <c r="A240" s="8" t="inlineStr">
        <is>
          <t>2026-03-20_PTXN_at_NRTH</t>
        </is>
      </c>
      <c r="B240" s="2" t="n">
        <v>46101</v>
      </c>
      <c r="C240" s="8" t="inlineStr">
        <is>
          <t>PTXN</t>
        </is>
      </c>
      <c r="D240" s="8" t="inlineStr">
        <is>
          <t>NRTH</t>
        </is>
      </c>
      <c r="E240" s="8" t="inlineStr">
        <is>
          <t>A Thomas</t>
        </is>
      </c>
      <c r="F240" s="8" t="n">
        <v>4</v>
      </c>
      <c r="G240" s="8" t="n">
        <v>3</v>
      </c>
      <c r="H240" s="8" t="n">
        <v>0</v>
      </c>
      <c r="I240" s="8" t="n">
        <v>0</v>
      </c>
      <c r="J240" s="8" t="n">
        <v>0</v>
      </c>
      <c r="K240" s="8" t="n">
        <v>0</v>
      </c>
      <c r="L240" s="8" t="n">
        <v>0</v>
      </c>
      <c r="M240" s="8" t="n">
        <v>0</v>
      </c>
      <c r="N240" s="8" t="n">
        <v>0</v>
      </c>
      <c r="O240" s="8" t="n">
        <v>3</v>
      </c>
      <c r="P240" s="8" t="n">
        <v>2</v>
      </c>
      <c r="Q240" s="8" t="n">
        <v>1</v>
      </c>
      <c r="R240" s="8" t="n">
        <v>0</v>
      </c>
      <c r="S240" s="8" t="n">
        <v>1</v>
      </c>
      <c r="T240" s="8" t="n">
        <v>0</v>
      </c>
      <c r="U240" s="8" t="n">
        <v>0</v>
      </c>
      <c r="V240" s="8" t="n">
        <v>0</v>
      </c>
      <c r="W240" s="8" t="n">
        <v>1</v>
      </c>
      <c r="X240" s="8" t="n">
        <v>0</v>
      </c>
      <c r="Y240" s="8" t="inlineStr">
        <is>
          <t>K_S B1 Seq#7; SAC fly B2 play#23 (C Pettko scores, RBI:1); K_L B5 Seq#44; K_L B7 Seq#66</t>
        </is>
      </c>
    </row>
    <row r="241" ht="15.75" customHeight="1" s="35">
      <c r="A241" s="8" t="inlineStr">
        <is>
          <t>2026-03-20_PTXN_at_NRTH</t>
        </is>
      </c>
      <c r="B241" s="2" t="n">
        <v>46101</v>
      </c>
      <c r="C241" s="8" t="inlineStr">
        <is>
          <t>PTXN</t>
        </is>
      </c>
      <c r="D241" s="8" t="inlineStr">
        <is>
          <t>NRTH</t>
        </is>
      </c>
      <c r="E241" s="8" t="inlineStr">
        <is>
          <t>A Harding</t>
        </is>
      </c>
      <c r="F241" s="8" t="n">
        <v>4</v>
      </c>
      <c r="G241" s="8" t="n">
        <v>3</v>
      </c>
      <c r="H241" s="8" t="n">
        <v>1</v>
      </c>
      <c r="I241" s="8" t="n">
        <v>1</v>
      </c>
      <c r="J241" s="8" t="n">
        <v>0</v>
      </c>
      <c r="K241" s="8" t="n">
        <v>0</v>
      </c>
      <c r="L241" s="8" t="n">
        <v>0</v>
      </c>
      <c r="M241" s="8" t="n">
        <v>1</v>
      </c>
      <c r="N241" s="8" t="n">
        <v>0</v>
      </c>
      <c r="O241" s="8" t="n">
        <v>2</v>
      </c>
      <c r="P241" s="8" t="n">
        <v>1</v>
      </c>
      <c r="Q241" s="8" t="n">
        <v>1</v>
      </c>
      <c r="R241" s="8" t="n">
        <v>1</v>
      </c>
      <c r="S241" s="8" t="n">
        <v>0</v>
      </c>
      <c r="T241" s="8" t="n">
        <v>1</v>
      </c>
      <c r="U241" s="8" t="n">
        <v>0</v>
      </c>
      <c r="V241" s="8" t="n">
        <v>0</v>
      </c>
      <c r="W241" s="8" t="n">
        <v>0</v>
      </c>
      <c r="X241" s="8" t="n">
        <v>0</v>
      </c>
      <c r="Y241" s="8" t="inlineStr">
        <is>
          <t>BB B1 play#8; K_L B2 Seq#24; 1B B5 play#45; K_S B7 Seq#67; R B1 play#9 (Z Bowman E); SB 2nd B1 Seq#9 (embedded Z Bowman AB); pickoff at 2nd B5 play#47 (ends inning; not scored as CS — pickoff by C L Powell to SS R Whitney); see Flag#6</t>
        </is>
      </c>
    </row>
    <row r="242" ht="15.75" customHeight="1" s="35">
      <c r="A242" s="8" t="inlineStr">
        <is>
          <t>2026-03-20_PTXN_at_NRTH</t>
        </is>
      </c>
      <c r="B242" s="2" t="n">
        <v>46101</v>
      </c>
      <c r="C242" s="8" t="inlineStr">
        <is>
          <t>PTXN</t>
        </is>
      </c>
      <c r="D242" s="8" t="inlineStr">
        <is>
          <t>NRTH</t>
        </is>
      </c>
      <c r="E242" s="8" t="inlineStr">
        <is>
          <t>Z Bowman</t>
        </is>
      </c>
      <c r="F242" s="8" t="n">
        <v>3</v>
      </c>
      <c r="G242" s="8" t="n">
        <v>3</v>
      </c>
      <c r="H242" s="8" t="n">
        <v>0</v>
      </c>
      <c r="I242" s="8" t="n">
        <v>0</v>
      </c>
      <c r="J242" s="8" t="n">
        <v>0</v>
      </c>
      <c r="K242" s="8" t="n">
        <v>0</v>
      </c>
      <c r="L242" s="8" t="n">
        <v>0</v>
      </c>
      <c r="M242" s="8" t="n">
        <v>0</v>
      </c>
      <c r="N242" s="8" t="n">
        <v>0</v>
      </c>
      <c r="O242" s="8" t="n">
        <v>0</v>
      </c>
      <c r="P242" s="8" t="n">
        <v>0</v>
      </c>
      <c r="Q242" s="8" t="n">
        <v>0</v>
      </c>
      <c r="R242" s="8" t="n">
        <v>1</v>
      </c>
      <c r="S242" s="8" t="n">
        <v>0</v>
      </c>
      <c r="T242" s="8" t="n">
        <v>0</v>
      </c>
      <c r="U242" s="8" t="n">
        <v>0</v>
      </c>
      <c r="V242" s="8" t="n">
        <v>0</v>
      </c>
      <c r="W242" s="8" t="n">
        <v>0</v>
      </c>
      <c r="X242" s="8" t="n">
        <v>0</v>
      </c>
      <c r="Y242" s="8" t="inlineStr">
        <is>
          <t>E B1 play#9 (R Whitney SS; A Harding scores on same E — no RBI, scored on error); FO B3 play#29; E B5 play#46 (R Whitney SS; AB resolved as E, no further result per Flag#6); R B1 play#10 (E Zimmerman 1B, Z Bowman scores from 2nd)</t>
        </is>
      </c>
    </row>
    <row r="243" ht="15.75" customHeight="1" s="35">
      <c r="A243" s="8" t="inlineStr">
        <is>
          <t>2026-03-20_PTXN_at_NRTH</t>
        </is>
      </c>
      <c r="B243" s="2" t="n">
        <v>46101</v>
      </c>
      <c r="C243" s="8" t="inlineStr">
        <is>
          <t>PTXN</t>
        </is>
      </c>
      <c r="D243" s="8" t="inlineStr">
        <is>
          <t>NRTH</t>
        </is>
      </c>
      <c r="E243" s="8" t="inlineStr">
        <is>
          <t>E Zimmerman</t>
        </is>
      </c>
      <c r="F243" s="8" t="n">
        <v>3</v>
      </c>
      <c r="G243" s="8" t="n">
        <v>2</v>
      </c>
      <c r="H243" s="8" t="n">
        <v>1</v>
      </c>
      <c r="I243" s="8" t="n">
        <v>1</v>
      </c>
      <c r="J243" s="8" t="n">
        <v>0</v>
      </c>
      <c r="K243" s="8" t="n">
        <v>0</v>
      </c>
      <c r="L243" s="8" t="n">
        <v>0</v>
      </c>
      <c r="M243" s="8" t="n">
        <v>0</v>
      </c>
      <c r="N243" s="8" t="n">
        <v>1</v>
      </c>
      <c r="O243" s="8" t="n">
        <v>1</v>
      </c>
      <c r="P243" s="8" t="n">
        <v>1</v>
      </c>
      <c r="Q243" s="8" t="n">
        <v>0</v>
      </c>
      <c r="R243" s="8" t="n">
        <v>1</v>
      </c>
      <c r="S243" s="8" t="n">
        <v>1</v>
      </c>
      <c r="T243" s="8" t="n">
        <v>0</v>
      </c>
      <c r="U243" s="8" t="n">
        <v>0</v>
      </c>
      <c r="V243" s="8" t="n">
        <v>0</v>
      </c>
      <c r="W243" s="8" t="n">
        <v>0</v>
      </c>
      <c r="X243" s="8" t="n">
        <v>0</v>
      </c>
      <c r="Y243" s="8" t="inlineStr">
        <is>
          <t>1B B1 play#10 (RBI Z Bowman scores); K_L B3 Seq#30; HBP B6 play#55 (CR J Smith in); R B6 play#59 via CR J Smith (T Roy FC; J Smith scored — credited to E Zimmerman per CR rule)</t>
        </is>
      </c>
    </row>
    <row r="244" ht="15.75" customHeight="1" s="35">
      <c r="A244" s="8" t="inlineStr">
        <is>
          <t>2026-03-20_PTXN_at_NRTH</t>
        </is>
      </c>
      <c r="B244" s="2" t="n">
        <v>46101</v>
      </c>
      <c r="C244" s="8" t="inlineStr">
        <is>
          <t>PTXN</t>
        </is>
      </c>
      <c r="D244" s="8" t="inlineStr">
        <is>
          <t>NRTH</t>
        </is>
      </c>
      <c r="E244" s="8" t="inlineStr">
        <is>
          <t>W Kwisnek</t>
        </is>
      </c>
      <c r="F244" s="8" t="n">
        <v>3</v>
      </c>
      <c r="G244" s="8" t="n">
        <v>3</v>
      </c>
      <c r="H244" s="8" t="n">
        <v>0</v>
      </c>
      <c r="I244" s="8" t="n">
        <v>0</v>
      </c>
      <c r="J244" s="8" t="n">
        <v>0</v>
      </c>
      <c r="K244" s="8" t="n">
        <v>0</v>
      </c>
      <c r="L244" s="8" t="n">
        <v>0</v>
      </c>
      <c r="M244" s="8" t="n">
        <v>0</v>
      </c>
      <c r="N244" s="8" t="n">
        <v>0</v>
      </c>
      <c r="O244" s="8" t="n">
        <v>3</v>
      </c>
      <c r="P244" s="8" t="n">
        <v>1</v>
      </c>
      <c r="Q244" s="8" t="n">
        <v>2</v>
      </c>
      <c r="R244" s="8" t="n">
        <v>0</v>
      </c>
      <c r="S244" s="8" t="n">
        <v>0</v>
      </c>
      <c r="T244" s="8" t="n">
        <v>0</v>
      </c>
      <c r="U244" s="8" t="n">
        <v>0</v>
      </c>
      <c r="V244" s="8" t="n">
        <v>0</v>
      </c>
      <c r="W244" s="8" t="n">
        <v>0</v>
      </c>
      <c r="X244" s="8" t="n">
        <v>0</v>
      </c>
      <c r="Y244" s="8" t="inlineStr">
        <is>
          <t>K_S B1 Seq#11; K_S B3 Seq#31; K_L B6 Seq#56</t>
        </is>
      </c>
    </row>
    <row r="245" ht="15.75" customHeight="1" s="35">
      <c r="A245" s="8" t="inlineStr">
        <is>
          <t>2026-03-20_PTXN_at_NRTH</t>
        </is>
      </c>
      <c r="B245" s="2" t="n">
        <v>46101</v>
      </c>
      <c r="C245" s="8" t="inlineStr">
        <is>
          <t>PTXN</t>
        </is>
      </c>
      <c r="D245" s="8" t="inlineStr">
        <is>
          <t>NRTH</t>
        </is>
      </c>
      <c r="E245" s="8" t="inlineStr">
        <is>
          <t>S Dixon</t>
        </is>
      </c>
      <c r="F245" s="8" t="n">
        <v>3</v>
      </c>
      <c r="G245" s="8" t="n">
        <v>3</v>
      </c>
      <c r="H245" s="8" t="n">
        <v>0</v>
      </c>
      <c r="I245" s="8" t="n">
        <v>0</v>
      </c>
      <c r="J245" s="8" t="n">
        <v>0</v>
      </c>
      <c r="K245" s="8" t="n">
        <v>0</v>
      </c>
      <c r="L245" s="8" t="n">
        <v>0</v>
      </c>
      <c r="M245" s="8" t="n">
        <v>0</v>
      </c>
      <c r="N245" s="8" t="n">
        <v>0</v>
      </c>
      <c r="O245" s="8" t="n">
        <v>1</v>
      </c>
      <c r="P245" s="8" t="n">
        <v>1</v>
      </c>
      <c r="Q245" s="8" t="n">
        <v>0</v>
      </c>
      <c r="R245" s="8" t="n">
        <v>0</v>
      </c>
      <c r="S245" s="8" t="n">
        <v>0</v>
      </c>
      <c r="T245" s="8" t="n">
        <v>0</v>
      </c>
      <c r="U245" s="8" t="n">
        <v>1</v>
      </c>
      <c r="V245" s="8" t="n">
        <v>0</v>
      </c>
      <c r="W245" s="8" t="n">
        <v>0</v>
      </c>
      <c r="X245" s="8" t="n">
        <v>0</v>
      </c>
      <c r="Y245" s="8" t="inlineStr">
        <is>
          <t>E B2 play#19 (D Bradley 3B); CS 2nd B2 Seq#20 (2B B Cowan, embedded C Pettko 1B AB); K_L B4 Seq#35; E B6 play#57 (N Kelly LF)</t>
        </is>
      </c>
    </row>
    <row r="246" ht="15.75" customHeight="1" s="35">
      <c r="A246" s="8" t="inlineStr">
        <is>
          <t>2026-03-20_PTXN_at_NRTH</t>
        </is>
      </c>
      <c r="B246" s="2" t="n">
        <v>46101</v>
      </c>
      <c r="C246" s="8" t="inlineStr">
        <is>
          <t>PTXN</t>
        </is>
      </c>
      <c r="D246" s="8" t="inlineStr">
        <is>
          <t>NRTH</t>
        </is>
      </c>
      <c r="E246" s="8" t="inlineStr">
        <is>
          <t>C Pettko</t>
        </is>
      </c>
      <c r="F246" s="8" t="n">
        <v>3</v>
      </c>
      <c r="G246" s="8" t="n">
        <v>2</v>
      </c>
      <c r="H246" s="8" t="n">
        <v>1</v>
      </c>
      <c r="I246" s="8" t="n">
        <v>1</v>
      </c>
      <c r="J246" s="8" t="n">
        <v>0</v>
      </c>
      <c r="K246" s="8" t="n">
        <v>0</v>
      </c>
      <c r="L246" s="8" t="n">
        <v>0</v>
      </c>
      <c r="M246" s="8" t="n">
        <v>1</v>
      </c>
      <c r="N246" s="8" t="n">
        <v>0</v>
      </c>
      <c r="O246" s="8" t="n">
        <v>0</v>
      </c>
      <c r="P246" s="8" t="n">
        <v>0</v>
      </c>
      <c r="Q246" s="8" t="n">
        <v>0</v>
      </c>
      <c r="R246" s="8" t="n">
        <v>1</v>
      </c>
      <c r="S246" s="8" t="n">
        <v>0</v>
      </c>
      <c r="T246" s="8" t="n">
        <v>0</v>
      </c>
      <c r="U246" s="8" t="n">
        <v>0</v>
      </c>
      <c r="V246" s="8" t="n">
        <v>0</v>
      </c>
      <c r="W246" s="8" t="n">
        <v>0</v>
      </c>
      <c r="X246" s="8" t="n">
        <v>0</v>
      </c>
      <c r="Y246" s="8" t="inlineStr">
        <is>
          <t>1B B2 play#20; PO B4 play#36; BB B6 play#58; R B2 play#23 (A Thomas SAC fly); out at 2nd on FC B6 play#59 (T Roy FC); also pitches T6-T7</t>
        </is>
      </c>
    </row>
    <row r="247" ht="15.75" customHeight="1" s="35">
      <c r="A247" s="8" t="inlineStr">
        <is>
          <t>2026-03-20_PTXN_at_NRTH</t>
        </is>
      </c>
      <c r="B247" s="2" t="n">
        <v>46101</v>
      </c>
      <c r="C247" s="8" t="inlineStr">
        <is>
          <t>PTXN</t>
        </is>
      </c>
      <c r="D247" s="8" t="inlineStr">
        <is>
          <t>NRTH</t>
        </is>
      </c>
      <c r="E247" s="8" t="inlineStr">
        <is>
          <t>T Roy</t>
        </is>
      </c>
      <c r="F247" s="8" t="n">
        <v>3</v>
      </c>
      <c r="G247" s="8" t="n">
        <v>3</v>
      </c>
      <c r="H247" s="8" t="n">
        <v>1</v>
      </c>
      <c r="I247" s="8" t="n">
        <v>1</v>
      </c>
      <c r="J247" s="8" t="n">
        <v>0</v>
      </c>
      <c r="K247" s="8" t="n">
        <v>0</v>
      </c>
      <c r="L247" s="8" t="n">
        <v>0</v>
      </c>
      <c r="M247" s="8" t="n">
        <v>0</v>
      </c>
      <c r="N247" s="8" t="n">
        <v>0</v>
      </c>
      <c r="O247" s="8" t="n">
        <v>1</v>
      </c>
      <c r="P247" s="8" t="n">
        <v>1</v>
      </c>
      <c r="Q247" s="8" t="n">
        <v>0</v>
      </c>
      <c r="R247" s="8" t="n">
        <v>0</v>
      </c>
      <c r="S247" s="8" t="n">
        <v>1</v>
      </c>
      <c r="T247" s="8" t="n">
        <v>0</v>
      </c>
      <c r="U247" s="8" t="n">
        <v>1</v>
      </c>
      <c r="V247" s="8" t="n">
        <v>0</v>
      </c>
      <c r="W247" s="8" t="n">
        <v>0</v>
      </c>
      <c r="X247" s="8" t="n">
        <v>1</v>
      </c>
      <c r="Y247" s="8" t="inlineStr">
        <is>
          <t>1B bunt B2 play#21; K_L B4 Seq#37; FC B6 play#59 (J Smith scores, RBI:1; C Pettko out at 2nd); CS B6 play#60 (P R Whitney to SS B Cowan; ends inning, see Flag#9)</t>
        </is>
      </c>
    </row>
    <row r="248" ht="15.75" customHeight="1" s="35">
      <c r="A248" s="8" t="inlineStr">
        <is>
          <t>2026-03-20_PTXN_at_NRTH</t>
        </is>
      </c>
      <c r="B248" s="2" t="n">
        <v>46101</v>
      </c>
      <c r="C248" s="8" t="inlineStr">
        <is>
          <t>NRTH</t>
        </is>
      </c>
      <c r="D248" s="8" t="inlineStr">
        <is>
          <t>PTXN</t>
        </is>
      </c>
      <c r="E248" s="8" t="inlineStr">
        <is>
          <t>B Cowan</t>
        </is>
      </c>
      <c r="F248" s="8" t="n">
        <v>4</v>
      </c>
      <c r="G248" s="8" t="n">
        <v>3</v>
      </c>
      <c r="H248" s="8" t="n">
        <v>0</v>
      </c>
      <c r="I248" s="8" t="n">
        <v>0</v>
      </c>
      <c r="J248" s="8" t="n">
        <v>0</v>
      </c>
      <c r="K248" s="8" t="n">
        <v>0</v>
      </c>
      <c r="L248" s="8" t="n">
        <v>0</v>
      </c>
      <c r="M248" s="8" t="n">
        <v>1</v>
      </c>
      <c r="N248" s="8" t="n">
        <v>0</v>
      </c>
      <c r="O248" s="8" t="n">
        <v>0</v>
      </c>
      <c r="P248" s="8" t="n">
        <v>0</v>
      </c>
      <c r="Q248" s="8" t="n">
        <v>0</v>
      </c>
      <c r="R248" s="8" t="n">
        <v>0</v>
      </c>
      <c r="S248" s="8" t="n">
        <v>0</v>
      </c>
      <c r="T248" s="8" t="n">
        <v>1</v>
      </c>
      <c r="U248" s="8" t="n">
        <v>0</v>
      </c>
      <c r="V248" s="8" t="n">
        <v>0</v>
      </c>
      <c r="W248" s="8" t="n">
        <v>0</v>
      </c>
      <c r="X248" s="8" t="n">
        <v>0</v>
      </c>
      <c r="Y248" s="8" t="inlineStr">
        <is>
          <t>GO T1 play#1; E T2 play#16 (A Harding SS; N Sands + C White score on E — no RBI); PO T4 play#34; BB T6 play#51; SB 2nd T2 Seq#17 (embedded T Lakey GO AB)</t>
        </is>
      </c>
    </row>
    <row r="249" ht="15.75" customHeight="1" s="35">
      <c r="A249" s="8" t="inlineStr">
        <is>
          <t>2026-03-20_PTXN_at_NRTH</t>
        </is>
      </c>
      <c r="B249" s="2" t="n">
        <v>46101</v>
      </c>
      <c r="C249" s="8" t="inlineStr">
        <is>
          <t>NRTH</t>
        </is>
      </c>
      <c r="D249" s="8" t="inlineStr">
        <is>
          <t>PTXN</t>
        </is>
      </c>
      <c r="E249" s="8" t="inlineStr">
        <is>
          <t>T Lakey</t>
        </is>
      </c>
      <c r="F249" s="8" t="n">
        <v>4</v>
      </c>
      <c r="G249" s="8" t="n">
        <v>4</v>
      </c>
      <c r="H249" s="8" t="n">
        <v>2</v>
      </c>
      <c r="I249" s="8" t="n">
        <v>2</v>
      </c>
      <c r="J249" s="8" t="n">
        <v>0</v>
      </c>
      <c r="K249" s="8" t="n">
        <v>0</v>
      </c>
      <c r="L249" s="8" t="n">
        <v>0</v>
      </c>
      <c r="M249" s="8" t="n">
        <v>0</v>
      </c>
      <c r="N249" s="8" t="n">
        <v>0</v>
      </c>
      <c r="O249" s="8" t="n">
        <v>0</v>
      </c>
      <c r="P249" s="8" t="n">
        <v>0</v>
      </c>
      <c r="Q249" s="8" t="n">
        <v>0</v>
      </c>
      <c r="R249" s="8" t="n">
        <v>1</v>
      </c>
      <c r="S249" s="8" t="n">
        <v>1</v>
      </c>
      <c r="T249" s="8" t="n">
        <v>3</v>
      </c>
      <c r="U249" s="8" t="n">
        <v>0</v>
      </c>
      <c r="V249" s="8" t="n">
        <v>0</v>
      </c>
      <c r="W249" s="8" t="n">
        <v>0</v>
      </c>
      <c r="X249" s="8" t="n">
        <v>0</v>
      </c>
      <c r="Y249" s="8" t="inlineStr">
        <is>
          <t>1B T1 play#2; GO T2 play#17 (D Bradley scores, RBI:1); FO T5 play#38; 1B T6 play#52; R T1 play#4 (R Whitney SF); SB x3: 2nd T1 Seq#3, 3rd T1 Seq#4, 2nd T6 Seq#53</t>
        </is>
      </c>
    </row>
    <row r="250" ht="15.75" customHeight="1" s="35">
      <c r="A250" s="8" t="inlineStr">
        <is>
          <t>2026-03-20_PTXN_at_NRTH</t>
        </is>
      </c>
      <c r="B250" s="2" t="n">
        <v>46101</v>
      </c>
      <c r="C250" s="8" t="inlineStr">
        <is>
          <t>NRTH</t>
        </is>
      </c>
      <c r="D250" s="8" t="inlineStr">
        <is>
          <t>PTXN</t>
        </is>
      </c>
      <c r="E250" s="8" t="inlineStr">
        <is>
          <t>L Powell</t>
        </is>
      </c>
      <c r="F250" s="8" t="n">
        <v>4</v>
      </c>
      <c r="G250" s="8" t="n">
        <v>1</v>
      </c>
      <c r="H250" s="8" t="n">
        <v>0</v>
      </c>
      <c r="I250" s="8" t="n">
        <v>0</v>
      </c>
      <c r="J250" s="8" t="n">
        <v>0</v>
      </c>
      <c r="K250" s="8" t="n">
        <v>0</v>
      </c>
      <c r="L250" s="8" t="n">
        <v>0</v>
      </c>
      <c r="M250" s="8" t="n">
        <v>3</v>
      </c>
      <c r="N250" s="8" t="n">
        <v>0</v>
      </c>
      <c r="O250" s="8" t="n">
        <v>0</v>
      </c>
      <c r="P250" s="8" t="n">
        <v>0</v>
      </c>
      <c r="Q250" s="8" t="n">
        <v>0</v>
      </c>
      <c r="R250" s="8" t="n">
        <v>2</v>
      </c>
      <c r="S250" s="8" t="n">
        <v>0</v>
      </c>
      <c r="T250" s="8" t="n">
        <v>1</v>
      </c>
      <c r="U250" s="8" t="n">
        <v>0</v>
      </c>
      <c r="V250" s="8" t="n">
        <v>0</v>
      </c>
      <c r="W250" s="8" t="n">
        <v>0</v>
      </c>
      <c r="X250" s="8" t="n">
        <v>0</v>
      </c>
      <c r="Y250" s="8" t="inlineStr">
        <is>
          <t>BB T1 play#3; GO T2 play#18; BB T5 play#39; IW T6 play#53 (counted as BB); CR R Hawkins in T6 play#54 (L Powell stranded via CR); R: T1 play#5 PB (embedded N Kelly K AB), T5 play#41 (N Kelly SF); SB 2nd T1 Seq#4 (embedded R Whitney SF AB); see Flag#8</t>
        </is>
      </c>
    </row>
    <row r="251" ht="15.75" customHeight="1" s="35">
      <c r="A251" s="8" t="inlineStr">
        <is>
          <t>2026-03-20_PTXN_at_NRTH</t>
        </is>
      </c>
      <c r="B251" s="2" t="n">
        <v>46101</v>
      </c>
      <c r="C251" s="8" t="inlineStr">
        <is>
          <t>NRTH</t>
        </is>
      </c>
      <c r="D251" s="8" t="inlineStr">
        <is>
          <t>PTXN</t>
        </is>
      </c>
      <c r="E251" s="8" t="inlineStr">
        <is>
          <t>R Whitney</t>
        </is>
      </c>
      <c r="F251" s="8" t="n">
        <v>4</v>
      </c>
      <c r="G251" s="8" t="n">
        <v>3</v>
      </c>
      <c r="H251" s="8" t="n">
        <v>2</v>
      </c>
      <c r="I251" s="8" t="n">
        <v>1</v>
      </c>
      <c r="J251" s="8" t="n">
        <v>1</v>
      </c>
      <c r="K251" s="8" t="n">
        <v>0</v>
      </c>
      <c r="L251" s="8" t="n">
        <v>0</v>
      </c>
      <c r="M251" s="8" t="n">
        <v>0</v>
      </c>
      <c r="N251" s="8" t="n">
        <v>0</v>
      </c>
      <c r="O251" s="8" t="n">
        <v>0</v>
      </c>
      <c r="P251" s="8" t="n">
        <v>0</v>
      </c>
      <c r="Q251" s="8" t="n">
        <v>0</v>
      </c>
      <c r="R251" s="8" t="n">
        <v>0</v>
      </c>
      <c r="S251" s="8" t="n">
        <v>1</v>
      </c>
      <c r="T251" s="8" t="n">
        <v>1</v>
      </c>
      <c r="U251" s="8" t="n">
        <v>1</v>
      </c>
      <c r="V251" s="8" t="n">
        <v>0</v>
      </c>
      <c r="W251" s="8" t="n">
        <v>1</v>
      </c>
      <c r="X251" s="8" t="n">
        <v>0</v>
      </c>
      <c r="Y251" s="8" t="inlineStr">
        <is>
          <t>SAC fly T1 play#4 (T Lakey scores, RBI:1); 2B T3 play#25; CS home T3 Seq#27 (C A Williams to P A Espejo, see Flag#3); 1B T5 play#40; FO T6 play#54; SB 2nd T5 Seq#41 (embedded N Kelly SF AB); also pitches B6-B7 (no lineup note, see Flag#10)</t>
        </is>
      </c>
    </row>
    <row r="252" ht="15.75" customHeight="1" s="35">
      <c r="A252" s="8" t="inlineStr">
        <is>
          <t>2026-03-20_PTXN_at_NRTH</t>
        </is>
      </c>
      <c r="B252" s="2" t="n">
        <v>46101</v>
      </c>
      <c r="C252" s="8" t="inlineStr">
        <is>
          <t>NRTH</t>
        </is>
      </c>
      <c r="D252" s="8" t="inlineStr">
        <is>
          <t>PTXN</t>
        </is>
      </c>
      <c r="E252" s="8" t="inlineStr">
        <is>
          <t>N Kelly</t>
        </is>
      </c>
      <c r="F252" s="8" t="n">
        <v>4</v>
      </c>
      <c r="G252" s="8" t="n">
        <v>2</v>
      </c>
      <c r="H252" s="8" t="n">
        <v>0</v>
      </c>
      <c r="I252" s="8" t="n">
        <v>0</v>
      </c>
      <c r="J252" s="8" t="n">
        <v>0</v>
      </c>
      <c r="K252" s="8" t="n">
        <v>0</v>
      </c>
      <c r="L252" s="8" t="n">
        <v>0</v>
      </c>
      <c r="M252" s="8" t="n">
        <v>1</v>
      </c>
      <c r="N252" s="8" t="n">
        <v>0</v>
      </c>
      <c r="O252" s="8" t="n">
        <v>1</v>
      </c>
      <c r="P252" s="8" t="n">
        <v>1</v>
      </c>
      <c r="Q252" s="8" t="n">
        <v>0</v>
      </c>
      <c r="R252" s="8" t="n">
        <v>0</v>
      </c>
      <c r="S252" s="8" t="n">
        <v>1</v>
      </c>
      <c r="T252" s="8" t="n">
        <v>1</v>
      </c>
      <c r="U252" s="8" t="n">
        <v>0</v>
      </c>
      <c r="V252" s="8" t="n">
        <v>0</v>
      </c>
      <c r="W252" s="8" t="n">
        <v>1</v>
      </c>
      <c r="X252" s="8" t="n">
        <v>0</v>
      </c>
      <c r="Y252" s="8" t="inlineStr">
        <is>
          <t>K_L T1 Seq#5; GO T3 play#26; SAC fly T5 play#41 (L Powell scores, RBI:1); BB T7 play#61; SB 2nd T7 Seq#63 (embedded C White FO AB); E at LF B6 play#57 (S Dixon reaches on E)</t>
        </is>
      </c>
    </row>
    <row r="253" ht="15.75" customHeight="1" s="35">
      <c r="A253" s="8" t="inlineStr">
        <is>
          <t>2026-03-20_PTXN_at_NRTH</t>
        </is>
      </c>
      <c r="B253" s="2" t="n">
        <v>46101</v>
      </c>
      <c r="C253" s="8" t="inlineStr">
        <is>
          <t>NRTH</t>
        </is>
      </c>
      <c r="D253" s="8" t="inlineStr">
        <is>
          <t>PTXN</t>
        </is>
      </c>
      <c r="E253" s="8" t="inlineStr">
        <is>
          <t>C Jones</t>
        </is>
      </c>
      <c r="F253" s="8" t="n">
        <v>4</v>
      </c>
      <c r="G253" s="8" t="n">
        <v>3</v>
      </c>
      <c r="H253" s="8" t="n">
        <v>0</v>
      </c>
      <c r="I253" s="8" t="n">
        <v>0</v>
      </c>
      <c r="J253" s="8" t="n">
        <v>0</v>
      </c>
      <c r="K253" s="8" t="n">
        <v>0</v>
      </c>
      <c r="L253" s="8" t="n">
        <v>0</v>
      </c>
      <c r="M253" s="8" t="n">
        <v>1</v>
      </c>
      <c r="N253" s="8" t="n">
        <v>0</v>
      </c>
      <c r="O253" s="8" t="n">
        <v>2</v>
      </c>
      <c r="P253" s="8" t="n">
        <v>0</v>
      </c>
      <c r="Q253" s="8" t="n">
        <v>2</v>
      </c>
      <c r="R253" s="8" t="n">
        <v>0</v>
      </c>
      <c r="S253" s="8" t="n">
        <v>0</v>
      </c>
      <c r="T253" s="8" t="n">
        <v>0</v>
      </c>
      <c r="U253" s="8" t="n">
        <v>0</v>
      </c>
      <c r="V253" s="8" t="n">
        <v>0</v>
      </c>
      <c r="W253" s="8" t="n">
        <v>0</v>
      </c>
      <c r="X253" s="8" t="n">
        <v>0</v>
      </c>
      <c r="Y253" s="8" t="inlineStr">
        <is>
          <t>FO T2 play#12; BB T3 play#27; K_S T5 Seq#42; K_S T7 Seq#62</t>
        </is>
      </c>
    </row>
    <row r="254" ht="15.75" customHeight="1" s="35">
      <c r="A254" s="8" t="inlineStr">
        <is>
          <t>2026-03-20_PTXN_at_NRTH</t>
        </is>
      </c>
      <c r="B254" s="2" t="n">
        <v>46101</v>
      </c>
      <c r="C254" s="8" t="inlineStr">
        <is>
          <t>NRTH</t>
        </is>
      </c>
      <c r="D254" s="8" t="inlineStr">
        <is>
          <t>PTXN</t>
        </is>
      </c>
      <c r="E254" s="8" t="inlineStr">
        <is>
          <t>C White</t>
        </is>
      </c>
      <c r="F254" s="8" t="n">
        <v>4</v>
      </c>
      <c r="G254" s="8" t="n">
        <v>4</v>
      </c>
      <c r="H254" s="8" t="n">
        <v>1</v>
      </c>
      <c r="I254" s="8" t="n">
        <v>1</v>
      </c>
      <c r="J254" s="8" t="n">
        <v>0</v>
      </c>
      <c r="K254" s="8" t="n">
        <v>0</v>
      </c>
      <c r="L254" s="8" t="n">
        <v>0</v>
      </c>
      <c r="M254" s="8" t="n">
        <v>0</v>
      </c>
      <c r="N254" s="8" t="n">
        <v>0</v>
      </c>
      <c r="O254" s="8" t="n">
        <v>1</v>
      </c>
      <c r="P254" s="8" t="n">
        <v>1</v>
      </c>
      <c r="Q254" s="8" t="n">
        <v>0</v>
      </c>
      <c r="R254" s="8" t="n">
        <v>1</v>
      </c>
      <c r="S254" s="8" t="n">
        <v>0</v>
      </c>
      <c r="T254" s="8" t="n">
        <v>1</v>
      </c>
      <c r="U254" s="8" t="n">
        <v>0</v>
      </c>
      <c r="V254" s="8" t="n">
        <v>0</v>
      </c>
      <c r="W254" s="8" t="n">
        <v>0</v>
      </c>
      <c r="X254" s="8" t="n">
        <v>1</v>
      </c>
      <c r="Y254" s="8" t="inlineStr">
        <is>
          <t>1B T2 play#13; FC T3 play#28 (C Jones out at 2nd); K_L T6 Seq#48; FO T7 play#63; R T2 play#16 (B Cowan E, C White scores); SB 2nd T2 Seq#14 (embedded N Sands walk AB); also pitches B1-B5 (no lineup note, see Flag#2)</t>
        </is>
      </c>
    </row>
    <row r="255" ht="15.75" customHeight="1" s="35">
      <c r="A255" s="8" t="inlineStr">
        <is>
          <t>2026-03-20_PTXN_at_NRTH</t>
        </is>
      </c>
      <c r="B255" s="2" t="n">
        <v>46101</v>
      </c>
      <c r="C255" s="8" t="inlineStr">
        <is>
          <t>NRTH</t>
        </is>
      </c>
      <c r="D255" s="8" t="inlineStr">
        <is>
          <t>PTXN</t>
        </is>
      </c>
      <c r="E255" s="8" t="inlineStr">
        <is>
          <t>N Sands</t>
        </is>
      </c>
      <c r="F255" s="8" t="n">
        <v>4</v>
      </c>
      <c r="G255" s="8" t="n">
        <v>2</v>
      </c>
      <c r="H255" s="8" t="n">
        <v>0</v>
      </c>
      <c r="I255" s="8" t="n">
        <v>0</v>
      </c>
      <c r="J255" s="8" t="n">
        <v>0</v>
      </c>
      <c r="K255" s="8" t="n">
        <v>0</v>
      </c>
      <c r="L255" s="8" t="n">
        <v>0</v>
      </c>
      <c r="M255" s="8" t="n">
        <v>1</v>
      </c>
      <c r="N255" s="8" t="n">
        <v>1</v>
      </c>
      <c r="O255" s="8" t="n">
        <v>2</v>
      </c>
      <c r="P255" s="8" t="n">
        <v>1</v>
      </c>
      <c r="Q255" s="8" t="n">
        <v>1</v>
      </c>
      <c r="R255" s="8" t="n">
        <v>2</v>
      </c>
      <c r="S255" s="8" t="n">
        <v>0</v>
      </c>
      <c r="T255" s="8" t="n">
        <v>0</v>
      </c>
      <c r="U255" s="8" t="n">
        <v>0</v>
      </c>
      <c r="V255" s="8" t="n">
        <v>0</v>
      </c>
      <c r="W255" s="8" t="n">
        <v>0</v>
      </c>
      <c r="X255" s="8" t="n">
        <v>0</v>
      </c>
      <c r="Y255" s="8" t="inlineStr">
        <is>
          <t>BB T2 play#14; K_S T4 Seq#32; HBP T6 play#49; adv 2nd+3rd on PB then scores on E A Williams T6 Seq#50 embedded (Flag#7); K_L T7 Seq#64; R x2: T2 play#16 (B Cowan E), T6 play#50 (E A Williams)</t>
        </is>
      </c>
    </row>
    <row r="256" ht="15.75" customHeight="1" s="35">
      <c r="A256" s="8" t="inlineStr">
        <is>
          <t>2026-03-20_PTXN_at_NRTH</t>
        </is>
      </c>
      <c r="B256" s="2" t="n">
        <v>46101</v>
      </c>
      <c r="C256" s="8" t="inlineStr">
        <is>
          <t>NRTH</t>
        </is>
      </c>
      <c r="D256" s="8" t="inlineStr">
        <is>
          <t>PTXN</t>
        </is>
      </c>
      <c r="E256" s="8" t="inlineStr">
        <is>
          <t>D Bradley</t>
        </is>
      </c>
      <c r="F256" s="8" t="n">
        <v>3</v>
      </c>
      <c r="G256" s="8" t="n">
        <v>3</v>
      </c>
      <c r="H256" s="8" t="n">
        <v>1</v>
      </c>
      <c r="I256" s="8" t="n">
        <v>1</v>
      </c>
      <c r="J256" s="8" t="n">
        <v>0</v>
      </c>
      <c r="K256" s="8" t="n">
        <v>0</v>
      </c>
      <c r="L256" s="8" t="n">
        <v>0</v>
      </c>
      <c r="M256" s="8" t="n">
        <v>0</v>
      </c>
      <c r="N256" s="8" t="n">
        <v>0</v>
      </c>
      <c r="O256" s="8" t="n">
        <v>0</v>
      </c>
      <c r="P256" s="8" t="n">
        <v>0</v>
      </c>
      <c r="Q256" s="8" t="n">
        <v>0</v>
      </c>
      <c r="R256" s="8" t="n">
        <v>1</v>
      </c>
      <c r="S256" s="8" t="n">
        <v>0</v>
      </c>
      <c r="T256" s="8" t="n">
        <v>1</v>
      </c>
      <c r="U256" s="8" t="n">
        <v>0</v>
      </c>
      <c r="V256" s="8" t="n">
        <v>0</v>
      </c>
      <c r="W256" s="8" t="n">
        <v>0</v>
      </c>
      <c r="X256" s="8" t="n">
        <v>0</v>
      </c>
      <c r="Y256" s="8" t="inlineStr">
        <is>
          <t>1B T2 play#15; GO T4 play#33; GO T6 play#50 (N Sands scores on E A Williams embedded before batted ball, Flag#7); R T2 play#17 (T Lakey GO; D Bradley had stolen 3rd Seq#17); SB 3rd T2 Seq#17 (embedded T Lakey GO AB); T8 play#68 no outcome not counted (Flag#1); E at 3B B2 play#19 (S Dixon reaches on E)</t>
        </is>
      </c>
    </row>
    <row r="257" ht="15.75" customHeight="1" s="35">
      <c r="A257" s="8" t="inlineStr">
        <is>
          <t>2026-03-23_NRTH_at_ST.C</t>
        </is>
      </c>
      <c r="B257" s="2" t="n">
        <v>46104</v>
      </c>
      <c r="C257" s="8" t="inlineStr">
        <is>
          <t>ST.C</t>
        </is>
      </c>
      <c r="D257" s="8" t="inlineStr">
        <is>
          <t>NRTH</t>
        </is>
      </c>
      <c r="E257" s="8" t="inlineStr">
        <is>
          <t>A Espejo</t>
        </is>
      </c>
      <c r="F257" s="8" t="n">
        <v>4</v>
      </c>
      <c r="G257" s="8" t="n">
        <v>2</v>
      </c>
      <c r="H257" s="8" t="n">
        <v>0</v>
      </c>
      <c r="I257" s="8" t="n">
        <v>0</v>
      </c>
      <c r="J257" s="8" t="n">
        <v>0</v>
      </c>
      <c r="K257" s="8" t="n">
        <v>0</v>
      </c>
      <c r="L257" s="8" t="n">
        <v>0</v>
      </c>
      <c r="M257" s="8" t="n">
        <v>0</v>
      </c>
      <c r="N257" s="8" t="n">
        <v>2</v>
      </c>
      <c r="O257" s="8" t="n">
        <v>2</v>
      </c>
      <c r="P257" s="8" t="n">
        <v>0</v>
      </c>
      <c r="Q257" s="8" t="n">
        <v>2</v>
      </c>
      <c r="R257" s="8" t="n">
        <v>0</v>
      </c>
      <c r="S257" s="8" t="n">
        <v>0</v>
      </c>
      <c r="T257" s="8" t="n">
        <v>0</v>
      </c>
      <c r="U257" s="8" t="n">
        <v>1</v>
      </c>
      <c r="V257" s="8" t="n">
        <v>0</v>
      </c>
      <c r="W257" s="8" t="n">
        <v>0</v>
      </c>
      <c r="X257" s="8" t="n">
        <v>0</v>
      </c>
      <c r="Y257" s="8" t="inlineStr">
        <is>
          <t>K_S T1 Seq#1; K_S T3 Seq#17; HBP T5 play#32 + CS Seq#33 (K Queen SS, ends inning, Flag#3); HBP T7 play#49</t>
        </is>
      </c>
    </row>
    <row r="258" ht="15.75" customHeight="1" s="35">
      <c r="A258" s="8" t="inlineStr">
        <is>
          <t>2026-03-23_NRTH_at_ST.C</t>
        </is>
      </c>
      <c r="B258" s="2" t="n">
        <v>46104</v>
      </c>
      <c r="C258" s="8" t="inlineStr">
        <is>
          <t>ST.C</t>
        </is>
      </c>
      <c r="D258" s="8" t="inlineStr">
        <is>
          <t>NRTH</t>
        </is>
      </c>
      <c r="E258" s="8" t="inlineStr">
        <is>
          <t>A Thomas</t>
        </is>
      </c>
      <c r="F258" s="8" t="n">
        <v>4</v>
      </c>
      <c r="G258" s="8" t="n">
        <v>3</v>
      </c>
      <c r="H258" s="8" t="n">
        <v>1</v>
      </c>
      <c r="I258" s="8" t="n">
        <v>1</v>
      </c>
      <c r="J258" s="8" t="n">
        <v>0</v>
      </c>
      <c r="K258" s="8" t="n">
        <v>0</v>
      </c>
      <c r="L258" s="8" t="n">
        <v>0</v>
      </c>
      <c r="M258" s="8" t="n">
        <v>1</v>
      </c>
      <c r="N258" s="8" t="n">
        <v>0</v>
      </c>
      <c r="O258" s="8" t="n">
        <v>1</v>
      </c>
      <c r="P258" s="8" t="n">
        <v>1</v>
      </c>
      <c r="Q258" s="8" t="n">
        <v>0</v>
      </c>
      <c r="R258" s="8" t="n">
        <v>2</v>
      </c>
      <c r="S258" s="8" t="n">
        <v>0</v>
      </c>
      <c r="T258" s="8" t="n">
        <v>1</v>
      </c>
      <c r="U258" s="8" t="n">
        <v>0</v>
      </c>
      <c r="V258" s="8" t="n">
        <v>0</v>
      </c>
      <c r="W258" s="8" t="n">
        <v>0</v>
      </c>
      <c r="X258" s="8" t="n">
        <v>0</v>
      </c>
      <c r="Y258" s="8" t="inlineStr">
        <is>
          <t>1B T1 play#2; K_L T3 Seq#18; BB T6 play#37; FO into DP T7 play#50 (A Espejo doubled off); R: T1 play#4 (Z Bowman E), T6 play#40 (E Zimmerman BB); SB 2nd T1 Seq#4 (embedded Z Bowman E AB)</t>
        </is>
      </c>
    </row>
    <row r="259" ht="15.75" customHeight="1" s="35">
      <c r="A259" s="8" t="inlineStr">
        <is>
          <t>2026-03-23_NRTH_at_ST.C</t>
        </is>
      </c>
      <c r="B259" s="2" t="n">
        <v>46104</v>
      </c>
      <c r="C259" s="8" t="inlineStr">
        <is>
          <t>ST.C</t>
        </is>
      </c>
      <c r="D259" s="8" t="inlineStr">
        <is>
          <t>NRTH</t>
        </is>
      </c>
      <c r="E259" s="8" t="inlineStr">
        <is>
          <t>A Harding</t>
        </is>
      </c>
      <c r="F259" s="8" t="n">
        <v>4</v>
      </c>
      <c r="G259" s="8" t="n">
        <v>3</v>
      </c>
      <c r="H259" s="8" t="n">
        <v>2</v>
      </c>
      <c r="I259" s="8" t="n">
        <v>1</v>
      </c>
      <c r="J259" s="8" t="n">
        <v>0</v>
      </c>
      <c r="K259" s="8" t="n">
        <v>0</v>
      </c>
      <c r="L259" s="8" t="n">
        <v>1</v>
      </c>
      <c r="M259" s="8" t="n">
        <v>0</v>
      </c>
      <c r="N259" s="8" t="n">
        <v>1</v>
      </c>
      <c r="O259" s="8" t="n">
        <v>1</v>
      </c>
      <c r="P259" s="8" t="n">
        <v>0</v>
      </c>
      <c r="Q259" s="8" t="n">
        <v>1</v>
      </c>
      <c r="R259" s="8" t="n">
        <v>2</v>
      </c>
      <c r="S259" s="8" t="n">
        <v>2</v>
      </c>
      <c r="T259" s="8" t="n">
        <v>2</v>
      </c>
      <c r="U259" s="8" t="n">
        <v>0</v>
      </c>
      <c r="V259" s="8" t="n">
        <v>0</v>
      </c>
      <c r="W259" s="8" t="n">
        <v>0</v>
      </c>
      <c r="X259" s="8" t="n">
        <v>0</v>
      </c>
      <c r="Y259" s="8" t="inlineStr">
        <is>
          <t>K_S T1 Seq#3; inside-the-park HR T3 play#19 (RBI x2: T Roy + self; see Flag#4); 1B T6 play#38; HBP T7 play#51; R: T3 play#19 (HR), T6 play#41 (WP M Minick); SB x2 T7 Seq#52 (steals 2nd+3rd during Z Bowman K AB, Flag#11)</t>
        </is>
      </c>
    </row>
    <row r="260" ht="15.75" customHeight="1" s="35">
      <c r="A260" s="8" t="inlineStr">
        <is>
          <t>2026-03-23_NRTH_at_ST.C</t>
        </is>
      </c>
      <c r="B260" s="2" t="n">
        <v>46104</v>
      </c>
      <c r="C260" s="8" t="inlineStr">
        <is>
          <t>ST.C</t>
        </is>
      </c>
      <c r="D260" s="8" t="inlineStr">
        <is>
          <t>NRTH</t>
        </is>
      </c>
      <c r="E260" s="8" t="inlineStr">
        <is>
          <t>Z Bowman</t>
        </is>
      </c>
      <c r="F260" s="8" t="n">
        <v>4</v>
      </c>
      <c r="G260" s="8" t="n">
        <v>3</v>
      </c>
      <c r="H260" s="8" t="n">
        <v>0</v>
      </c>
      <c r="I260" s="8" t="n">
        <v>0</v>
      </c>
      <c r="J260" s="8" t="n">
        <v>0</v>
      </c>
      <c r="K260" s="8" t="n">
        <v>0</v>
      </c>
      <c r="L260" s="8" t="n">
        <v>0</v>
      </c>
      <c r="M260" s="8" t="n">
        <v>0</v>
      </c>
      <c r="N260" s="8" t="n">
        <v>1</v>
      </c>
      <c r="O260" s="8" t="n">
        <v>1</v>
      </c>
      <c r="P260" s="8" t="n">
        <v>0</v>
      </c>
      <c r="Q260" s="8" t="n">
        <v>1</v>
      </c>
      <c r="R260" s="8" t="n">
        <v>1</v>
      </c>
      <c r="S260" s="8" t="n">
        <v>0</v>
      </c>
      <c r="T260" s="8" t="n">
        <v>0</v>
      </c>
      <c r="U260" s="8" t="n">
        <v>1</v>
      </c>
      <c r="V260" s="8" t="n">
        <v>0</v>
      </c>
      <c r="W260" s="8" t="n">
        <v>0</v>
      </c>
      <c r="X260" s="8" t="n">
        <v>0</v>
      </c>
      <c r="Y260" s="8" t="inlineStr">
        <is>
          <t>E T1 play#4 (R Generette 1B, reaches via E); CS T1 play#5 (K Queen SS, ends inning, Flag#3); FO T3 play#20; HBP T6 play#39; K_S T7 Seq#52; R T6 play#42 (WP M Minick)</t>
        </is>
      </c>
    </row>
    <row r="261" ht="15.75" customHeight="1" s="35">
      <c r="A261" s="8" t="inlineStr">
        <is>
          <t>2026-03-23_NRTH_at_ST.C</t>
        </is>
      </c>
      <c r="B261" s="2" t="n">
        <v>46104</v>
      </c>
      <c r="C261" s="8" t="inlineStr">
        <is>
          <t>ST.C</t>
        </is>
      </c>
      <c r="D261" s="8" t="inlineStr">
        <is>
          <t>NRTH</t>
        </is>
      </c>
      <c r="E261" s="8" t="inlineStr">
        <is>
          <t>E Zimmerman</t>
        </is>
      </c>
      <c r="F261" s="8" t="n">
        <v>3</v>
      </c>
      <c r="G261" s="8" t="n">
        <v>2</v>
      </c>
      <c r="H261" s="8" t="n">
        <v>0</v>
      </c>
      <c r="I261" s="8" t="n">
        <v>0</v>
      </c>
      <c r="J261" s="8" t="n">
        <v>0</v>
      </c>
      <c r="K261" s="8" t="n">
        <v>0</v>
      </c>
      <c r="L261" s="8" t="n">
        <v>0</v>
      </c>
      <c r="M261" s="8" t="n">
        <v>1</v>
      </c>
      <c r="N261" s="8" t="n">
        <v>0</v>
      </c>
      <c r="O261" s="8" t="n">
        <v>1</v>
      </c>
      <c r="P261" s="8" t="n">
        <v>0</v>
      </c>
      <c r="Q261" s="8" t="n">
        <v>1</v>
      </c>
      <c r="R261" s="8" t="n">
        <v>1</v>
      </c>
      <c r="S261" s="8" t="n">
        <v>1</v>
      </c>
      <c r="T261" s="8" t="n">
        <v>0</v>
      </c>
      <c r="U261" s="8" t="n">
        <v>0</v>
      </c>
      <c r="V261" s="8" t="n">
        <v>0</v>
      </c>
      <c r="W261" s="8" t="n">
        <v>0</v>
      </c>
      <c r="X261" s="8" t="n">
        <v>0</v>
      </c>
      <c r="Y261" s="8" t="inlineStr">
        <is>
          <t>PO T2 play#9; K_S T4 Seq#24; BB T6 play#40 (A Thomas scores, RBI:1); CR C Harrigan in T6 play#41; R via CR C Harrigan play#43 (C Pettko 2B, credited to E Zimmerman per CR rule); T8 play#56 no outcome not counted (Flag#1); also pitches B1-B7</t>
        </is>
      </c>
    </row>
    <row r="262" ht="15.75" customHeight="1" s="35">
      <c r="A262" s="8" t="inlineStr">
        <is>
          <t>2026-03-23_NRTH_at_ST.C</t>
        </is>
      </c>
      <c r="B262" s="2" t="n">
        <v>46104</v>
      </c>
      <c r="C262" s="8" t="inlineStr">
        <is>
          <t>ST.C</t>
        </is>
      </c>
      <c r="D262" s="8" t="inlineStr">
        <is>
          <t>NRTH</t>
        </is>
      </c>
      <c r="E262" s="8" t="inlineStr">
        <is>
          <t>W Kwisnek</t>
        </is>
      </c>
      <c r="F262" s="8" t="n">
        <v>3</v>
      </c>
      <c r="G262" s="8" t="n">
        <v>3</v>
      </c>
      <c r="H262" s="8" t="n">
        <v>0</v>
      </c>
      <c r="I262" s="8" t="n">
        <v>0</v>
      </c>
      <c r="J262" s="8" t="n">
        <v>0</v>
      </c>
      <c r="K262" s="8" t="n">
        <v>0</v>
      </c>
      <c r="L262" s="8" t="n">
        <v>0</v>
      </c>
      <c r="M262" s="8" t="n">
        <v>0</v>
      </c>
      <c r="N262" s="8" t="n">
        <v>0</v>
      </c>
      <c r="O262" s="8" t="n">
        <v>2</v>
      </c>
      <c r="P262" s="8" t="n">
        <v>2</v>
      </c>
      <c r="Q262" s="8" t="n">
        <v>0</v>
      </c>
      <c r="R262" s="8" t="n">
        <v>0</v>
      </c>
      <c r="S262" s="8" t="n">
        <v>0</v>
      </c>
      <c r="T262" s="8" t="n">
        <v>0</v>
      </c>
      <c r="U262" s="8" t="n">
        <v>0</v>
      </c>
      <c r="V262" s="8" t="n">
        <v>0</v>
      </c>
      <c r="W262" s="8" t="n">
        <v>0</v>
      </c>
      <c r="X262" s="8" t="n">
        <v>0</v>
      </c>
      <c r="Y262" s="8" t="inlineStr">
        <is>
          <t>K_L T2 Seq#10; GO T4 play#25; K_L T6 Seq#41</t>
        </is>
      </c>
    </row>
    <row r="263" ht="15.75" customHeight="1" s="35">
      <c r="A263" s="8" t="inlineStr">
        <is>
          <t>2026-03-23_NRTH_at_ST.C</t>
        </is>
      </c>
      <c r="B263" s="2" t="n">
        <v>46104</v>
      </c>
      <c r="C263" s="8" t="inlineStr">
        <is>
          <t>ST.C</t>
        </is>
      </c>
      <c r="D263" s="8" t="inlineStr">
        <is>
          <t>NRTH</t>
        </is>
      </c>
      <c r="E263" s="8" t="inlineStr">
        <is>
          <t>S Dixon</t>
        </is>
      </c>
      <c r="F263" s="8" t="n">
        <v>3</v>
      </c>
      <c r="G263" s="8" t="n">
        <v>1</v>
      </c>
      <c r="H263" s="8" t="n">
        <v>0</v>
      </c>
      <c r="I263" s="8" t="n">
        <v>0</v>
      </c>
      <c r="J263" s="8" t="n">
        <v>0</v>
      </c>
      <c r="K263" s="8" t="n">
        <v>0</v>
      </c>
      <c r="L263" s="8" t="n">
        <v>0</v>
      </c>
      <c r="M263" s="8" t="n">
        <v>2</v>
      </c>
      <c r="N263" s="8" t="n">
        <v>0</v>
      </c>
      <c r="O263" s="8" t="n">
        <v>0</v>
      </c>
      <c r="P263" s="8" t="n">
        <v>0</v>
      </c>
      <c r="Q263" s="8" t="n">
        <v>0</v>
      </c>
      <c r="R263" s="8" t="n">
        <v>0</v>
      </c>
      <c r="S263" s="8" t="n">
        <v>0</v>
      </c>
      <c r="T263" s="8" t="n">
        <v>1</v>
      </c>
      <c r="U263" s="8" t="n">
        <v>0</v>
      </c>
      <c r="V263" s="8" t="n">
        <v>0</v>
      </c>
      <c r="W263" s="8" t="n">
        <v>0</v>
      </c>
      <c r="X263" s="8" t="n">
        <v>0</v>
      </c>
      <c r="Y263" s="8" t="inlineStr">
        <is>
          <t>BB T2 play#11; GO T4 play#26; BB T6 play#42; out at home T6 play#43 (C Pettko 2B, 3rd out); SB 2nd T6 Seq#43 (anomalous — was at 3rd per Flag#10; recorded as logged)</t>
        </is>
      </c>
    </row>
    <row r="264" ht="15.75" customHeight="1" s="35">
      <c r="A264" s="8" t="inlineStr">
        <is>
          <t>2026-03-23_NRTH_at_ST.C</t>
        </is>
      </c>
      <c r="B264" s="2" t="n">
        <v>46104</v>
      </c>
      <c r="C264" s="8" t="inlineStr">
        <is>
          <t>ST.C</t>
        </is>
      </c>
      <c r="D264" s="8" t="inlineStr">
        <is>
          <t>NRTH</t>
        </is>
      </c>
      <c r="E264" s="8" t="inlineStr">
        <is>
          <t>C Pettko</t>
        </is>
      </c>
      <c r="F264" s="8" t="n">
        <v>3</v>
      </c>
      <c r="G264" s="8" t="n">
        <v>3</v>
      </c>
      <c r="H264" s="8" t="n">
        <v>1</v>
      </c>
      <c r="I264" s="8" t="n">
        <v>0</v>
      </c>
      <c r="J264" s="8" t="n">
        <v>1</v>
      </c>
      <c r="K264" s="8" t="n">
        <v>0</v>
      </c>
      <c r="L264" s="8" t="n">
        <v>0</v>
      </c>
      <c r="M264" s="8" t="n">
        <v>0</v>
      </c>
      <c r="N264" s="8" t="n">
        <v>0</v>
      </c>
      <c r="O264" s="8" t="n">
        <v>1</v>
      </c>
      <c r="P264" s="8" t="n">
        <v>0</v>
      </c>
      <c r="Q264" s="8" t="n">
        <v>1</v>
      </c>
      <c r="R264" s="8" t="n">
        <v>0</v>
      </c>
      <c r="S264" s="8" t="n">
        <v>1</v>
      </c>
      <c r="T264" s="8" t="n">
        <v>0</v>
      </c>
      <c r="U264" s="8" t="n">
        <v>0</v>
      </c>
      <c r="V264" s="8" t="n">
        <v>0</v>
      </c>
      <c r="W264" s="8" t="n">
        <v>0</v>
      </c>
      <c r="X264" s="8" t="n">
        <v>0</v>
      </c>
      <c r="Y264" s="8" t="inlineStr">
        <is>
          <t>K_S T2 Seq#12; GO T5 play#30; 2B T6 play#43 (RBI C Harrigan scores; S Dixon out at home = 3rd out; see Flags#5,#6,#7)</t>
        </is>
      </c>
    </row>
    <row r="265" ht="15.75" customHeight="1" s="35">
      <c r="A265" s="8" t="inlineStr">
        <is>
          <t>2026-03-23_NRTH_at_ST.C</t>
        </is>
      </c>
      <c r="B265" s="2" t="n">
        <v>46104</v>
      </c>
      <c r="C265" s="8" t="inlineStr">
        <is>
          <t>ST.C</t>
        </is>
      </c>
      <c r="D265" s="8" t="inlineStr">
        <is>
          <t>NRTH</t>
        </is>
      </c>
      <c r="E265" s="8" t="inlineStr">
        <is>
          <t>T Roy</t>
        </is>
      </c>
      <c r="F265" s="8" t="n">
        <v>3</v>
      </c>
      <c r="G265" s="8" t="n">
        <v>3</v>
      </c>
      <c r="H265" s="8" t="n">
        <v>1</v>
      </c>
      <c r="I265" s="8" t="n">
        <v>1</v>
      </c>
      <c r="J265" s="8" t="n">
        <v>0</v>
      </c>
      <c r="K265" s="8" t="n">
        <v>0</v>
      </c>
      <c r="L265" s="8" t="n">
        <v>0</v>
      </c>
      <c r="M265" s="8" t="n">
        <v>0</v>
      </c>
      <c r="N265" s="8" t="n">
        <v>0</v>
      </c>
      <c r="O265" s="8" t="n">
        <v>1</v>
      </c>
      <c r="P265" s="8" t="n">
        <v>0</v>
      </c>
      <c r="Q265" s="8" t="n">
        <v>1</v>
      </c>
      <c r="R265" s="8" t="n">
        <v>1</v>
      </c>
      <c r="S265" s="8" t="n">
        <v>0</v>
      </c>
      <c r="T265" s="8" t="n">
        <v>2</v>
      </c>
      <c r="U265" s="8" t="n">
        <v>0</v>
      </c>
      <c r="V265" s="8" t="n">
        <v>0</v>
      </c>
      <c r="W265" s="8" t="n">
        <v>0</v>
      </c>
      <c r="X265" s="8" t="n">
        <v>0</v>
      </c>
      <c r="Y265" s="8" t="inlineStr">
        <is>
          <t>1B bunt T3 play#16; K_S T5 Seq#31; LO T6 play#44; R T3 play#19 (A Harding HR); SB x2 T3: 2nd Seq#17 (A Espejo K AB) + 3rd Seq#18 (A Thomas K AB); see Flag#9</t>
        </is>
      </c>
    </row>
    <row r="266" ht="15.75" customHeight="1" s="35">
      <c r="A266" s="8" t="inlineStr">
        <is>
          <t>2026-03-23_NRTH_at_ST.C</t>
        </is>
      </c>
      <c r="B266" s="2" t="n">
        <v>46104</v>
      </c>
      <c r="C266" s="8" t="inlineStr">
        <is>
          <t>NRTH</t>
        </is>
      </c>
      <c r="D266" s="8" t="inlineStr">
        <is>
          <t>ST.C</t>
        </is>
      </c>
      <c r="E266" s="8" t="inlineStr">
        <is>
          <t>M Minick</t>
        </is>
      </c>
      <c r="F266" s="8" t="n">
        <v>3</v>
      </c>
      <c r="G266" s="8" t="n">
        <v>3</v>
      </c>
      <c r="H266" s="8" t="n">
        <v>0</v>
      </c>
      <c r="I266" s="8" t="n">
        <v>0</v>
      </c>
      <c r="J266" s="8" t="n">
        <v>0</v>
      </c>
      <c r="K266" s="8" t="n">
        <v>0</v>
      </c>
      <c r="L266" s="8" t="n">
        <v>0</v>
      </c>
      <c r="M266" s="8" t="n">
        <v>0</v>
      </c>
      <c r="N266" s="8" t="n">
        <v>0</v>
      </c>
      <c r="O266" s="8" t="n">
        <v>2</v>
      </c>
      <c r="P266" s="8" t="n">
        <v>0</v>
      </c>
      <c r="Q266" s="8" t="n">
        <v>2</v>
      </c>
      <c r="R266" s="8" t="n">
        <v>0</v>
      </c>
      <c r="S266" s="8" t="n">
        <v>0</v>
      </c>
      <c r="T266" s="8" t="n">
        <v>0</v>
      </c>
      <c r="U266" s="8" t="n">
        <v>0</v>
      </c>
      <c r="V266" s="8" t="n">
        <v>0</v>
      </c>
      <c r="W266" s="8" t="n">
        <v>0</v>
      </c>
      <c r="X266" s="8" t="n">
        <v>0</v>
      </c>
      <c r="Y266" s="8" t="inlineStr">
        <is>
          <t>Dropped 3rd strike B1 play#6 (K_S Seq#6); GO B4 play#27; K_S B6 Seq#48; also pitches T6-T7 (enters mid-T6); original pitcher replaced by T Hyde at start of T1</t>
        </is>
      </c>
    </row>
    <row r="267" ht="15.75" customHeight="1" s="35">
      <c r="A267" s="8" t="inlineStr">
        <is>
          <t>2026-03-23_NRTH_at_ST.C</t>
        </is>
      </c>
      <c r="B267" s="2" t="n">
        <v>46104</v>
      </c>
      <c r="C267" s="8" t="inlineStr">
        <is>
          <t>NRTH</t>
        </is>
      </c>
      <c r="D267" s="8" t="inlineStr">
        <is>
          <t>ST.C</t>
        </is>
      </c>
      <c r="E267" s="8" t="inlineStr">
        <is>
          <t>T Hyde</t>
        </is>
      </c>
      <c r="F267" s="8" t="n">
        <v>3</v>
      </c>
      <c r="G267" s="8" t="n">
        <v>3</v>
      </c>
      <c r="H267" s="8" t="n">
        <v>0</v>
      </c>
      <c r="I267" s="8" t="n">
        <v>0</v>
      </c>
      <c r="J267" s="8" t="n">
        <v>0</v>
      </c>
      <c r="K267" s="8" t="n">
        <v>0</v>
      </c>
      <c r="L267" s="8" t="n">
        <v>0</v>
      </c>
      <c r="M267" s="8" t="n">
        <v>0</v>
      </c>
      <c r="N267" s="8" t="n">
        <v>0</v>
      </c>
      <c r="O267" s="8" t="n">
        <v>1</v>
      </c>
      <c r="P267" s="8" t="n">
        <v>0</v>
      </c>
      <c r="Q267" s="8" t="n">
        <v>1</v>
      </c>
      <c r="R267" s="8" t="n">
        <v>0</v>
      </c>
      <c r="S267" s="8" t="n">
        <v>0</v>
      </c>
      <c r="T267" s="8" t="n">
        <v>0</v>
      </c>
      <c r="U267" s="8" t="n">
        <v>0</v>
      </c>
      <c r="V267" s="8" t="n">
        <v>0</v>
      </c>
      <c r="W267" s="8" t="n">
        <v>0</v>
      </c>
      <c r="X267" s="8" t="n">
        <v>0</v>
      </c>
      <c r="Y267" s="8" t="inlineStr">
        <is>
          <t>K_S B1 Seq#7; GO B4 play#28; GO B7 play#53; also pitches T1-T5</t>
        </is>
      </c>
    </row>
    <row r="268" ht="15.75" customHeight="1" s="35">
      <c r="A268" s="8" t="inlineStr">
        <is>
          <t>2026-03-23_NRTH_at_ST.C</t>
        </is>
      </c>
      <c r="B268" s="2" t="n">
        <v>46104</v>
      </c>
      <c r="C268" s="8" t="inlineStr">
        <is>
          <t>NRTH</t>
        </is>
      </c>
      <c r="D268" s="8" t="inlineStr">
        <is>
          <t>ST.C</t>
        </is>
      </c>
      <c r="E268" s="8" t="inlineStr">
        <is>
          <t>K Queen</t>
        </is>
      </c>
      <c r="F268" s="8" t="n">
        <v>3</v>
      </c>
      <c r="G268" s="8" t="n">
        <v>3</v>
      </c>
      <c r="H268" s="8" t="n">
        <v>0</v>
      </c>
      <c r="I268" s="8" t="n">
        <v>0</v>
      </c>
      <c r="J268" s="8" t="n">
        <v>0</v>
      </c>
      <c r="K268" s="8" t="n">
        <v>0</v>
      </c>
      <c r="L268" s="8" t="n">
        <v>0</v>
      </c>
      <c r="M268" s="8" t="n">
        <v>0</v>
      </c>
      <c r="N268" s="8" t="n">
        <v>0</v>
      </c>
      <c r="O268" s="8" t="n">
        <v>0</v>
      </c>
      <c r="P268" s="8" t="n">
        <v>0</v>
      </c>
      <c r="Q268" s="8" t="n">
        <v>0</v>
      </c>
      <c r="R268" s="8" t="n">
        <v>0</v>
      </c>
      <c r="S268" s="8" t="n">
        <v>0</v>
      </c>
      <c r="T268" s="8" t="n">
        <v>0</v>
      </c>
      <c r="U268" s="8" t="n">
        <v>0</v>
      </c>
      <c r="V268" s="8" t="n">
        <v>0</v>
      </c>
      <c r="W268" s="8" t="n">
        <v>0</v>
      </c>
      <c r="X268" s="8" t="n">
        <v>0</v>
      </c>
      <c r="Y268" s="8" t="inlineStr">
        <is>
          <t>GO B1 play#8; FO B4 play#29; PO B7 play#54; CS putout: Z Bowman T1 play#5 (SS), A Espejo T5 play#33 (SS)</t>
        </is>
      </c>
    </row>
    <row r="269" ht="15.75" customHeight="1" s="35">
      <c r="A269" s="8" t="inlineStr">
        <is>
          <t>2026-03-23_NRTH_at_ST.C</t>
        </is>
      </c>
      <c r="B269" s="2" t="n">
        <v>46104</v>
      </c>
      <c r="C269" s="8" t="inlineStr">
        <is>
          <t>NRTH</t>
        </is>
      </c>
      <c r="D269" s="8" t="inlineStr">
        <is>
          <t>ST.C</t>
        </is>
      </c>
      <c r="E269" s="8" t="inlineStr">
        <is>
          <t>E Paredes</t>
        </is>
      </c>
      <c r="F269" s="8" t="n">
        <v>3</v>
      </c>
      <c r="G269" s="8" t="n">
        <v>3</v>
      </c>
      <c r="H269" s="8" t="n">
        <v>0</v>
      </c>
      <c r="I269" s="8" t="n">
        <v>0</v>
      </c>
      <c r="J269" s="8" t="n">
        <v>0</v>
      </c>
      <c r="K269" s="8" t="n">
        <v>0</v>
      </c>
      <c r="L269" s="8" t="n">
        <v>0</v>
      </c>
      <c r="M269" s="8" t="n">
        <v>0</v>
      </c>
      <c r="N269" s="8" t="n">
        <v>0</v>
      </c>
      <c r="O269" s="8" t="n">
        <v>1</v>
      </c>
      <c r="P269" s="8" t="n">
        <v>1</v>
      </c>
      <c r="Q269" s="8" t="n">
        <v>0</v>
      </c>
      <c r="R269" s="8" t="n">
        <v>0</v>
      </c>
      <c r="S269" s="8" t="n">
        <v>0</v>
      </c>
      <c r="T269" s="8" t="n">
        <v>0</v>
      </c>
      <c r="U269" s="8" t="n">
        <v>0</v>
      </c>
      <c r="V269" s="8" t="n">
        <v>0</v>
      </c>
      <c r="W269" s="8" t="n">
        <v>0</v>
      </c>
      <c r="X269" s="8" t="n">
        <v>0</v>
      </c>
      <c r="Y269" s="8" t="inlineStr">
        <is>
          <t>FO B2 play#13; K_L B5 Seq#34; GO B7 play#55</t>
        </is>
      </c>
    </row>
    <row r="270" ht="15.75" customHeight="1" s="35">
      <c r="A270" s="8" t="inlineStr">
        <is>
          <t>2026-03-23_NRTH_at_ST.C</t>
        </is>
      </c>
      <c r="B270" s="2" t="n">
        <v>46104</v>
      </c>
      <c r="C270" s="8" t="inlineStr">
        <is>
          <t>NRTH</t>
        </is>
      </c>
      <c r="D270" s="8" t="inlineStr">
        <is>
          <t>ST.C</t>
        </is>
      </c>
      <c r="E270" s="8" t="inlineStr">
        <is>
          <t>Parker</t>
        </is>
      </c>
      <c r="F270" s="8" t="n">
        <v>2</v>
      </c>
      <c r="G270" s="8" t="n">
        <v>2</v>
      </c>
      <c r="H270" s="8" t="n">
        <v>0</v>
      </c>
      <c r="I270" s="8" t="n">
        <v>0</v>
      </c>
      <c r="J270" s="8" t="n">
        <v>0</v>
      </c>
      <c r="K270" s="8" t="n">
        <v>0</v>
      </c>
      <c r="L270" s="8" t="n">
        <v>0</v>
      </c>
      <c r="M270" s="8" t="n">
        <v>0</v>
      </c>
      <c r="N270" s="8" t="n">
        <v>0</v>
      </c>
      <c r="O270" s="8" t="n">
        <v>0</v>
      </c>
      <c r="P270" s="8" t="n">
        <v>0</v>
      </c>
      <c r="Q270" s="8" t="n">
        <v>0</v>
      </c>
      <c r="R270" s="8" t="n">
        <v>0</v>
      </c>
      <c r="S270" s="8" t="n">
        <v>0</v>
      </c>
      <c r="T270" s="8" t="n">
        <v>0</v>
      </c>
      <c r="U270" s="8" t="n">
        <v>0</v>
      </c>
      <c r="V270" s="8" t="n">
        <v>0</v>
      </c>
      <c r="W270" s="8" t="n">
        <v>0</v>
      </c>
      <c r="X270" s="8" t="n">
        <v>0</v>
      </c>
      <c r="Y270" s="8" t="inlineStr">
        <is>
          <t>GO B2 play#14; FO B5 play#35</t>
        </is>
      </c>
    </row>
    <row r="271" ht="15.75" customHeight="1" s="35">
      <c r="A271" s="8" t="inlineStr">
        <is>
          <t>2026-03-23_NRTH_at_ST.C</t>
        </is>
      </c>
      <c r="B271" s="2" t="n">
        <v>46104</v>
      </c>
      <c r="C271" s="8" t="inlineStr">
        <is>
          <t>NRTH</t>
        </is>
      </c>
      <c r="D271" s="8" t="inlineStr">
        <is>
          <t>ST.C</t>
        </is>
      </c>
      <c r="E271" s="8" t="inlineStr">
        <is>
          <t>R Generette</t>
        </is>
      </c>
      <c r="F271" s="8" t="n">
        <v>2</v>
      </c>
      <c r="G271" s="8" t="n">
        <v>2</v>
      </c>
      <c r="H271" s="8" t="n">
        <v>0</v>
      </c>
      <c r="I271" s="8" t="n">
        <v>0</v>
      </c>
      <c r="J271" s="8" t="n">
        <v>0</v>
      </c>
      <c r="K271" s="8" t="n">
        <v>0</v>
      </c>
      <c r="L271" s="8" t="n">
        <v>0</v>
      </c>
      <c r="M271" s="8" t="n">
        <v>0</v>
      </c>
      <c r="N271" s="8" t="n">
        <v>0</v>
      </c>
      <c r="O271" s="8" t="n">
        <v>1</v>
      </c>
      <c r="P271" s="8" t="n">
        <v>0</v>
      </c>
      <c r="Q271" s="8" t="n">
        <v>1</v>
      </c>
      <c r="R271" s="8" t="n">
        <v>0</v>
      </c>
      <c r="S271" s="8" t="n">
        <v>0</v>
      </c>
      <c r="T271" s="8" t="n">
        <v>0</v>
      </c>
      <c r="U271" s="8" t="n">
        <v>0</v>
      </c>
      <c r="V271" s="8" t="n">
        <v>0</v>
      </c>
      <c r="W271" s="8" t="n">
        <v>0</v>
      </c>
      <c r="X271" s="8" t="n">
        <v>0</v>
      </c>
      <c r="Y271" s="8" t="inlineStr">
        <is>
          <t>GO B2 play#15; K_S B5 Seq#36; E at 1B play#4 T1 (Z Bowman reaches; A Thomas scores on same error)</t>
        </is>
      </c>
    </row>
    <row r="272" ht="15.75" customHeight="1" s="35">
      <c r="A272" s="8" t="inlineStr">
        <is>
          <t>2026-03-23_NRTH_at_ST.C</t>
        </is>
      </c>
      <c r="B272" s="2" t="n">
        <v>46104</v>
      </c>
      <c r="C272" s="8" t="inlineStr">
        <is>
          <t>NRTH</t>
        </is>
      </c>
      <c r="D272" s="8" t="inlineStr">
        <is>
          <t>ST.C</t>
        </is>
      </c>
      <c r="E272" s="8" t="inlineStr">
        <is>
          <t>D Tyler</t>
        </is>
      </c>
      <c r="F272" s="8" t="n">
        <v>2</v>
      </c>
      <c r="G272" s="8" t="n">
        <v>2</v>
      </c>
      <c r="H272" s="8" t="n">
        <v>1</v>
      </c>
      <c r="I272" s="8" t="n">
        <v>1</v>
      </c>
      <c r="J272" s="8" t="n">
        <v>0</v>
      </c>
      <c r="K272" s="8" t="n">
        <v>0</v>
      </c>
      <c r="L272" s="8" t="n">
        <v>0</v>
      </c>
      <c r="M272" s="8" t="n">
        <v>0</v>
      </c>
      <c r="N272" s="8" t="n">
        <v>0</v>
      </c>
      <c r="O272" s="8" t="n">
        <v>1</v>
      </c>
      <c r="P272" s="8" t="n">
        <v>1</v>
      </c>
      <c r="Q272" s="8" t="n">
        <v>0</v>
      </c>
      <c r="R272" s="8" t="n">
        <v>0</v>
      </c>
      <c r="S272" s="8" t="n">
        <v>0</v>
      </c>
      <c r="T272" s="8" t="n">
        <v>0</v>
      </c>
      <c r="U272" s="8" t="n">
        <v>0</v>
      </c>
      <c r="V272" s="8" t="n">
        <v>0</v>
      </c>
      <c r="W272" s="8" t="n">
        <v>0</v>
      </c>
      <c r="X272" s="8" t="n">
        <v>0</v>
      </c>
      <c r="Y272" s="8" t="inlineStr">
        <is>
          <t>K_L B3 Seq#21; 1B B6 play#45; advances to 3rd on D Vauss tag-up PO; stranded at 3rd end B6; balk by E Zimmerman Seq#46 advanced D Tyler from 1st to 2nd (see Flag#8)</t>
        </is>
      </c>
    </row>
    <row r="273" ht="15.75" customHeight="1" s="35">
      <c r="A273" s="8" t="inlineStr">
        <is>
          <t>2026-03-23_NRTH_at_ST.C</t>
        </is>
      </c>
      <c r="B273" s="2" t="n">
        <v>46104</v>
      </c>
      <c r="C273" s="8" t="inlineStr">
        <is>
          <t>NRTH</t>
        </is>
      </c>
      <c r="D273" s="8" t="inlineStr">
        <is>
          <t>ST.C</t>
        </is>
      </c>
      <c r="E273" s="8" t="inlineStr">
        <is>
          <t>D Vauss</t>
        </is>
      </c>
      <c r="F273" s="8" t="n">
        <v>2</v>
      </c>
      <c r="G273" s="8" t="n">
        <v>2</v>
      </c>
      <c r="H273" s="8" t="n">
        <v>0</v>
      </c>
      <c r="I273" s="8" t="n">
        <v>0</v>
      </c>
      <c r="J273" s="8" t="n">
        <v>0</v>
      </c>
      <c r="K273" s="8" t="n">
        <v>0</v>
      </c>
      <c r="L273" s="8" t="n">
        <v>0</v>
      </c>
      <c r="M273" s="8" t="n">
        <v>0</v>
      </c>
      <c r="N273" s="8" t="n">
        <v>0</v>
      </c>
      <c r="O273" s="8" t="n">
        <v>1</v>
      </c>
      <c r="P273" s="8" t="n">
        <v>0</v>
      </c>
      <c r="Q273" s="8" t="n">
        <v>1</v>
      </c>
      <c r="R273" s="8" t="n">
        <v>0</v>
      </c>
      <c r="S273" s="8" t="n">
        <v>0</v>
      </c>
      <c r="T273" s="8" t="n">
        <v>0</v>
      </c>
      <c r="U273" s="8" t="n">
        <v>0</v>
      </c>
      <c r="V273" s="8" t="n">
        <v>0</v>
      </c>
      <c r="W273" s="8" t="n">
        <v>0</v>
      </c>
      <c r="X273" s="8" t="n">
        <v>0</v>
      </c>
      <c r="Y273" s="8" t="inlineStr">
        <is>
          <t>Dropped 3rd strike B3 play#22 (K_S Seq#22); PO B6 play#46</t>
        </is>
      </c>
    </row>
    <row r="274" ht="15.75" customHeight="1" s="35">
      <c r="A274" s="8" t="inlineStr">
        <is>
          <t>2026-03-23_NRTH_at_ST.C</t>
        </is>
      </c>
      <c r="B274" s="2" t="n">
        <v>46104</v>
      </c>
      <c r="C274" s="8" t="inlineStr">
        <is>
          <t>NRTH</t>
        </is>
      </c>
      <c r="D274" s="8" t="inlineStr">
        <is>
          <t>ST.C</t>
        </is>
      </c>
      <c r="E274" s="8" t="inlineStr">
        <is>
          <t>K Giwa-Agbomeirele</t>
        </is>
      </c>
      <c r="F274" s="8" t="n">
        <v>2</v>
      </c>
      <c r="G274" s="8" t="n">
        <v>2</v>
      </c>
      <c r="H274" s="8" t="n">
        <v>0</v>
      </c>
      <c r="I274" s="8" t="n">
        <v>0</v>
      </c>
      <c r="J274" s="8" t="n">
        <v>0</v>
      </c>
      <c r="K274" s="8" t="n">
        <v>0</v>
      </c>
      <c r="L274" s="8" t="n">
        <v>0</v>
      </c>
      <c r="M274" s="8" t="n">
        <v>0</v>
      </c>
      <c r="N274" s="8" t="n">
        <v>0</v>
      </c>
      <c r="O274" s="8" t="n">
        <v>1</v>
      </c>
      <c r="P274" s="8" t="n">
        <v>1</v>
      </c>
      <c r="Q274" s="8" t="n">
        <v>0</v>
      </c>
      <c r="R274" s="8" t="n">
        <v>0</v>
      </c>
      <c r="S274" s="8" t="n">
        <v>0</v>
      </c>
      <c r="T274" s="8" t="n">
        <v>0</v>
      </c>
      <c r="U274" s="8" t="n">
        <v>0</v>
      </c>
      <c r="V274" s="8" t="n">
        <v>0</v>
      </c>
      <c r="W274" s="8" t="n">
        <v>0</v>
      </c>
      <c r="X274" s="8" t="n">
        <v>0</v>
      </c>
      <c r="Y274" s="8" t="inlineStr">
        <is>
          <t>LO B3 play#23; K_L B6 Seq#47</t>
        </is>
      </c>
    </row>
    <row r="275" ht="15.75" customHeight="1" s="35">
      <c r="A275" s="8" t="inlineStr">
        <is>
          <t>2026-03-25_NRTH_at_CHPT</t>
        </is>
      </c>
      <c r="B275" s="2" t="n">
        <v>46106</v>
      </c>
      <c r="C275" s="8" t="inlineStr">
        <is>
          <t>CHPT</t>
        </is>
      </c>
      <c r="D275" s="8" t="inlineStr">
        <is>
          <t>NRTH</t>
        </is>
      </c>
      <c r="E275" s="8" t="inlineStr">
        <is>
          <t>A Espejo</t>
        </is>
      </c>
      <c r="F275" s="8" t="n">
        <v>4</v>
      </c>
      <c r="G275" s="8" t="n">
        <v>4</v>
      </c>
      <c r="H275" s="8" t="n">
        <v>0</v>
      </c>
      <c r="I275" s="8" t="n">
        <v>0</v>
      </c>
      <c r="J275" s="8" t="n">
        <v>0</v>
      </c>
      <c r="K275" s="8" t="n">
        <v>0</v>
      </c>
      <c r="L275" s="8" t="n">
        <v>0</v>
      </c>
      <c r="M275" s="8" t="n">
        <v>0</v>
      </c>
      <c r="N275" s="8" t="n">
        <v>0</v>
      </c>
      <c r="O275" s="8" t="n">
        <v>2</v>
      </c>
      <c r="P275" s="8" t="n">
        <v>2</v>
      </c>
      <c r="Q275" s="8" t="n">
        <v>0</v>
      </c>
      <c r="R275" s="8" t="n">
        <v>0</v>
      </c>
      <c r="S275" s="8" t="n">
        <v>0</v>
      </c>
      <c r="T275" s="8" t="n">
        <v>0</v>
      </c>
      <c r="U275" s="8" t="n">
        <v>0</v>
      </c>
      <c r="V275" s="8" t="n">
        <v>0</v>
      </c>
      <c r="W275" s="8" t="n">
        <v>0</v>
      </c>
      <c r="X275" s="8" t="n">
        <v>0</v>
      </c>
      <c r="Y275" s="8" t="inlineStr">
        <is>
          <t>GO T1 play#1; K_L T3 Seq#23; FO T5 play#41; FO T7 play#58; E at 3B plays#11,#13 B1</t>
        </is>
      </c>
    </row>
    <row r="276" ht="15.75" customHeight="1" s="35">
      <c r="A276" s="8" t="inlineStr">
        <is>
          <t>2026-03-25_NRTH_at_CHPT</t>
        </is>
      </c>
      <c r="B276" s="2" t="n">
        <v>46106</v>
      </c>
      <c r="C276" s="8" t="inlineStr">
        <is>
          <t>CHPT</t>
        </is>
      </c>
      <c r="D276" s="8" t="inlineStr">
        <is>
          <t>NRTH</t>
        </is>
      </c>
      <c r="E276" s="8" t="inlineStr">
        <is>
          <t>A Thomas</t>
        </is>
      </c>
      <c r="F276" s="8" t="n">
        <v>4</v>
      </c>
      <c r="G276" s="8" t="n">
        <v>4</v>
      </c>
      <c r="H276" s="8" t="n">
        <v>0</v>
      </c>
      <c r="I276" s="8" t="n">
        <v>0</v>
      </c>
      <c r="J276" s="8" t="n">
        <v>0</v>
      </c>
      <c r="K276" s="8" t="n">
        <v>0</v>
      </c>
      <c r="L276" s="8" t="n">
        <v>0</v>
      </c>
      <c r="M276" s="8" t="n">
        <v>0</v>
      </c>
      <c r="N276" s="8" t="n">
        <v>0</v>
      </c>
      <c r="O276" s="8" t="n">
        <v>2</v>
      </c>
      <c r="P276" s="8" t="n">
        <v>0</v>
      </c>
      <c r="Q276" s="8" t="n">
        <v>2</v>
      </c>
      <c r="R276" s="8" t="n">
        <v>0</v>
      </c>
      <c r="S276" s="8" t="n">
        <v>0</v>
      </c>
      <c r="T276" s="8" t="n">
        <v>0</v>
      </c>
      <c r="U276" s="8" t="n">
        <v>0</v>
      </c>
      <c r="V276" s="8" t="n">
        <v>0</v>
      </c>
      <c r="W276" s="8" t="n">
        <v>0</v>
      </c>
      <c r="X276" s="8" t="n">
        <v>1</v>
      </c>
      <c r="Y276" s="8" t="inlineStr">
        <is>
          <t>K_S T1 Seq#2; GO T3 play#24; K_S T5 Seq#42; FC T7 play#59 (C Pettko out at 2nd); E at 2B play#9 B1 (T Haggard reaches, T Bailey scores)</t>
        </is>
      </c>
    </row>
    <row r="277" ht="15.75" customHeight="1" s="35">
      <c r="A277" s="8" t="inlineStr">
        <is>
          <t>2026-03-25_NRTH_at_CHPT</t>
        </is>
      </c>
      <c r="B277" s="2" t="n">
        <v>46106</v>
      </c>
      <c r="C277" s="8" t="inlineStr">
        <is>
          <t>CHPT</t>
        </is>
      </c>
      <c r="D277" s="8" t="inlineStr">
        <is>
          <t>NRTH</t>
        </is>
      </c>
      <c r="E277" s="8" t="inlineStr">
        <is>
          <t>A Harding</t>
        </is>
      </c>
      <c r="F277" s="8" t="n">
        <v>3</v>
      </c>
      <c r="G277" s="8" t="n">
        <v>3</v>
      </c>
      <c r="H277" s="8" t="n">
        <v>2</v>
      </c>
      <c r="I277" s="8" t="n">
        <v>2</v>
      </c>
      <c r="J277" s="8" t="n">
        <v>0</v>
      </c>
      <c r="K277" s="8" t="n">
        <v>0</v>
      </c>
      <c r="L277" s="8" t="n">
        <v>0</v>
      </c>
      <c r="M277" s="8" t="n">
        <v>0</v>
      </c>
      <c r="N277" s="8" t="n">
        <v>0</v>
      </c>
      <c r="O277" s="8" t="n">
        <v>1</v>
      </c>
      <c r="P277" s="8" t="n">
        <v>0</v>
      </c>
      <c r="Q277" s="8" t="n">
        <v>1</v>
      </c>
      <c r="R277" s="8" t="n">
        <v>1</v>
      </c>
      <c r="S277" s="8" t="n">
        <v>0</v>
      </c>
      <c r="T277" s="8" t="n">
        <v>0</v>
      </c>
      <c r="U277" s="8" t="n">
        <v>0</v>
      </c>
      <c r="V277" s="8" t="n">
        <v>0</v>
      </c>
      <c r="W277" s="8" t="n">
        <v>0</v>
      </c>
      <c r="X277" s="8" t="n">
        <v>0</v>
      </c>
      <c r="Y277" s="8" t="inlineStr">
        <is>
          <t>1B T1 play#3 (adv 2nd on E C Rabon LF); K_S T6 play#48 (dropped 3rd strike, out at 1st); 1B T4 play#28; R T1 play#4 (Z Bowman 1B); E at SS plays#36(B4),#44(B5)</t>
        </is>
      </c>
    </row>
    <row r="278" ht="15.75" customHeight="1" s="35">
      <c r="A278" s="8" t="inlineStr">
        <is>
          <t>2026-03-25_NRTH_at_CHPT</t>
        </is>
      </c>
      <c r="B278" s="2" t="n">
        <v>46106</v>
      </c>
      <c r="C278" s="8" t="inlineStr">
        <is>
          <t>CHPT</t>
        </is>
      </c>
      <c r="D278" s="8" t="inlineStr">
        <is>
          <t>NRTH</t>
        </is>
      </c>
      <c r="E278" s="8" t="inlineStr">
        <is>
          <t>Z Bowman</t>
        </is>
      </c>
      <c r="F278" s="8" t="n">
        <v>3</v>
      </c>
      <c r="G278" s="8" t="n">
        <v>3</v>
      </c>
      <c r="H278" s="8" t="n">
        <v>1</v>
      </c>
      <c r="I278" s="8" t="n">
        <v>1</v>
      </c>
      <c r="J278" s="8" t="n">
        <v>0</v>
      </c>
      <c r="K278" s="8" t="n">
        <v>0</v>
      </c>
      <c r="L278" s="8" t="n">
        <v>0</v>
      </c>
      <c r="M278" s="8" t="n">
        <v>0</v>
      </c>
      <c r="N278" s="8" t="n">
        <v>0</v>
      </c>
      <c r="O278" s="8" t="n">
        <v>0</v>
      </c>
      <c r="P278" s="8" t="n">
        <v>0</v>
      </c>
      <c r="Q278" s="8" t="n">
        <v>0</v>
      </c>
      <c r="R278" s="8" t="n">
        <v>0</v>
      </c>
      <c r="S278" s="8" t="n">
        <v>1</v>
      </c>
      <c r="T278" s="8" t="n">
        <v>1</v>
      </c>
      <c r="U278" s="8" t="n">
        <v>0</v>
      </c>
      <c r="V278" s="8" t="n">
        <v>0</v>
      </c>
      <c r="W278" s="8" t="n">
        <v>0</v>
      </c>
      <c r="X278" s="8" t="n">
        <v>1</v>
      </c>
      <c r="Y278" s="8" t="inlineStr">
        <is>
          <t>1B T1 play#4 (RBI A Harding scores); FC T4 play#29 (fly into FC, see Flag#7; A Harding out); LO T6 play#49; SB 2nd T4 Seq#30 (embedded J Smith BB AB); WP advance 2nd T1 Seq#5 (embedded E Zimmerman GO AB)</t>
        </is>
      </c>
    </row>
    <row r="279" ht="15.75" customHeight="1" s="35">
      <c r="A279" s="8" t="inlineStr">
        <is>
          <t>2026-03-25_NRTH_at_CHPT</t>
        </is>
      </c>
      <c r="B279" s="2" t="n">
        <v>46106</v>
      </c>
      <c r="C279" s="8" t="inlineStr">
        <is>
          <t>CHPT</t>
        </is>
      </c>
      <c r="D279" s="8" t="inlineStr">
        <is>
          <t>NRTH</t>
        </is>
      </c>
      <c r="E279" s="8" t="inlineStr">
        <is>
          <t>E Zimmerman</t>
        </is>
      </c>
      <c r="F279" s="8" t="n">
        <v>1</v>
      </c>
      <c r="G279" s="8" t="n">
        <v>1</v>
      </c>
      <c r="H279" s="8" t="n">
        <v>0</v>
      </c>
      <c r="I279" s="8" t="n">
        <v>0</v>
      </c>
      <c r="J279" s="8" t="n">
        <v>0</v>
      </c>
      <c r="K279" s="8" t="n">
        <v>0</v>
      </c>
      <c r="L279" s="8" t="n">
        <v>0</v>
      </c>
      <c r="M279" s="8" t="n">
        <v>0</v>
      </c>
      <c r="N279" s="8" t="n">
        <v>0</v>
      </c>
      <c r="O279" s="8" t="n">
        <v>0</v>
      </c>
      <c r="P279" s="8" t="n">
        <v>0</v>
      </c>
      <c r="Q279" s="8" t="n">
        <v>0</v>
      </c>
      <c r="R279" s="8" t="n">
        <v>0</v>
      </c>
      <c r="S279" s="8" t="n">
        <v>0</v>
      </c>
      <c r="T279" s="8" t="n">
        <v>0</v>
      </c>
      <c r="U279" s="8" t="n">
        <v>0</v>
      </c>
      <c r="V279" s="8" t="n">
        <v>0</v>
      </c>
      <c r="W279" s="8" t="n">
        <v>0</v>
      </c>
      <c r="X279" s="8" t="n">
        <v>0</v>
      </c>
      <c r="Y279" s="8" t="inlineStr">
        <is>
          <t>GO T1 play#5; replaced in lineup by J Smith (no lineup note) starting T4</t>
        </is>
      </c>
    </row>
    <row r="280" ht="15.75" customHeight="1" s="35">
      <c r="A280" s="8" t="inlineStr">
        <is>
          <t>2026-03-25_NRTH_at_CHPT</t>
        </is>
      </c>
      <c r="B280" s="2" t="n">
        <v>46106</v>
      </c>
      <c r="C280" s="8" t="inlineStr">
        <is>
          <t>CHPT</t>
        </is>
      </c>
      <c r="D280" s="8" t="inlineStr">
        <is>
          <t>NRTH</t>
        </is>
      </c>
      <c r="E280" s="8" t="inlineStr">
        <is>
          <t>W Kwisnek</t>
        </is>
      </c>
      <c r="F280" s="8" t="n">
        <v>3</v>
      </c>
      <c r="G280" s="8" t="n">
        <v>3</v>
      </c>
      <c r="H280" s="8" t="n">
        <v>1</v>
      </c>
      <c r="I280" s="8" t="n">
        <v>1</v>
      </c>
      <c r="J280" s="8" t="n">
        <v>0</v>
      </c>
      <c r="K280" s="8" t="n">
        <v>0</v>
      </c>
      <c r="L280" s="8" t="n">
        <v>0</v>
      </c>
      <c r="M280" s="8" t="n">
        <v>0</v>
      </c>
      <c r="N280" s="8" t="n">
        <v>0</v>
      </c>
      <c r="O280" s="8" t="n">
        <v>2</v>
      </c>
      <c r="P280" s="8" t="n">
        <v>1</v>
      </c>
      <c r="Q280" s="8" t="n">
        <v>1</v>
      </c>
      <c r="R280" s="8" t="n">
        <v>1</v>
      </c>
      <c r="S280" s="8" t="n">
        <v>0</v>
      </c>
      <c r="T280" s="8" t="n">
        <v>1</v>
      </c>
      <c r="U280" s="8" t="n">
        <v>0</v>
      </c>
      <c r="V280" s="8" t="n">
        <v>0</v>
      </c>
      <c r="W280" s="8" t="n">
        <v>0</v>
      </c>
      <c r="X280" s="8" t="n">
        <v>0</v>
      </c>
      <c r="Y280" s="8" t="inlineStr">
        <is>
          <t>K_S T2 Seq#16; K_L T4 Seq#31; 1B T7 play#54 (adv 2nd on throw, see Flag#11); R T7 play#55 (S Dixon 1B); SB 3rd T7 Seq#55 (embedded S Dixon 1B AB)</t>
        </is>
      </c>
    </row>
    <row r="281" ht="15.75" customHeight="1" s="35">
      <c r="A281" s="8" t="inlineStr">
        <is>
          <t>2026-03-25_NRTH_at_CHPT</t>
        </is>
      </c>
      <c r="B281" s="2" t="n">
        <v>46106</v>
      </c>
      <c r="C281" s="8" t="inlineStr">
        <is>
          <t>CHPT</t>
        </is>
      </c>
      <c r="D281" s="8" t="inlineStr">
        <is>
          <t>NRTH</t>
        </is>
      </c>
      <c r="E281" s="8" t="inlineStr">
        <is>
          <t>S Dixon</t>
        </is>
      </c>
      <c r="F281" s="8" t="n">
        <v>3</v>
      </c>
      <c r="G281" s="8" t="n">
        <v>3</v>
      </c>
      <c r="H281" s="8" t="n">
        <v>1</v>
      </c>
      <c r="I281" s="8" t="n">
        <v>1</v>
      </c>
      <c r="J281" s="8" t="n">
        <v>0</v>
      </c>
      <c r="K281" s="8" t="n">
        <v>0</v>
      </c>
      <c r="L281" s="8" t="n">
        <v>0</v>
      </c>
      <c r="M281" s="8" t="n">
        <v>0</v>
      </c>
      <c r="N281" s="8" t="n">
        <v>0</v>
      </c>
      <c r="O281" s="8" t="n">
        <v>0</v>
      </c>
      <c r="P281" s="8" t="n">
        <v>0</v>
      </c>
      <c r="Q281" s="8" t="n">
        <v>0</v>
      </c>
      <c r="R281" s="8" t="n">
        <v>0</v>
      </c>
      <c r="S281" s="8" t="n">
        <v>1</v>
      </c>
      <c r="T281" s="8" t="n">
        <v>0</v>
      </c>
      <c r="U281" s="8" t="n">
        <v>0</v>
      </c>
      <c r="V281" s="8" t="n">
        <v>0</v>
      </c>
      <c r="W281" s="8" t="n">
        <v>0</v>
      </c>
      <c r="X281" s="8" t="n">
        <v>0</v>
      </c>
      <c r="Y281" s="8" t="inlineStr">
        <is>
          <t>FO T2 play#17; FO T4 play#32 (to SS E Reynolds, see Flag#10); 1B T7 play#55 (RBI W Kwisnek scores); E at CF play#20 B2 (R Welch reaches)</t>
        </is>
      </c>
    </row>
    <row r="282" ht="15.75" customHeight="1" s="35">
      <c r="A282" s="8" t="inlineStr">
        <is>
          <t>2026-03-25_NRTH_at_CHPT</t>
        </is>
      </c>
      <c r="B282" s="2" t="n">
        <v>46106</v>
      </c>
      <c r="C282" s="8" t="inlineStr">
        <is>
          <t>CHPT</t>
        </is>
      </c>
      <c r="D282" s="8" t="inlineStr">
        <is>
          <t>NRTH</t>
        </is>
      </c>
      <c r="E282" s="8" t="inlineStr">
        <is>
          <t>C Pettko</t>
        </is>
      </c>
      <c r="F282" s="8" t="n">
        <v>3</v>
      </c>
      <c r="G282" s="8" t="n">
        <v>3</v>
      </c>
      <c r="H282" s="8" t="n">
        <v>0</v>
      </c>
      <c r="I282" s="8" t="n">
        <v>0</v>
      </c>
      <c r="J282" s="8" t="n">
        <v>0</v>
      </c>
      <c r="K282" s="8" t="n">
        <v>0</v>
      </c>
      <c r="L282" s="8" t="n">
        <v>0</v>
      </c>
      <c r="M282" s="8" t="n">
        <v>0</v>
      </c>
      <c r="N282" s="8" t="n">
        <v>0</v>
      </c>
      <c r="O282" s="8" t="n">
        <v>1</v>
      </c>
      <c r="P282" s="8" t="n">
        <v>1</v>
      </c>
      <c r="Q282" s="8" t="n">
        <v>0</v>
      </c>
      <c r="R282" s="8" t="n">
        <v>0</v>
      </c>
      <c r="S282" s="8" t="n">
        <v>0</v>
      </c>
      <c r="T282" s="8" t="n">
        <v>0</v>
      </c>
      <c r="U282" s="8" t="n">
        <v>0</v>
      </c>
      <c r="V282" s="8" t="n">
        <v>0</v>
      </c>
      <c r="W282" s="8" t="n">
        <v>0</v>
      </c>
      <c r="X282" s="8" t="n">
        <v>0</v>
      </c>
      <c r="Y282" s="8" t="inlineStr">
        <is>
          <t>K_L T2 Seq#18; FO T5 play#39; E T7 play#56 (E Reynolds SS); out at 2B on A Thomas FC T7 play#59; also pitches B1-B5</t>
        </is>
      </c>
    </row>
    <row r="283" ht="15.75" customHeight="1" s="35">
      <c r="A283" s="8" t="inlineStr">
        <is>
          <t>2026-03-25_NRTH_at_CHPT</t>
        </is>
      </c>
      <c r="B283" s="2" t="n">
        <v>46106</v>
      </c>
      <c r="C283" s="8" t="inlineStr">
        <is>
          <t>CHPT</t>
        </is>
      </c>
      <c r="D283" s="8" t="inlineStr">
        <is>
          <t>NRTH</t>
        </is>
      </c>
      <c r="E283" s="8" t="inlineStr">
        <is>
          <t>T Roy</t>
        </is>
      </c>
      <c r="F283" s="8" t="n">
        <v>3</v>
      </c>
      <c r="G283" s="8" t="n">
        <v>3</v>
      </c>
      <c r="H283" s="8" t="n">
        <v>1</v>
      </c>
      <c r="I283" s="8" t="n">
        <v>0</v>
      </c>
      <c r="J283" s="8" t="n">
        <v>1</v>
      </c>
      <c r="K283" s="8" t="n">
        <v>0</v>
      </c>
      <c r="L283" s="8" t="n">
        <v>0</v>
      </c>
      <c r="M283" s="8" t="n">
        <v>0</v>
      </c>
      <c r="N283" s="8" t="n">
        <v>0</v>
      </c>
      <c r="O283" s="8" t="n">
        <v>1</v>
      </c>
      <c r="P283" s="8" t="n">
        <v>0</v>
      </c>
      <c r="Q283" s="8" t="n">
        <v>1</v>
      </c>
      <c r="R283" s="8" t="n">
        <v>0</v>
      </c>
      <c r="S283" s="8" t="n">
        <v>0</v>
      </c>
      <c r="T283" s="8" t="n">
        <v>0</v>
      </c>
      <c r="U283" s="8" t="n">
        <v>0</v>
      </c>
      <c r="V283" s="8" t="n">
        <v>0</v>
      </c>
      <c r="W283" s="8" t="n">
        <v>0</v>
      </c>
      <c r="X283" s="8" t="n">
        <v>0</v>
      </c>
      <c r="Y283" s="8" t="inlineStr">
        <is>
          <t>GO T3 play#22; 2B T5 play#40 (stranded); K_S T7 Seq#57</t>
        </is>
      </c>
    </row>
    <row r="284" ht="15.75" customHeight="1" s="35">
      <c r="A284" s="8" t="inlineStr">
        <is>
          <t>2026-03-25_NRTH_at_CHPT</t>
        </is>
      </c>
      <c r="B284" s="2" t="n">
        <v>46106</v>
      </c>
      <c r="C284" s="8" t="inlineStr">
        <is>
          <t>CHPT</t>
        </is>
      </c>
      <c r="D284" s="8" t="inlineStr">
        <is>
          <t>NRTH</t>
        </is>
      </c>
      <c r="E284" s="8" t="inlineStr">
        <is>
          <t>J Smith</t>
        </is>
      </c>
      <c r="F284" s="8" t="n">
        <v>2</v>
      </c>
      <c r="G284" s="8" t="n">
        <v>1</v>
      </c>
      <c r="H284" s="8" t="n">
        <v>0</v>
      </c>
      <c r="I284" s="8" t="n">
        <v>0</v>
      </c>
      <c r="J284" s="8" t="n">
        <v>0</v>
      </c>
      <c r="K284" s="8" t="n">
        <v>0</v>
      </c>
      <c r="L284" s="8" t="n">
        <v>0</v>
      </c>
      <c r="M284" s="8" t="n">
        <v>1</v>
      </c>
      <c r="N284" s="8" t="n">
        <v>0</v>
      </c>
      <c r="O284" s="8" t="n">
        <v>0</v>
      </c>
      <c r="P284" s="8" t="n">
        <v>0</v>
      </c>
      <c r="Q284" s="8" t="n">
        <v>0</v>
      </c>
      <c r="R284" s="8" t="n">
        <v>0</v>
      </c>
      <c r="S284" s="8" t="n">
        <v>0</v>
      </c>
      <c r="T284" s="8" t="n">
        <v>0</v>
      </c>
      <c r="U284" s="8" t="n">
        <v>0</v>
      </c>
      <c r="V284" s="8" t="n">
        <v>0</v>
      </c>
      <c r="W284" s="8" t="n">
        <v>0</v>
      </c>
      <c r="X284" s="8" t="n">
        <v>0</v>
      </c>
      <c r="Y284" s="8" t="inlineStr">
        <is>
          <t>BB T4 play#30; GO T6 play#50; replaces E Zimmerman in lineup from T4 (no lineup note)</t>
        </is>
      </c>
    </row>
    <row r="285" ht="15.75" customHeight="1" s="35">
      <c r="A285" s="8" t="inlineStr">
        <is>
          <t>2026-03-25_NRTH_at_CHPT</t>
        </is>
      </c>
      <c r="B285" s="2" t="n">
        <v>46106</v>
      </c>
      <c r="C285" s="8" t="inlineStr">
        <is>
          <t>NRTH</t>
        </is>
      </c>
      <c r="D285" s="8" t="inlineStr">
        <is>
          <t>CHPT</t>
        </is>
      </c>
      <c r="E285" s="8" t="inlineStr">
        <is>
          <t>T Bailey</t>
        </is>
      </c>
      <c r="F285" s="8" t="n">
        <v>4</v>
      </c>
      <c r="G285" s="8" t="n">
        <v>3</v>
      </c>
      <c r="H285" s="8" t="n">
        <v>0</v>
      </c>
      <c r="I285" s="8" t="n">
        <v>0</v>
      </c>
      <c r="J285" s="8" t="n">
        <v>0</v>
      </c>
      <c r="K285" s="8" t="n">
        <v>0</v>
      </c>
      <c r="L285" s="8" t="n">
        <v>0</v>
      </c>
      <c r="M285" s="8" t="n">
        <v>1</v>
      </c>
      <c r="N285" s="8" t="n">
        <v>0</v>
      </c>
      <c r="O285" s="8" t="n">
        <v>1</v>
      </c>
      <c r="P285" s="8" t="n">
        <v>0</v>
      </c>
      <c r="Q285" s="8" t="n">
        <v>1</v>
      </c>
      <c r="R285" s="8" t="n">
        <v>1</v>
      </c>
      <c r="S285" s="8" t="n">
        <v>0</v>
      </c>
      <c r="T285" s="8" t="n">
        <v>1</v>
      </c>
      <c r="U285" s="8" t="n">
        <v>0</v>
      </c>
      <c r="V285" s="8" t="n">
        <v>0</v>
      </c>
      <c r="W285" s="8" t="n">
        <v>0</v>
      </c>
      <c r="X285" s="8" t="n">
        <v>1</v>
      </c>
      <c r="Y285" s="8" t="inlineStr">
        <is>
          <t>BB B1 play#6; FC B1 play#15 (bats twice B1, Flag#6; A Garner out); GO B4 play#35; K_S B6 Seq#52; R B1 play#9 (T Haggard E, A Thomas); SB 2nd B1 Seq#7 (embedded M McDermott GO AB); balk C Pettko Seq#9 adv T Bailey 3rd (Flag#3)</t>
        </is>
      </c>
    </row>
    <row r="286" ht="15.75" customHeight="1" s="35">
      <c r="A286" s="8" t="inlineStr">
        <is>
          <t>2026-03-25_NRTH_at_CHPT</t>
        </is>
      </c>
      <c r="B286" s="2" t="n">
        <v>46106</v>
      </c>
      <c r="C286" s="8" t="inlineStr">
        <is>
          <t>NRTH</t>
        </is>
      </c>
      <c r="D286" s="8" t="inlineStr">
        <is>
          <t>CHPT</t>
        </is>
      </c>
      <c r="E286" s="8" t="inlineStr">
        <is>
          <t>M McDermott</t>
        </is>
      </c>
      <c r="F286" s="8" t="n">
        <v>3</v>
      </c>
      <c r="G286" s="8" t="n">
        <v>3</v>
      </c>
      <c r="H286" s="8" t="n">
        <v>0</v>
      </c>
      <c r="I286" s="8" t="n">
        <v>0</v>
      </c>
      <c r="J286" s="8" t="n">
        <v>0</v>
      </c>
      <c r="K286" s="8" t="n">
        <v>0</v>
      </c>
      <c r="L286" s="8" t="n">
        <v>0</v>
      </c>
      <c r="M286" s="8" t="n">
        <v>0</v>
      </c>
      <c r="N286" s="8" t="n">
        <v>0</v>
      </c>
      <c r="O286" s="8" t="n">
        <v>0</v>
      </c>
      <c r="P286" s="8" t="n">
        <v>0</v>
      </c>
      <c r="Q286" s="8" t="n">
        <v>0</v>
      </c>
      <c r="R286" s="8" t="n">
        <v>0</v>
      </c>
      <c r="S286" s="8" t="n">
        <v>0</v>
      </c>
      <c r="T286" s="8" t="n">
        <v>0</v>
      </c>
      <c r="U286" s="8" t="n">
        <v>0</v>
      </c>
      <c r="V286" s="8" t="n">
        <v>0</v>
      </c>
      <c r="W286" s="8" t="n">
        <v>0</v>
      </c>
      <c r="X286" s="8" t="n">
        <v>0</v>
      </c>
      <c r="Y286" s="8" t="inlineStr">
        <is>
          <t>GO B1 play#7; FO B2 play#19; E B4 play#36 (A Harding SS); adv 3rd on WP Seq#38; replaced by E Reynolds B6</t>
        </is>
      </c>
    </row>
    <row r="287" ht="15.75" customHeight="1" s="35">
      <c r="A287" s="8" t="inlineStr">
        <is>
          <t>2026-03-25_NRTH_at_CHPT</t>
        </is>
      </c>
      <c r="B287" s="2" t="n">
        <v>46106</v>
      </c>
      <c r="C287" s="8" t="inlineStr">
        <is>
          <t>NRTH</t>
        </is>
      </c>
      <c r="D287" s="8" t="inlineStr">
        <is>
          <t>CHPT</t>
        </is>
      </c>
      <c r="E287" s="8" t="inlineStr">
        <is>
          <t>R Welch</t>
        </is>
      </c>
      <c r="F287" s="8" t="n">
        <v>3</v>
      </c>
      <c r="G287" s="8" t="n">
        <v>2</v>
      </c>
      <c r="H287" s="8" t="n">
        <v>1</v>
      </c>
      <c r="I287" s="8" t="n">
        <v>1</v>
      </c>
      <c r="J287" s="8" t="n">
        <v>0</v>
      </c>
      <c r="K287" s="8" t="n">
        <v>0</v>
      </c>
      <c r="L287" s="8" t="n">
        <v>0</v>
      </c>
      <c r="M287" s="8" t="n">
        <v>1</v>
      </c>
      <c r="N287" s="8" t="n">
        <v>0</v>
      </c>
      <c r="O287" s="8" t="n">
        <v>0</v>
      </c>
      <c r="P287" s="8" t="n">
        <v>0</v>
      </c>
      <c r="Q287" s="8" t="n">
        <v>0</v>
      </c>
      <c r="R287" s="8" t="n">
        <v>1</v>
      </c>
      <c r="S287" s="8" t="n">
        <v>0</v>
      </c>
      <c r="T287" s="8" t="n">
        <v>0</v>
      </c>
      <c r="U287" s="8" t="n">
        <v>0</v>
      </c>
      <c r="V287" s="8" t="n">
        <v>0</v>
      </c>
      <c r="W287" s="8" t="n">
        <v>0</v>
      </c>
      <c r="X287" s="8" t="n">
        <v>0</v>
      </c>
      <c r="Y287" s="8" t="inlineStr">
        <is>
          <t>BB B1 play#8; E B2 play#20 (S Dixon CF, adv 2nd on same E); 1B B4 play#37; pickoff at 1B play#38 (catcher to Z Bowman, ends inning; see Flag#8); R B1 play#11 (A Norris E by A Espejo)</t>
        </is>
      </c>
    </row>
    <row r="288" ht="15.75" customHeight="1" s="35">
      <c r="A288" s="8" t="inlineStr">
        <is>
          <t>2026-03-25_NRTH_at_CHPT</t>
        </is>
      </c>
      <c r="B288" s="2" t="n">
        <v>46106</v>
      </c>
      <c r="C288" s="8" t="inlineStr">
        <is>
          <t>NRTH</t>
        </is>
      </c>
      <c r="D288" s="8" t="inlineStr">
        <is>
          <t>CHPT</t>
        </is>
      </c>
      <c r="E288" s="8" t="inlineStr">
        <is>
          <t>T Haggard</t>
        </is>
      </c>
      <c r="F288" s="8" t="n">
        <v>3</v>
      </c>
      <c r="G288" s="8" t="n">
        <v>3</v>
      </c>
      <c r="H288" s="8" t="n">
        <v>1</v>
      </c>
      <c r="I288" s="8" t="n">
        <v>0</v>
      </c>
      <c r="J288" s="8" t="n">
        <v>1</v>
      </c>
      <c r="K288" s="8" t="n">
        <v>0</v>
      </c>
      <c r="L288" s="8" t="n">
        <v>0</v>
      </c>
      <c r="M288" s="8" t="n">
        <v>0</v>
      </c>
      <c r="N288" s="8" t="n">
        <v>0</v>
      </c>
      <c r="O288" s="8" t="n">
        <v>0</v>
      </c>
      <c r="P288" s="8" t="n">
        <v>0</v>
      </c>
      <c r="Q288" s="8" t="n">
        <v>0</v>
      </c>
      <c r="R288" s="8" t="n">
        <v>2</v>
      </c>
      <c r="S288" s="8" t="n">
        <v>0</v>
      </c>
      <c r="T288" s="8" t="n">
        <v>0</v>
      </c>
      <c r="U288" s="8" t="n">
        <v>0</v>
      </c>
      <c r="V288" s="8" t="n">
        <v>0</v>
      </c>
      <c r="W288" s="8" t="n">
        <v>0</v>
      </c>
      <c r="X288" s="8" t="n">
        <v>0</v>
      </c>
      <c r="Y288" s="8" t="inlineStr">
        <is>
          <t>E B1 play#9 (A Thomas 2B; balk by C Pettko embedded before play, Flag#3); DP B2 play#21 (lines into DP, R Welch out; line-drive DP, not GDP); 2B B5 play#43; CR H Headley x2 (B1 play#10 + B5 play#44); R x2 via CR H Headley: B1 play#11 (A Norris E), B5 play#45 (A Norris SF); see Flags#4,#5</t>
        </is>
      </c>
    </row>
    <row r="289" ht="15.75" customHeight="1" s="35">
      <c r="A289" s="8" t="inlineStr">
        <is>
          <t>2026-03-25_NRTH_at_CHPT</t>
        </is>
      </c>
      <c r="B289" s="2" t="n">
        <v>46106</v>
      </c>
      <c r="C289" s="8" t="inlineStr">
        <is>
          <t>NRTH</t>
        </is>
      </c>
      <c r="D289" s="8" t="inlineStr">
        <is>
          <t>CHPT</t>
        </is>
      </c>
      <c r="E289" s="8" t="inlineStr">
        <is>
          <t>C Rabon</t>
        </is>
      </c>
      <c r="F289" s="8" t="n">
        <v>3</v>
      </c>
      <c r="G289" s="8" t="n">
        <v>2</v>
      </c>
      <c r="H289" s="8" t="n">
        <v>0</v>
      </c>
      <c r="I289" s="8" t="n">
        <v>0</v>
      </c>
      <c r="J289" s="8" t="n">
        <v>0</v>
      </c>
      <c r="K289" s="8" t="n">
        <v>0</v>
      </c>
      <c r="L289" s="8" t="n">
        <v>0</v>
      </c>
      <c r="M289" s="8" t="n">
        <v>1</v>
      </c>
      <c r="N289" s="8" t="n">
        <v>0</v>
      </c>
      <c r="O289" s="8" t="n">
        <v>0</v>
      </c>
      <c r="P289" s="8" t="n">
        <v>0</v>
      </c>
      <c r="Q289" s="8" t="n">
        <v>0</v>
      </c>
      <c r="R289" s="8" t="n">
        <v>1</v>
      </c>
      <c r="S289" s="8" t="n">
        <v>0</v>
      </c>
      <c r="T289" s="8" t="n">
        <v>0</v>
      </c>
      <c r="U289" s="8" t="n">
        <v>0</v>
      </c>
      <c r="V289" s="8" t="n">
        <v>0</v>
      </c>
      <c r="W289" s="8" t="n">
        <v>0</v>
      </c>
      <c r="X289" s="8" t="n">
        <v>0</v>
      </c>
      <c r="Y289" s="8" t="inlineStr">
        <is>
          <t>BB B1 play#10; FO B3 play#25; E B5 play#44 (A Harding SS, NRTH E=6); R B1 play#11 (adv 1st to 3rd then scores on A Norris E; see Flag#4); also E at LF play#3 T1 (A Harding 1B + adv 2nd on E, CHPT E=1)</t>
        </is>
      </c>
    </row>
    <row r="290" ht="15.75" customHeight="1" s="35">
      <c r="A290" s="8" t="inlineStr">
        <is>
          <t>2026-03-25_NRTH_at_CHPT</t>
        </is>
      </c>
      <c r="B290" s="2" t="n">
        <v>46106</v>
      </c>
      <c r="C290" s="8" t="inlineStr">
        <is>
          <t>NRTH</t>
        </is>
      </c>
      <c r="D290" s="8" t="inlineStr">
        <is>
          <t>CHPT</t>
        </is>
      </c>
      <c r="E290" s="8" t="inlineStr">
        <is>
          <t>A Norris</t>
        </is>
      </c>
      <c r="F290" s="8" t="n">
        <v>3</v>
      </c>
      <c r="G290" s="8" t="n">
        <v>2</v>
      </c>
      <c r="H290" s="8" t="n">
        <v>0</v>
      </c>
      <c r="I290" s="8" t="n">
        <v>0</v>
      </c>
      <c r="J290" s="8" t="n">
        <v>0</v>
      </c>
      <c r="K290" s="8" t="n">
        <v>0</v>
      </c>
      <c r="L290" s="8" t="n">
        <v>0</v>
      </c>
      <c r="M290" s="8" t="n">
        <v>0</v>
      </c>
      <c r="N290" s="8" t="n">
        <v>0</v>
      </c>
      <c r="O290" s="8" t="n">
        <v>0</v>
      </c>
      <c r="P290" s="8" t="n">
        <v>0</v>
      </c>
      <c r="Q290" s="8" t="n">
        <v>0</v>
      </c>
      <c r="R290" s="8" t="n">
        <v>1</v>
      </c>
      <c r="S290" s="8" t="n">
        <v>1</v>
      </c>
      <c r="T290" s="8" t="n">
        <v>0</v>
      </c>
      <c r="U290" s="8" t="n">
        <v>0</v>
      </c>
      <c r="V290" s="8" t="n">
        <v>0</v>
      </c>
      <c r="W290" s="8" t="n">
        <v>1</v>
      </c>
      <c r="X290" s="8" t="n">
        <v>0</v>
      </c>
      <c r="Y290" s="8" t="inlineStr">
        <is>
          <t>E B1 play#11 (A Espejo 3B, NRTH E=2; 3 runs score H Headley+C Rabon+R Welch, see Flag#4); GO B3 play#26; SAC fly B5 play#45 (RBI H Headley/T Haggard scores); R B1 play#12 (C Brickman SF)</t>
        </is>
      </c>
    </row>
    <row r="291" ht="15.75" customHeight="1" s="35">
      <c r="A291" s="8" t="inlineStr">
        <is>
          <t>2026-03-25_NRTH_at_CHPT</t>
        </is>
      </c>
      <c r="B291" s="2" t="n">
        <v>46106</v>
      </c>
      <c r="C291" s="8" t="inlineStr">
        <is>
          <t>NRTH</t>
        </is>
      </c>
      <c r="D291" s="8" t="inlineStr">
        <is>
          <t>CHPT</t>
        </is>
      </c>
      <c r="E291" s="8" t="inlineStr">
        <is>
          <t>C Brickman</t>
        </is>
      </c>
      <c r="F291" s="8" t="n">
        <v>3</v>
      </c>
      <c r="G291" s="8" t="n">
        <v>2</v>
      </c>
      <c r="H291" s="8" t="n">
        <v>0</v>
      </c>
      <c r="I291" s="8" t="n">
        <v>0</v>
      </c>
      <c r="J291" s="8" t="n">
        <v>0</v>
      </c>
      <c r="K291" s="8" t="n">
        <v>0</v>
      </c>
      <c r="L291" s="8" t="n">
        <v>0</v>
      </c>
      <c r="M291" s="8" t="n">
        <v>0</v>
      </c>
      <c r="N291" s="8" t="n">
        <v>0</v>
      </c>
      <c r="O291" s="8" t="n">
        <v>0</v>
      </c>
      <c r="P291" s="8" t="n">
        <v>0</v>
      </c>
      <c r="Q291" s="8" t="n">
        <v>0</v>
      </c>
      <c r="R291" s="8" t="n">
        <v>0</v>
      </c>
      <c r="S291" s="8" t="n">
        <v>1</v>
      </c>
      <c r="T291" s="8" t="n">
        <v>0</v>
      </c>
      <c r="U291" s="8" t="n">
        <v>0</v>
      </c>
      <c r="V291" s="8" t="n">
        <v>0</v>
      </c>
      <c r="W291" s="8" t="n">
        <v>1</v>
      </c>
      <c r="X291" s="8" t="n">
        <v>1</v>
      </c>
      <c r="Y291" s="8" t="inlineStr">
        <is>
          <t>SAC fly B1 play#12 (RBI A Norris scores); LO B3 play#27; FC B5 play#46 (C Rabon out advancing)</t>
        </is>
      </c>
    </row>
    <row r="292" ht="15.75" customHeight="1" s="35">
      <c r="A292" s="8" t="inlineStr">
        <is>
          <t>2026-03-25_NRTH_at_CHPT</t>
        </is>
      </c>
      <c r="B292" s="2" t="n">
        <v>46106</v>
      </c>
      <c r="C292" s="8" t="inlineStr">
        <is>
          <t>NRTH</t>
        </is>
      </c>
      <c r="D292" s="8" t="inlineStr">
        <is>
          <t>CHPT</t>
        </is>
      </c>
      <c r="E292" s="8" t="inlineStr">
        <is>
          <t>S Beach</t>
        </is>
      </c>
      <c r="F292" s="8" t="n">
        <v>3</v>
      </c>
      <c r="G292" s="8" t="n">
        <v>3</v>
      </c>
      <c r="H292" s="8" t="n">
        <v>1</v>
      </c>
      <c r="I292" s="8" t="n">
        <v>0</v>
      </c>
      <c r="J292" s="8" t="n">
        <v>1</v>
      </c>
      <c r="K292" s="8" t="n">
        <v>0</v>
      </c>
      <c r="L292" s="8" t="n">
        <v>0</v>
      </c>
      <c r="M292" s="8" t="n">
        <v>0</v>
      </c>
      <c r="N292" s="8" t="n">
        <v>0</v>
      </c>
      <c r="O292" s="8" t="n">
        <v>0</v>
      </c>
      <c r="P292" s="8" t="n">
        <v>0</v>
      </c>
      <c r="Q292" s="8" t="n">
        <v>0</v>
      </c>
      <c r="R292" s="8" t="n">
        <v>1</v>
      </c>
      <c r="S292" s="8" t="n">
        <v>0</v>
      </c>
      <c r="T292" s="8" t="n">
        <v>0</v>
      </c>
      <c r="U292" s="8" t="n">
        <v>0</v>
      </c>
      <c r="V292" s="8" t="n">
        <v>0</v>
      </c>
      <c r="W292" s="8" t="n">
        <v>0</v>
      </c>
      <c r="X292" s="8" t="n">
        <v>0</v>
      </c>
      <c r="Y292" s="8" t="inlineStr">
        <is>
          <t>E B1 play#13 (A Espejo 3B, NRTH E=3; adv 2nd on same E); CR A Lewis then A Wood in for S Beach (chained CRs, Flag#5); 2B B4 play#33 (adv 3rd on PB Seq#34); R B4 play#34 (A Garner SAC fly); LO B5 play#47; also pitches T1-T6 partial (see pitching row)</t>
        </is>
      </c>
    </row>
    <row r="293" ht="15.75" customHeight="1" s="35">
      <c r="A293" s="8" t="inlineStr">
        <is>
          <t>2026-03-25_NRTH_at_CHPT</t>
        </is>
      </c>
      <c r="B293" s="2" t="n">
        <v>46106</v>
      </c>
      <c r="C293" s="8" t="inlineStr">
        <is>
          <t>NRTH</t>
        </is>
      </c>
      <c r="D293" s="8" t="inlineStr">
        <is>
          <t>CHPT</t>
        </is>
      </c>
      <c r="E293" s="8" t="inlineStr">
        <is>
          <t>A Garner</t>
        </is>
      </c>
      <c r="F293" s="8" t="n">
        <v>3</v>
      </c>
      <c r="G293" s="8" t="n">
        <v>1</v>
      </c>
      <c r="H293" s="8" t="n">
        <v>0</v>
      </c>
      <c r="I293" s="8" t="n">
        <v>0</v>
      </c>
      <c r="J293" s="8" t="n">
        <v>0</v>
      </c>
      <c r="K293" s="8" t="n">
        <v>0</v>
      </c>
      <c r="L293" s="8" t="n">
        <v>0</v>
      </c>
      <c r="M293" s="8" t="n">
        <v>0</v>
      </c>
      <c r="N293" s="8" t="n">
        <v>1</v>
      </c>
      <c r="O293" s="8" t="n">
        <v>0</v>
      </c>
      <c r="P293" s="8" t="n">
        <v>0</v>
      </c>
      <c r="Q293" s="8" t="n">
        <v>0</v>
      </c>
      <c r="R293" s="8" t="n">
        <v>0</v>
      </c>
      <c r="S293" s="8" t="n">
        <v>1</v>
      </c>
      <c r="T293" s="8" t="n">
        <v>0</v>
      </c>
      <c r="U293" s="8" t="n">
        <v>0</v>
      </c>
      <c r="V293" s="8" t="n">
        <v>0</v>
      </c>
      <c r="W293" s="8" t="n">
        <v>1</v>
      </c>
      <c r="X293" s="8" t="n">
        <v>0</v>
      </c>
      <c r="Y293" s="8" t="inlineStr">
        <is>
          <t>HBP B1 play#14 (A Wood CR on base); SAC fly B4 play#34 (RBI S Beach scores from 3rd); GO B6 play#51</t>
        </is>
      </c>
    </row>
    <row r="294" ht="15.75" customHeight="1" s="35">
      <c r="A294" s="8" t="inlineStr">
        <is>
          <t>2026-03-25_NRTH_at_CHPT</t>
        </is>
      </c>
      <c r="B294" s="2" t="n">
        <v>46106</v>
      </c>
      <c r="C294" s="8" t="inlineStr">
        <is>
          <t>NRTH</t>
        </is>
      </c>
      <c r="D294" s="8" t="inlineStr">
        <is>
          <t>CHPT</t>
        </is>
      </c>
      <c r="E294" s="8" t="inlineStr">
        <is>
          <t>E Reynolds</t>
        </is>
      </c>
      <c r="F294" s="8" t="n">
        <v>1</v>
      </c>
      <c r="G294" s="8" t="n">
        <v>1</v>
      </c>
      <c r="H294" s="8" t="n">
        <v>0</v>
      </c>
      <c r="I294" s="8" t="n">
        <v>0</v>
      </c>
      <c r="J294" s="8" t="n">
        <v>0</v>
      </c>
      <c r="K294" s="8" t="n">
        <v>0</v>
      </c>
      <c r="L294" s="8" t="n">
        <v>0</v>
      </c>
      <c r="M294" s="8" t="n">
        <v>0</v>
      </c>
      <c r="N294" s="8" t="n">
        <v>0</v>
      </c>
      <c r="O294" s="8" t="n">
        <v>0</v>
      </c>
      <c r="P294" s="8" t="n">
        <v>0</v>
      </c>
      <c r="Q294" s="8" t="n">
        <v>0</v>
      </c>
      <c r="R294" s="8" t="n">
        <v>0</v>
      </c>
      <c r="S294" s="8" t="n">
        <v>0</v>
      </c>
      <c r="T294" s="8" t="n">
        <v>0</v>
      </c>
      <c r="U294" s="8" t="n">
        <v>0</v>
      </c>
      <c r="V294" s="8" t="n">
        <v>0</v>
      </c>
      <c r="W294" s="8" t="n">
        <v>0</v>
      </c>
      <c r="X294" s="8" t="n">
        <v>0</v>
      </c>
      <c r="Y294" s="8" t="inlineStr">
        <is>
          <t>LO B6 play#53 (replaces M McDermott); E at SS play#56 T7 (C Pettko reaches)</t>
        </is>
      </c>
    </row>
    <row r="295" ht="15.75" customHeight="1" s="35">
      <c r="A295" s="8" t="inlineStr">
        <is>
          <t>2026-03-26_THMS_at_NRTH</t>
        </is>
      </c>
      <c r="B295" s="2" t="n">
        <v>46107</v>
      </c>
      <c r="C295" s="8" t="inlineStr">
        <is>
          <t>THMS</t>
        </is>
      </c>
      <c r="D295" s="8" t="inlineStr">
        <is>
          <t>NRTH</t>
        </is>
      </c>
      <c r="E295" s="8" t="inlineStr">
        <is>
          <t>A Espejo</t>
        </is>
      </c>
      <c r="F295" s="8" t="n">
        <v>4</v>
      </c>
      <c r="G295" s="8" t="n">
        <v>2</v>
      </c>
      <c r="H295" s="8" t="n">
        <v>1</v>
      </c>
      <c r="I295" s="8" t="n">
        <v>1</v>
      </c>
      <c r="J295" s="8" t="n">
        <v>0</v>
      </c>
      <c r="K295" s="8" t="n">
        <v>0</v>
      </c>
      <c r="L295" s="8" t="n">
        <v>0</v>
      </c>
      <c r="M295" s="8" t="n">
        <v>1</v>
      </c>
      <c r="N295" s="8" t="n">
        <v>1</v>
      </c>
      <c r="O295" s="8" t="n">
        <v>0</v>
      </c>
      <c r="P295" s="8" t="n">
        <v>0</v>
      </c>
      <c r="Q295" s="8" t="n">
        <v>0</v>
      </c>
      <c r="R295" s="8" t="n">
        <v>2</v>
      </c>
      <c r="S295" s="8" t="n">
        <v>0</v>
      </c>
      <c r="T295" s="8" t="n">
        <v>1</v>
      </c>
      <c r="U295" s="8" t="n">
        <v>0</v>
      </c>
      <c r="V295" s="8" t="n">
        <v>0</v>
      </c>
      <c r="W295" s="8" t="n">
        <v>0</v>
      </c>
      <c r="X295" s="8" t="n">
        <v>0</v>
      </c>
      <c r="Y295" s="8" t="inlineStr">
        <is>
          <t>BB B1 play#9; HBP B1 play#18 (2nd time up; J Smith scores on PB during AB); PO B1 play#27 (3rd time up); 1B B4 play#53; R: play#11 (A Harding 3B) + play#20 (WP during A Harding BB AB); SB 2nd B1 Seq#10; pickoff at 1B B4 Seq#54 (embedded C Harrigan FO AB; see Flag#13)</t>
        </is>
      </c>
    </row>
    <row r="296" ht="15.75" customHeight="1" s="35">
      <c r="A296" s="8" t="inlineStr">
        <is>
          <t>2026-03-26_THMS_at_NRTH</t>
        </is>
      </c>
      <c r="B296" s="2" t="n">
        <v>46107</v>
      </c>
      <c r="C296" s="8" t="inlineStr">
        <is>
          <t>THMS</t>
        </is>
      </c>
      <c r="D296" s="8" t="inlineStr">
        <is>
          <t>NRTH</t>
        </is>
      </c>
      <c r="E296" s="8" t="inlineStr">
        <is>
          <t>A Thomas</t>
        </is>
      </c>
      <c r="F296" s="8" t="n">
        <v>3</v>
      </c>
      <c r="G296" s="8" t="n">
        <v>2</v>
      </c>
      <c r="H296" s="8" t="n">
        <v>2</v>
      </c>
      <c r="I296" s="8" t="n">
        <v>1</v>
      </c>
      <c r="J296" s="8" t="n">
        <v>1</v>
      </c>
      <c r="K296" s="8" t="n">
        <v>0</v>
      </c>
      <c r="L296" s="8" t="n">
        <v>0</v>
      </c>
      <c r="M296" s="8" t="n">
        <v>1</v>
      </c>
      <c r="N296" s="8" t="n">
        <v>0</v>
      </c>
      <c r="O296" s="8" t="n">
        <v>0</v>
      </c>
      <c r="P296" s="8" t="n">
        <v>0</v>
      </c>
      <c r="Q296" s="8" t="n">
        <v>0</v>
      </c>
      <c r="R296" s="8" t="n">
        <v>3</v>
      </c>
      <c r="S296" s="8" t="n">
        <v>2</v>
      </c>
      <c r="T296" s="8" t="n">
        <v>1</v>
      </c>
      <c r="U296" s="8" t="n">
        <v>0</v>
      </c>
      <c r="V296" s="8" t="n">
        <v>0</v>
      </c>
      <c r="W296" s="8" t="n">
        <v>0</v>
      </c>
      <c r="X296" s="8" t="n">
        <v>0</v>
      </c>
      <c r="Y296" s="8" t="inlineStr">
        <is>
          <t>1B B1 play#10; 2B B1 play#19 (RBI: T Roy + J Borawski score); BB B2 play#36; R: play#11 (A Harding 3B) + play#21 (PB during Z Bowman 2B AB) + play#37 (A Harding 2B B2); SB 2nd B1 Seq#11 (embedded A Harding 3B AB)</t>
        </is>
      </c>
    </row>
    <row r="297" ht="15.75" customHeight="1" s="35">
      <c r="A297" s="8" t="inlineStr">
        <is>
          <t>2026-03-26_THMS_at_NRTH</t>
        </is>
      </c>
      <c r="B297" s="2" t="n">
        <v>46107</v>
      </c>
      <c r="C297" s="8" t="inlineStr">
        <is>
          <t>THMS</t>
        </is>
      </c>
      <c r="D297" s="8" t="inlineStr">
        <is>
          <t>NRTH</t>
        </is>
      </c>
      <c r="E297" s="8" t="inlineStr">
        <is>
          <t>A Harding</t>
        </is>
      </c>
      <c r="F297" s="8" t="n">
        <v>4</v>
      </c>
      <c r="G297" s="8" t="n">
        <v>3</v>
      </c>
      <c r="H297" s="8" t="n">
        <v>2</v>
      </c>
      <c r="I297" s="8" t="n">
        <v>0</v>
      </c>
      <c r="J297" s="8" t="n">
        <v>1</v>
      </c>
      <c r="K297" s="8" t="n">
        <v>1</v>
      </c>
      <c r="L297" s="8" t="n">
        <v>0</v>
      </c>
      <c r="M297" s="8" t="n">
        <v>1</v>
      </c>
      <c r="N297" s="8" t="n">
        <v>0</v>
      </c>
      <c r="O297" s="8" t="n">
        <v>0</v>
      </c>
      <c r="P297" s="8" t="n">
        <v>0</v>
      </c>
      <c r="Q297" s="8" t="n">
        <v>0</v>
      </c>
      <c r="R297" s="8" t="n">
        <v>3</v>
      </c>
      <c r="S297" s="8" t="n">
        <v>3</v>
      </c>
      <c r="T297" s="8" t="n">
        <v>3</v>
      </c>
      <c r="U297" s="8" t="n">
        <v>0</v>
      </c>
      <c r="V297" s="8" t="n">
        <v>0</v>
      </c>
      <c r="W297" s="8" t="n">
        <v>0</v>
      </c>
      <c r="X297" s="8" t="n">
        <v>0</v>
      </c>
      <c r="Y297" s="8" t="inlineStr">
        <is>
          <t>3B B1 play#11 (RBI: A Espejo + A Thomas score); BB B1 play#20 (A Espejo scores on WP); 2B B2 play#37 (RBI A Thomas); LO B4 play#55; R: WP play#12 (from 3B) + Z Bowman 2B play#21 + steal of home B2 Seq#38 (Flag#8); SB: 2nd B1 Seq#21 + 3rd B2 Seq#38 + home B2 Seq#38 (3 SB total); also pitches T3-T4</t>
        </is>
      </c>
    </row>
    <row r="298" ht="15.75" customHeight="1" s="35">
      <c r="A298" s="8" t="inlineStr">
        <is>
          <t>2026-03-26_THMS_at_NRTH</t>
        </is>
      </c>
      <c r="B298" s="2" t="n">
        <v>46107</v>
      </c>
      <c r="C298" s="8" t="inlineStr">
        <is>
          <t>THMS</t>
        </is>
      </c>
      <c r="D298" s="8" t="inlineStr">
        <is>
          <t>NRTH</t>
        </is>
      </c>
      <c r="E298" s="8" t="inlineStr">
        <is>
          <t>Z Bowman</t>
        </is>
      </c>
      <c r="F298" s="8" t="n">
        <v>3</v>
      </c>
      <c r="G298" s="8" t="n">
        <v>1</v>
      </c>
      <c r="H298" s="8" t="n">
        <v>1</v>
      </c>
      <c r="I298" s="8" t="n">
        <v>0</v>
      </c>
      <c r="J298" s="8" t="n">
        <v>1</v>
      </c>
      <c r="K298" s="8" t="n">
        <v>0</v>
      </c>
      <c r="L298" s="8" t="n">
        <v>0</v>
      </c>
      <c r="M298" s="8" t="n">
        <v>2</v>
      </c>
      <c r="N298" s="8" t="n">
        <v>0</v>
      </c>
      <c r="O298" s="8" t="n">
        <v>0</v>
      </c>
      <c r="P298" s="8" t="n">
        <v>0</v>
      </c>
      <c r="Q298" s="8" t="n">
        <v>0</v>
      </c>
      <c r="R298" s="8" t="n">
        <v>2</v>
      </c>
      <c r="S298" s="8" t="n">
        <v>1</v>
      </c>
      <c r="T298" s="8" t="n">
        <v>1</v>
      </c>
      <c r="U298" s="8" t="n">
        <v>1</v>
      </c>
      <c r="V298" s="8" t="n">
        <v>0</v>
      </c>
      <c r="W298" s="8" t="n">
        <v>0</v>
      </c>
      <c r="X298" s="8" t="n">
        <v>0</v>
      </c>
      <c r="Y298" s="8" t="inlineStr">
        <is>
          <t>BB B1 play#12 (A Harding scores on WP during AB); 2B B1 play#21 (RBI A Harding; A Thomas scores on PB before batted ball, see Flag#4); BB B2 play#38 (A Harding steals 3rd + scores on steal of home embedded); R: E Zimmerman 3B play#13 + C Pettko 1B play#23; SB 2nd B1 Seq#13; CS 3rd B2 Seq#39 (C #4 to 3B #16; embedded E Zimmerman BB AB); also pitches T1-T2</t>
        </is>
      </c>
    </row>
    <row r="299" ht="15.75" customHeight="1" s="35">
      <c r="A299" s="8" t="inlineStr">
        <is>
          <t>2026-03-26_THMS_at_NRTH</t>
        </is>
      </c>
      <c r="B299" s="2" t="n">
        <v>46107</v>
      </c>
      <c r="C299" s="8" t="inlineStr">
        <is>
          <t>THMS</t>
        </is>
      </c>
      <c r="D299" s="8" t="inlineStr">
        <is>
          <t>NRTH</t>
        </is>
      </c>
      <c r="E299" s="8" t="inlineStr">
        <is>
          <t>E Zimmerman</t>
        </is>
      </c>
      <c r="F299" s="8" t="n">
        <v>3</v>
      </c>
      <c r="G299" s="8" t="n">
        <v>1</v>
      </c>
      <c r="H299" s="8" t="n">
        <v>1</v>
      </c>
      <c r="I299" s="8" t="n">
        <v>0</v>
      </c>
      <c r="J299" s="8" t="n">
        <v>0</v>
      </c>
      <c r="K299" s="8" t="n">
        <v>1</v>
      </c>
      <c r="L299" s="8" t="n">
        <v>0</v>
      </c>
      <c r="M299" s="8" t="n">
        <v>2</v>
      </c>
      <c r="N299" s="8" t="n">
        <v>0</v>
      </c>
      <c r="O299" s="8" t="n">
        <v>0</v>
      </c>
      <c r="P299" s="8" t="n">
        <v>0</v>
      </c>
      <c r="Q299" s="8" t="n">
        <v>0</v>
      </c>
      <c r="R299" s="8" t="n">
        <v>2</v>
      </c>
      <c r="S299" s="8" t="n">
        <v>1</v>
      </c>
      <c r="T299" s="8" t="n">
        <v>0</v>
      </c>
      <c r="U299" s="8" t="n">
        <v>0</v>
      </c>
      <c r="V299" s="8" t="n">
        <v>0</v>
      </c>
      <c r="W299" s="8" t="n">
        <v>0</v>
      </c>
      <c r="X299" s="8" t="n">
        <v>0</v>
      </c>
      <c r="Y299" s="8" t="inlineStr">
        <is>
          <t>3B B1 play#13 (RBI Z Bowman); BB B1 play#22; BB B2 play#39; R: forced by T Roy BB play#16 + J Smith GO play#24; pickoff at 2nd B2 Seq#40 (balk by #1 advanced E Zimmerman to 2nd; immediately picked off by #1 to SS #11 = out; see Flag#10); E at 1B play#33 T2 (#21 reaches)</t>
        </is>
      </c>
    </row>
    <row r="300" ht="15.75" customHeight="1" s="35">
      <c r="A300" s="8" t="inlineStr">
        <is>
          <t>2026-03-26_THMS_at_NRTH</t>
        </is>
      </c>
      <c r="B300" s="2" t="n">
        <v>46107</v>
      </c>
      <c r="C300" s="8" t="inlineStr">
        <is>
          <t>THMS</t>
        </is>
      </c>
      <c r="D300" s="8" t="inlineStr">
        <is>
          <t>NRTH</t>
        </is>
      </c>
      <c r="E300" s="8" t="inlineStr">
        <is>
          <t>C Pettko</t>
        </is>
      </c>
      <c r="F300" s="8" t="n">
        <v>3</v>
      </c>
      <c r="G300" s="8" t="n">
        <v>1</v>
      </c>
      <c r="H300" s="8" t="n">
        <v>1</v>
      </c>
      <c r="I300" s="8" t="n">
        <v>1</v>
      </c>
      <c r="J300" s="8" t="n">
        <v>0</v>
      </c>
      <c r="K300" s="8" t="n">
        <v>0</v>
      </c>
      <c r="L300" s="8" t="n">
        <v>0</v>
      </c>
      <c r="M300" s="8" t="n">
        <v>1</v>
      </c>
      <c r="N300" s="8" t="n">
        <v>1</v>
      </c>
      <c r="O300" s="8" t="n">
        <v>0</v>
      </c>
      <c r="P300" s="8" t="n">
        <v>0</v>
      </c>
      <c r="Q300" s="8" t="n">
        <v>0</v>
      </c>
      <c r="R300" s="8" t="n">
        <v>2</v>
      </c>
      <c r="S300" s="8" t="n">
        <v>1</v>
      </c>
      <c r="T300" s="8" t="n">
        <v>1</v>
      </c>
      <c r="U300" s="8" t="n">
        <v>0</v>
      </c>
      <c r="V300" s="8" t="n">
        <v>0</v>
      </c>
      <c r="W300" s="8" t="n">
        <v>0</v>
      </c>
      <c r="X300" s="8" t="n">
        <v>0</v>
      </c>
      <c r="Y300" s="8" t="inlineStr">
        <is>
          <t>BB B1 play#14; 1B B1 play#23 (RBI Z Bowman); HBP B2 play#40 (balk by #1 + E Zimmerman pickoff embedded before HBP; then balk by #1 advances C Pettko to 2nd, C Pettko picked off at 2nd = out, play#41; see Flag#10); R: forced by J Borawski BB play#17 + T Roy 3B play#25; SB 2nd B1 Seq#15; E at 3B play#1 T1 (#4 reaches)</t>
        </is>
      </c>
    </row>
    <row r="301" ht="15.75" customHeight="1" s="35">
      <c r="A301" s="8" t="inlineStr">
        <is>
          <t>2026-03-26_THMS_at_NRTH</t>
        </is>
      </c>
      <c r="B301" s="2" t="n">
        <v>46107</v>
      </c>
      <c r="C301" s="8" t="inlineStr">
        <is>
          <t>THMS</t>
        </is>
      </c>
      <c r="D301" s="8" t="inlineStr">
        <is>
          <t>NRTH</t>
        </is>
      </c>
      <c r="E301" s="8" t="inlineStr">
        <is>
          <t>J Smith</t>
        </is>
      </c>
      <c r="F301" s="8" t="n">
        <v>3</v>
      </c>
      <c r="G301" s="8" t="n">
        <v>1</v>
      </c>
      <c r="H301" s="8" t="n">
        <v>0</v>
      </c>
      <c r="I301" s="8" t="n">
        <v>0</v>
      </c>
      <c r="J301" s="8" t="n">
        <v>0</v>
      </c>
      <c r="K301" s="8" t="n">
        <v>0</v>
      </c>
      <c r="L301" s="8" t="n">
        <v>0</v>
      </c>
      <c r="M301" s="8" t="n">
        <v>2</v>
      </c>
      <c r="N301" s="8" t="n">
        <v>0</v>
      </c>
      <c r="O301" s="8" t="n">
        <v>0</v>
      </c>
      <c r="P301" s="8" t="n">
        <v>0</v>
      </c>
      <c r="Q301" s="8" t="n">
        <v>0</v>
      </c>
      <c r="R301" s="8" t="n">
        <v>1</v>
      </c>
      <c r="S301" s="8" t="n">
        <v>1</v>
      </c>
      <c r="T301" s="8" t="n">
        <v>0</v>
      </c>
      <c r="U301" s="8" t="n">
        <v>0</v>
      </c>
      <c r="V301" s="8" t="n">
        <v>0</v>
      </c>
      <c r="W301" s="8" t="n">
        <v>0</v>
      </c>
      <c r="X301" s="8" t="n">
        <v>0</v>
      </c>
      <c r="Y301" s="8" t="inlineStr">
        <is>
          <t>BB B1 play#15; GO B1 play#24 (RBI E Zimmerman scores); BB B3 play#46; R: PB play#18 (during A Espejo HBP AB); pickoff at 2nd B3 Seq#48 (SS #11; embedded J Borawski 2B AB = out; see Flag#12)</t>
        </is>
      </c>
    </row>
    <row r="302" ht="15.75" customHeight="1" s="35">
      <c r="A302" s="8" t="inlineStr">
        <is>
          <t>2026-03-26_THMS_at_NRTH</t>
        </is>
      </c>
      <c r="B302" s="2" t="n">
        <v>46107</v>
      </c>
      <c r="C302" s="8" t="inlineStr">
        <is>
          <t>THMS</t>
        </is>
      </c>
      <c r="D302" s="8" t="inlineStr">
        <is>
          <t>NRTH</t>
        </is>
      </c>
      <c r="E302" s="8" t="inlineStr">
        <is>
          <t>T Roy</t>
        </is>
      </c>
      <c r="F302" s="8" t="n">
        <v>3</v>
      </c>
      <c r="G302" s="8" t="n">
        <v>1</v>
      </c>
      <c r="H302" s="8" t="n">
        <v>1</v>
      </c>
      <c r="I302" s="8" t="n">
        <v>0</v>
      </c>
      <c r="J302" s="8" t="n">
        <v>0</v>
      </c>
      <c r="K302" s="8" t="n">
        <v>1</v>
      </c>
      <c r="L302" s="8" t="n">
        <v>0</v>
      </c>
      <c r="M302" s="8" t="n">
        <v>2</v>
      </c>
      <c r="N302" s="8" t="n">
        <v>0</v>
      </c>
      <c r="O302" s="8" t="n">
        <v>0</v>
      </c>
      <c r="P302" s="8" t="n">
        <v>0</v>
      </c>
      <c r="Q302" s="8" t="n">
        <v>0</v>
      </c>
      <c r="R302" s="8" t="n">
        <v>1</v>
      </c>
      <c r="S302" s="8" t="n">
        <v>2</v>
      </c>
      <c r="T302" s="8" t="n">
        <v>0</v>
      </c>
      <c r="U302" s="8" t="n">
        <v>0</v>
      </c>
      <c r="V302" s="8" t="n">
        <v>0</v>
      </c>
      <c r="W302" s="8" t="n">
        <v>0</v>
      </c>
      <c r="X302" s="8" t="n">
        <v>0</v>
      </c>
      <c r="Y302" s="8" t="inlineStr">
        <is>
          <t>BB B1 play#16 (RBI E Zimmerman forced); 3B B1 play#25 (RBI C Pettko); BB B3 play#47; R: A Thomas 2B play#19; pickoff at 1B B3 Seq#48 (1B #22; embedded J Borawski 2B AB = out; see Flag#12); also pitches T5</t>
        </is>
      </c>
    </row>
    <row r="303" ht="15.75" customHeight="1" s="35">
      <c r="A303" s="8" t="inlineStr">
        <is>
          <t>2026-03-26_THMS_at_NRTH</t>
        </is>
      </c>
      <c r="B303" s="2" t="n">
        <v>46107</v>
      </c>
      <c r="C303" s="8" t="inlineStr">
        <is>
          <t>THMS</t>
        </is>
      </c>
      <c r="D303" s="8" t="inlineStr">
        <is>
          <t>NRTH</t>
        </is>
      </c>
      <c r="E303" s="8" t="inlineStr">
        <is>
          <t>J Borawski</t>
        </is>
      </c>
      <c r="F303" s="8" t="n">
        <v>3</v>
      </c>
      <c r="G303" s="8" t="n">
        <v>2</v>
      </c>
      <c r="H303" s="8" t="n">
        <v>1</v>
      </c>
      <c r="I303" s="8" t="n">
        <v>0</v>
      </c>
      <c r="J303" s="8" t="n">
        <v>1</v>
      </c>
      <c r="K303" s="8" t="n">
        <v>0</v>
      </c>
      <c r="L303" s="8" t="n">
        <v>0</v>
      </c>
      <c r="M303" s="8" t="n">
        <v>1</v>
      </c>
      <c r="N303" s="8" t="n">
        <v>0</v>
      </c>
      <c r="O303" s="8" t="n">
        <v>0</v>
      </c>
      <c r="P303" s="8" t="n">
        <v>0</v>
      </c>
      <c r="Q303" s="8" t="n">
        <v>0</v>
      </c>
      <c r="R303" s="8" t="n">
        <v>1</v>
      </c>
      <c r="S303" s="8" t="n">
        <v>1</v>
      </c>
      <c r="T303" s="8" t="n">
        <v>1</v>
      </c>
      <c r="U303" s="8" t="n">
        <v>0</v>
      </c>
      <c r="V303" s="8" t="n">
        <v>0</v>
      </c>
      <c r="W303" s="8" t="n">
        <v>0</v>
      </c>
      <c r="X303" s="8" t="n">
        <v>0</v>
      </c>
      <c r="Y303" s="8" t="inlineStr">
        <is>
          <t>BB B1 play#17 (RBI C Pettko forced); LO B1 play#26; 2B B3 play#48 (H credited per Flag#12; out advancing to 3rd; J Smith+T Roy both picked off during AB = all 3 outs in inning within this PA; see Flag#12); R: A Thomas 2B play#19; SB 2nd B1 Seq#18 (embedded A Espejo HBP AB); first NRTH appearance (Flag#14)</t>
        </is>
      </c>
    </row>
    <row r="304" ht="15.75" customHeight="1" s="35">
      <c r="A304" s="8" t="inlineStr">
        <is>
          <t>2026-03-26_THMS_at_NRTH</t>
        </is>
      </c>
      <c r="B304" s="2" t="n">
        <v>46107</v>
      </c>
      <c r="C304" s="8" t="inlineStr">
        <is>
          <t>THMS</t>
        </is>
      </c>
      <c r="D304" s="8" t="inlineStr">
        <is>
          <t>NRTH</t>
        </is>
      </c>
      <c r="E304" s="8" t="inlineStr">
        <is>
          <t>C Harrigan</t>
        </is>
      </c>
      <c r="F304" s="8" t="n">
        <v>1</v>
      </c>
      <c r="G304" s="8" t="n">
        <v>1</v>
      </c>
      <c r="H304" s="8" t="n">
        <v>0</v>
      </c>
      <c r="I304" s="8" t="n">
        <v>0</v>
      </c>
      <c r="J304" s="8" t="n">
        <v>0</v>
      </c>
      <c r="K304" s="8" t="n">
        <v>0</v>
      </c>
      <c r="L304" s="8" t="n">
        <v>0</v>
      </c>
      <c r="M304" s="8" t="n">
        <v>0</v>
      </c>
      <c r="N304" s="8" t="n">
        <v>0</v>
      </c>
      <c r="O304" s="8" t="n">
        <v>0</v>
      </c>
      <c r="P304" s="8" t="n">
        <v>0</v>
      </c>
      <c r="Q304" s="8" t="n">
        <v>0</v>
      </c>
      <c r="R304" s="8" t="n">
        <v>0</v>
      </c>
      <c r="S304" s="8" t="n">
        <v>0</v>
      </c>
      <c r="T304" s="8" t="n">
        <v>0</v>
      </c>
      <c r="U304" s="8" t="n">
        <v>0</v>
      </c>
      <c r="V304" s="8" t="n">
        <v>0</v>
      </c>
      <c r="W304" s="8" t="n">
        <v>0</v>
      </c>
      <c r="X304" s="8" t="n">
        <v>0</v>
      </c>
      <c r="Y304" s="8" t="inlineStr">
        <is>
          <t>FO B4 play#54; A Espejo pickoff at 1B embedded in AB (Seq#54); see Flag#13</t>
        </is>
      </c>
    </row>
    <row r="305" ht="15.75" customHeight="1" s="35">
      <c r="A305" s="8" t="inlineStr">
        <is>
          <t>2026-03-26_THMS_at_NRTH</t>
        </is>
      </c>
      <c r="B305" s="2" t="n">
        <v>46107</v>
      </c>
      <c r="C305" s="8" t="inlineStr">
        <is>
          <t>NRTH</t>
        </is>
      </c>
      <c r="D305" s="8" t="inlineStr">
        <is>
          <t>THMS</t>
        </is>
      </c>
      <c r="E305" s="8" t="inlineStr">
        <is>
          <t>#4</t>
        </is>
      </c>
      <c r="F305" s="8" t="n">
        <v>3</v>
      </c>
      <c r="G305" s="8" t="n">
        <v>3</v>
      </c>
      <c r="H305" s="8" t="n">
        <v>1</v>
      </c>
      <c r="I305" s="8" t="n">
        <v>1</v>
      </c>
      <c r="J305" s="8" t="n">
        <v>0</v>
      </c>
      <c r="K305" s="8" t="n">
        <v>0</v>
      </c>
      <c r="L305" s="8" t="n">
        <v>0</v>
      </c>
      <c r="M305" s="8" t="n">
        <v>0</v>
      </c>
      <c r="N305" s="8" t="n">
        <v>0</v>
      </c>
      <c r="O305" s="8" t="n">
        <v>1</v>
      </c>
      <c r="P305" s="8" t="n">
        <v>1</v>
      </c>
      <c r="Q305" s="8" t="n">
        <v>0</v>
      </c>
      <c r="R305" s="8" t="n">
        <v>0</v>
      </c>
      <c r="S305" s="8" t="n">
        <v>0</v>
      </c>
      <c r="T305" s="8" t="n">
        <v>0</v>
      </c>
      <c r="U305" s="8" t="n">
        <v>0</v>
      </c>
      <c r="V305" s="8" t="n">
        <v>0</v>
      </c>
      <c r="W305" s="8" t="n">
        <v>0</v>
      </c>
      <c r="X305" s="8" t="n">
        <v>0</v>
      </c>
      <c r="Y305" s="8" t="inlineStr">
        <is>
          <t>E T1 play#1 (C Pettko 3B); out on #2 FC play#2 (advancing to 2nd); K_L T2 Seq#29; 1B T3 play#44 (unusual 'singles on pop fly to pitcher A Harding', see Flag#11)</t>
        </is>
      </c>
    </row>
    <row r="306" ht="15.75" customHeight="1" s="35">
      <c r="A306" s="8" t="inlineStr">
        <is>
          <t>2026-03-26_THMS_at_NRTH</t>
        </is>
      </c>
      <c r="B306" s="2" t="n">
        <v>46107</v>
      </c>
      <c r="C306" s="8" t="inlineStr">
        <is>
          <t>NRTH</t>
        </is>
      </c>
      <c r="D306" s="8" t="inlineStr">
        <is>
          <t>THMS</t>
        </is>
      </c>
      <c r="E306" s="8" t="inlineStr">
        <is>
          <t>#2</t>
        </is>
      </c>
      <c r="F306" s="8" t="n">
        <v>3</v>
      </c>
      <c r="G306" s="8" t="n">
        <v>3</v>
      </c>
      <c r="H306" s="8" t="n">
        <v>0</v>
      </c>
      <c r="I306" s="8" t="n">
        <v>0</v>
      </c>
      <c r="J306" s="8" t="n">
        <v>0</v>
      </c>
      <c r="K306" s="8" t="n">
        <v>0</v>
      </c>
      <c r="L306" s="8" t="n">
        <v>0</v>
      </c>
      <c r="M306" s="8" t="n">
        <v>0</v>
      </c>
      <c r="N306" s="8" t="n">
        <v>0</v>
      </c>
      <c r="O306" s="8" t="n">
        <v>0</v>
      </c>
      <c r="P306" s="8" t="n">
        <v>0</v>
      </c>
      <c r="Q306" s="8" t="n">
        <v>0</v>
      </c>
      <c r="R306" s="8" t="n">
        <v>2</v>
      </c>
      <c r="S306" s="8" t="n">
        <v>0</v>
      </c>
      <c r="T306" s="8" t="n">
        <v>1</v>
      </c>
      <c r="U306" s="8" t="n">
        <v>0</v>
      </c>
      <c r="V306" s="8" t="n">
        <v>0</v>
      </c>
      <c r="W306" s="8" t="n">
        <v>0</v>
      </c>
      <c r="X306" s="8" t="n">
        <v>2</v>
      </c>
      <c r="Y306" s="8" t="inlineStr">
        <is>
          <t>FC T1 play#2 (#4 out advancing); FC T2 play#30 (#8 out advancing to 3rd, see Flag#5); GO T3 play#45; R: T1 play#5 (A Harding SS E) + T2 steal of home Seq#32 (simultaneous with #17 stealing 2nd, see Flag#7); SB home T2 Seq#32</t>
        </is>
      </c>
    </row>
    <row r="307" ht="15.75" customHeight="1" s="35">
      <c r="A307" s="8" t="inlineStr">
        <is>
          <t>2026-03-26_THMS_at_NRTH</t>
        </is>
      </c>
      <c r="B307" s="2" t="n">
        <v>46107</v>
      </c>
      <c r="C307" s="8" t="inlineStr">
        <is>
          <t>NRTH</t>
        </is>
      </c>
      <c r="D307" s="8" t="inlineStr">
        <is>
          <t>THMS</t>
        </is>
      </c>
      <c r="E307" s="8" t="inlineStr">
        <is>
          <t>#17</t>
        </is>
      </c>
      <c r="F307" s="8" t="n">
        <v>2</v>
      </c>
      <c r="G307" s="8" t="n">
        <v>1</v>
      </c>
      <c r="H307" s="8" t="n">
        <v>1</v>
      </c>
      <c r="I307" s="8" t="n">
        <v>1</v>
      </c>
      <c r="J307" s="8" t="n">
        <v>0</v>
      </c>
      <c r="K307" s="8" t="n">
        <v>0</v>
      </c>
      <c r="L307" s="8" t="n">
        <v>0</v>
      </c>
      <c r="M307" s="8" t="n">
        <v>1</v>
      </c>
      <c r="N307" s="8" t="n">
        <v>0</v>
      </c>
      <c r="O307" s="8" t="n">
        <v>0</v>
      </c>
      <c r="P307" s="8" t="n">
        <v>0</v>
      </c>
      <c r="Q307" s="8" t="n">
        <v>0</v>
      </c>
      <c r="R307" s="8" t="n">
        <v>2</v>
      </c>
      <c r="S307" s="8" t="n">
        <v>0</v>
      </c>
      <c r="T307" s="8" t="n">
        <v>1</v>
      </c>
      <c r="U307" s="8" t="n">
        <v>0</v>
      </c>
      <c r="V307" s="8" t="n">
        <v>0</v>
      </c>
      <c r="W307" s="8" t="n">
        <v>0</v>
      </c>
      <c r="X307" s="8" t="n">
        <v>0</v>
      </c>
      <c r="Y307" s="8" t="inlineStr">
        <is>
          <t>BB T1 play#3; 1B T2 play#31; R: T1 play#7 (#1 BB forced) + T2 play#33 (E by E Zimmerman 1B); SB 2nd T2 Seq#32 (simultaneous with #2 stealing home); also pitches B1 (plays#9-18, 0 outs; see Flag#2)</t>
        </is>
      </c>
    </row>
    <row r="308" ht="15.75" customHeight="1" s="35">
      <c r="A308" s="8" t="inlineStr">
        <is>
          <t>2026-03-26_THMS_at_NRTH</t>
        </is>
      </c>
      <c r="B308" s="2" t="n">
        <v>46107</v>
      </c>
      <c r="C308" s="8" t="inlineStr">
        <is>
          <t>NRTH</t>
        </is>
      </c>
      <c r="D308" s="8" t="inlineStr">
        <is>
          <t>THMS</t>
        </is>
      </c>
      <c r="E308" s="8" t="inlineStr">
        <is>
          <t>#11</t>
        </is>
      </c>
      <c r="F308" s="8" t="n">
        <v>3</v>
      </c>
      <c r="G308" s="8" t="n">
        <v>1</v>
      </c>
      <c r="H308" s="8" t="n">
        <v>0</v>
      </c>
      <c r="I308" s="8" t="n">
        <v>0</v>
      </c>
      <c r="J308" s="8" t="n">
        <v>0</v>
      </c>
      <c r="K308" s="8" t="n">
        <v>0</v>
      </c>
      <c r="L308" s="8" t="n">
        <v>0</v>
      </c>
      <c r="M308" s="8" t="n">
        <v>1</v>
      </c>
      <c r="N308" s="8" t="n">
        <v>1</v>
      </c>
      <c r="O308" s="8" t="n">
        <v>1</v>
      </c>
      <c r="P308" s="8" t="n">
        <v>1</v>
      </c>
      <c r="Q308" s="8" t="n">
        <v>0</v>
      </c>
      <c r="R308" s="8" t="n">
        <v>1</v>
      </c>
      <c r="S308" s="8" t="n">
        <v>0</v>
      </c>
      <c r="T308" s="8" t="n">
        <v>0</v>
      </c>
      <c r="U308" s="8" t="n">
        <v>0</v>
      </c>
      <c r="V308" s="8" t="n">
        <v>0</v>
      </c>
      <c r="W308" s="8" t="n">
        <v>0</v>
      </c>
      <c r="X308" s="8" t="n">
        <v>0</v>
      </c>
      <c r="Y308" s="8" t="inlineStr">
        <is>
          <t>BB T1 play#4; HBP T2 play#32; K_L T4 Seq#50; R: T1 play#8 (PB during #16 K_L AB, see Flag#3)</t>
        </is>
      </c>
    </row>
    <row r="309" ht="15.75" customHeight="1" s="35">
      <c r="A309" s="8" t="inlineStr">
        <is>
          <t>2026-03-26_THMS_at_NRTH</t>
        </is>
      </c>
      <c r="B309" s="2" t="n">
        <v>46107</v>
      </c>
      <c r="C309" s="8" t="inlineStr">
        <is>
          <t>NRTH</t>
        </is>
      </c>
      <c r="D309" s="8" t="inlineStr">
        <is>
          <t>THMS</t>
        </is>
      </c>
      <c r="E309" s="8" t="inlineStr">
        <is>
          <t>#21</t>
        </is>
      </c>
      <c r="F309" s="8" t="n">
        <v>3</v>
      </c>
      <c r="G309" s="8" t="n">
        <v>3</v>
      </c>
      <c r="H309" s="8" t="n">
        <v>0</v>
      </c>
      <c r="I309" s="8" t="n">
        <v>0</v>
      </c>
      <c r="J309" s="8" t="n">
        <v>0</v>
      </c>
      <c r="K309" s="8" t="n">
        <v>0</v>
      </c>
      <c r="L309" s="8" t="n">
        <v>0</v>
      </c>
      <c r="M309" s="8" t="n">
        <v>0</v>
      </c>
      <c r="N309" s="8" t="n">
        <v>0</v>
      </c>
      <c r="O309" s="8" t="n">
        <v>1</v>
      </c>
      <c r="P309" s="8" t="n">
        <v>0</v>
      </c>
      <c r="Q309" s="8" t="n">
        <v>1</v>
      </c>
      <c r="R309" s="8" t="n">
        <v>0</v>
      </c>
      <c r="S309" s="8" t="n">
        <v>0</v>
      </c>
      <c r="T309" s="8" t="n">
        <v>0</v>
      </c>
      <c r="U309" s="8" t="n">
        <v>0</v>
      </c>
      <c r="V309" s="8" t="n">
        <v>0</v>
      </c>
      <c r="W309" s="8" t="n">
        <v>0</v>
      </c>
      <c r="X309" s="8" t="n">
        <v>0</v>
      </c>
      <c r="Y309" s="8" t="inlineStr">
        <is>
          <t>E T1 play#5 (A Harding SS; #2 scores, #17 adv to 3rd, #11 adv to 2nd); E T2 play#33 (E Zimmerman 1B; #17 scores, #11 adv to 3rd; #21 adv to 2nd on same E); K_S T4 Seq#51</t>
        </is>
      </c>
    </row>
    <row r="310" ht="15.75" customHeight="1" s="35">
      <c r="A310" s="8" t="inlineStr">
        <is>
          <t>2026-03-26_THMS_at_NRTH</t>
        </is>
      </c>
      <c r="B310" s="2" t="n">
        <v>46107</v>
      </c>
      <c r="C310" s="8" t="inlineStr">
        <is>
          <t>NRTH</t>
        </is>
      </c>
      <c r="D310" s="8" t="inlineStr">
        <is>
          <t>THMS</t>
        </is>
      </c>
      <c r="E310" s="8" t="inlineStr">
        <is>
          <t>#10</t>
        </is>
      </c>
      <c r="F310" s="8" t="n">
        <v>2</v>
      </c>
      <c r="G310" s="8" t="n">
        <v>1</v>
      </c>
      <c r="H310" s="8" t="n">
        <v>0</v>
      </c>
      <c r="I310" s="8" t="n">
        <v>0</v>
      </c>
      <c r="J310" s="8" t="n">
        <v>0</v>
      </c>
      <c r="K310" s="8" t="n">
        <v>0</v>
      </c>
      <c r="L310" s="8" t="n">
        <v>0</v>
      </c>
      <c r="M310" s="8" t="n">
        <v>0</v>
      </c>
      <c r="N310" s="8" t="n">
        <v>1</v>
      </c>
      <c r="O310" s="8" t="n">
        <v>1</v>
      </c>
      <c r="P310" s="8" t="n">
        <v>0</v>
      </c>
      <c r="Q310" s="8" t="n">
        <v>1</v>
      </c>
      <c r="R310" s="8" t="n">
        <v>0</v>
      </c>
      <c r="S310" s="8" t="n">
        <v>0</v>
      </c>
      <c r="T310" s="8" t="n">
        <v>0</v>
      </c>
      <c r="U310" s="8" t="n">
        <v>0</v>
      </c>
      <c r="V310" s="8" t="n">
        <v>0</v>
      </c>
      <c r="W310" s="8" t="n">
        <v>0</v>
      </c>
      <c r="X310" s="8" t="n">
        <v>0</v>
      </c>
      <c r="Y310" s="8" t="inlineStr">
        <is>
          <t>K_S T1 Seq#6; HBP T2 play#34 (stranded at end of T2)</t>
        </is>
      </c>
    </row>
    <row r="311" ht="15.75" customHeight="1" s="35">
      <c r="A311" s="8" t="inlineStr">
        <is>
          <t>2026-03-26_THMS_at_NRTH</t>
        </is>
      </c>
      <c r="B311" s="2" t="n">
        <v>46107</v>
      </c>
      <c r="C311" s="8" t="inlineStr">
        <is>
          <t>NRTH</t>
        </is>
      </c>
      <c r="D311" s="8" t="inlineStr">
        <is>
          <t>THMS</t>
        </is>
      </c>
      <c r="E311" s="8" t="inlineStr">
        <is>
          <t>#1</t>
        </is>
      </c>
      <c r="F311" s="8" t="n">
        <v>3</v>
      </c>
      <c r="G311" s="8" t="n">
        <v>2</v>
      </c>
      <c r="H311" s="8" t="n">
        <v>0</v>
      </c>
      <c r="I311" s="8" t="n">
        <v>0</v>
      </c>
      <c r="J311" s="8" t="n">
        <v>0</v>
      </c>
      <c r="K311" s="8" t="n">
        <v>0</v>
      </c>
      <c r="L311" s="8" t="n">
        <v>0</v>
      </c>
      <c r="M311" s="8" t="n">
        <v>1</v>
      </c>
      <c r="N311" s="8" t="n">
        <v>0</v>
      </c>
      <c r="O311" s="8" t="n">
        <v>2</v>
      </c>
      <c r="P311" s="8" t="n">
        <v>2</v>
      </c>
      <c r="Q311" s="8" t="n">
        <v>0</v>
      </c>
      <c r="R311" s="8" t="n">
        <v>0</v>
      </c>
      <c r="S311" s="8" t="n">
        <v>0</v>
      </c>
      <c r="T311" s="8" t="n">
        <v>0</v>
      </c>
      <c r="U311" s="8" t="n">
        <v>0</v>
      </c>
      <c r="V311" s="8" t="n">
        <v>0</v>
      </c>
      <c r="W311" s="8" t="n">
        <v>0</v>
      </c>
      <c r="X311" s="8" t="n">
        <v>0</v>
      </c>
      <c r="Y311" s="8" t="inlineStr">
        <is>
          <t>BB T1 play#7 (#17 scores forced); K_L T2 Seq#35; GO T5 play#56; also pitches B1(from play#19)-B4</t>
        </is>
      </c>
    </row>
    <row r="312" ht="15.75" customHeight="1" s="35">
      <c r="A312" s="8" t="inlineStr">
        <is>
          <t>2026-03-26_THMS_at_NRTH</t>
        </is>
      </c>
      <c r="B312" s="2" t="n">
        <v>46107</v>
      </c>
      <c r="C312" s="8" t="inlineStr">
        <is>
          <t>NRTH</t>
        </is>
      </c>
      <c r="D312" s="8" t="inlineStr">
        <is>
          <t>THMS</t>
        </is>
      </c>
      <c r="E312" s="8" t="inlineStr">
        <is>
          <t>#16</t>
        </is>
      </c>
      <c r="F312" s="8" t="n">
        <v>3</v>
      </c>
      <c r="G312" s="8" t="n">
        <v>3</v>
      </c>
      <c r="H312" s="8" t="n">
        <v>0</v>
      </c>
      <c r="I312" s="8" t="n">
        <v>0</v>
      </c>
      <c r="J312" s="8" t="n">
        <v>0</v>
      </c>
      <c r="K312" s="8" t="n">
        <v>0</v>
      </c>
      <c r="L312" s="8" t="n">
        <v>0</v>
      </c>
      <c r="M312" s="8" t="n">
        <v>0</v>
      </c>
      <c r="N312" s="8" t="n">
        <v>0</v>
      </c>
      <c r="O312" s="8" t="n">
        <v>3</v>
      </c>
      <c r="P312" s="8" t="n">
        <v>1</v>
      </c>
      <c r="Q312" s="8" t="n">
        <v>2</v>
      </c>
      <c r="R312" s="8" t="n">
        <v>0</v>
      </c>
      <c r="S312" s="8" t="n">
        <v>0</v>
      </c>
      <c r="T312" s="8" t="n">
        <v>0</v>
      </c>
      <c r="U312" s="8" t="n">
        <v>0</v>
      </c>
      <c r="V312" s="8" t="n">
        <v>0</v>
      </c>
      <c r="W312" s="8" t="n">
        <v>0</v>
      </c>
      <c r="X312" s="8" t="n">
        <v>0</v>
      </c>
      <c r="Y312" s="8" t="inlineStr">
        <is>
          <t>K_L T1 Seq#8 (#11 scores on PB during AB, see Flag#3); K_S T3 Seq#42; K_S T5 Seq#57</t>
        </is>
      </c>
    </row>
    <row r="313" ht="15.75" customHeight="1" s="35">
      <c r="A313" s="8" t="inlineStr">
        <is>
          <t>2026-03-26_THMS_at_NRTH</t>
        </is>
      </c>
      <c r="B313" s="2" t="n">
        <v>46107</v>
      </c>
      <c r="C313" s="8" t="inlineStr">
        <is>
          <t>NRTH</t>
        </is>
      </c>
      <c r="D313" s="8" t="inlineStr">
        <is>
          <t>THMS</t>
        </is>
      </c>
      <c r="E313" s="8" t="inlineStr">
        <is>
          <t>#8</t>
        </is>
      </c>
      <c r="F313" s="8" t="n">
        <v>3</v>
      </c>
      <c r="G313" s="8" t="n">
        <v>2</v>
      </c>
      <c r="H313" s="8" t="n">
        <v>0</v>
      </c>
      <c r="I313" s="8" t="n">
        <v>0</v>
      </c>
      <c r="J313" s="8" t="n">
        <v>0</v>
      </c>
      <c r="K313" s="8" t="n">
        <v>0</v>
      </c>
      <c r="L313" s="8" t="n">
        <v>0</v>
      </c>
      <c r="M313" s="8" t="n">
        <v>1</v>
      </c>
      <c r="N313" s="8" t="n">
        <v>0</v>
      </c>
      <c r="O313" s="8" t="n">
        <v>2</v>
      </c>
      <c r="P313" s="8" t="n">
        <v>0</v>
      </c>
      <c r="Q313" s="8" t="n">
        <v>2</v>
      </c>
      <c r="R313" s="8" t="n">
        <v>0</v>
      </c>
      <c r="S313" s="8" t="n">
        <v>0</v>
      </c>
      <c r="T313" s="8" t="n">
        <v>1</v>
      </c>
      <c r="U313" s="8" t="n">
        <v>0</v>
      </c>
      <c r="V313" s="8" t="n">
        <v>0</v>
      </c>
      <c r="W313" s="8" t="n">
        <v>0</v>
      </c>
      <c r="X313" s="8" t="n">
        <v>0</v>
      </c>
      <c r="Y313" s="8" t="inlineStr">
        <is>
          <t>BB T2 play#28; SB 2nd T2 Seq#30 (embedded #2 FC AB); out advancing to 3rd on same FC play#30 (not CS — retired on FC throw; see Flag#5); K_S T3 Seq#43; K_S T5 Seq#58</t>
        </is>
      </c>
    </row>
    <row r="314" ht="15.75" customHeight="1" s="35">
      <c r="A314" s="8" t="inlineStr">
        <is>
          <t>2026-03-26_THMS_at_NRTH</t>
        </is>
      </c>
      <c r="B314" s="2" t="n">
        <v>46107</v>
      </c>
      <c r="C314" s="8" t="inlineStr">
        <is>
          <t>NRTH</t>
        </is>
      </c>
      <c r="D314" s="8" t="inlineStr">
        <is>
          <t>THMS</t>
        </is>
      </c>
      <c r="E314" s="8" t="inlineStr">
        <is>
          <t>#22</t>
        </is>
      </c>
      <c r="F314" s="8" t="n">
        <v>1</v>
      </c>
      <c r="G314" s="8" t="n">
        <v>1</v>
      </c>
      <c r="H314" s="8" t="n">
        <v>0</v>
      </c>
      <c r="I314" s="8" t="n">
        <v>0</v>
      </c>
      <c r="J314" s="8" t="n">
        <v>0</v>
      </c>
      <c r="K314" s="8" t="n">
        <v>0</v>
      </c>
      <c r="L314" s="8" t="n">
        <v>0</v>
      </c>
      <c r="M314" s="8" t="n">
        <v>0</v>
      </c>
      <c r="N314" s="8" t="n">
        <v>0</v>
      </c>
      <c r="O314" s="8" t="n">
        <v>1</v>
      </c>
      <c r="P314" s="8" t="n">
        <v>1</v>
      </c>
      <c r="Q314" s="8" t="n">
        <v>0</v>
      </c>
      <c r="R314" s="8" t="n">
        <v>0</v>
      </c>
      <c r="S314" s="8" t="n">
        <v>0</v>
      </c>
      <c r="T314" s="8" t="n">
        <v>0</v>
      </c>
      <c r="U314" s="8" t="n">
        <v>0</v>
      </c>
      <c r="V314" s="8" t="n">
        <v>0</v>
      </c>
      <c r="W314" s="8" t="n">
        <v>0</v>
      </c>
      <c r="X314" s="8" t="n">
        <v>0</v>
      </c>
      <c r="Y314" s="8" t="inlineStr">
        <is>
          <t>K_L T4 Seq#52; enters T4 with no lineup note (Flag#15); credited with pickoff of T Roy at 1B in B3 Seq#48</t>
        </is>
      </c>
    </row>
    <row r="315" ht="15.75" customHeight="1" s="35">
      <c r="A315" s="8" t="inlineStr">
        <is>
          <t>2026-03-07_DMSC_at_GLNL</t>
        </is>
      </c>
      <c r="B315" s="2" t="n">
        <v>46088</v>
      </c>
      <c r="C315" s="8" t="inlineStr">
        <is>
          <t>GLNL</t>
        </is>
      </c>
      <c r="D315" s="8" t="inlineStr">
        <is>
          <t>DMSC</t>
        </is>
      </c>
      <c r="E315" s="8" t="inlineStr">
        <is>
          <t>J Reyes</t>
        </is>
      </c>
      <c r="F315" s="8" t="n">
        <v>4</v>
      </c>
      <c r="G315" s="8" t="n">
        <v>3</v>
      </c>
      <c r="H315" s="8" t="n">
        <v>0</v>
      </c>
      <c r="I315" s="8" t="n">
        <v>0</v>
      </c>
      <c r="J315" s="8" t="n">
        <v>0</v>
      </c>
      <c r="K315" s="8" t="n">
        <v>0</v>
      </c>
      <c r="L315" s="8" t="n">
        <v>0</v>
      </c>
      <c r="M315" s="8" t="n">
        <v>1</v>
      </c>
      <c r="N315" s="8" t="n">
        <v>0</v>
      </c>
      <c r="O315" s="8" t="n">
        <v>1</v>
      </c>
      <c r="P315" s="8" t="n">
        <v>0</v>
      </c>
      <c r="Q315" s="8" t="n">
        <v>1</v>
      </c>
      <c r="R315" s="8" t="n">
        <v>0</v>
      </c>
      <c r="S315" s="8" t="n">
        <v>0</v>
      </c>
      <c r="T315" s="8" t="n">
        <v>0</v>
      </c>
      <c r="U315" s="8" t="n">
        <v>0</v>
      </c>
      <c r="V315" s="8" t="n">
        <v>0</v>
      </c>
      <c r="W315" s="8" t="n">
        <v>0</v>
      </c>
      <c r="X315" s="8" t="n">
        <v>0</v>
      </c>
    </row>
    <row r="316" ht="15.75" customHeight="1" s="35">
      <c r="A316" s="8" t="inlineStr">
        <is>
          <t>2026-03-07_DMSC_at_GLNL</t>
        </is>
      </c>
      <c r="B316" s="2" t="n">
        <v>46088</v>
      </c>
      <c r="C316" s="8" t="inlineStr">
        <is>
          <t>GLNL</t>
        </is>
      </c>
      <c r="D316" s="8" t="inlineStr">
        <is>
          <t>DMSC</t>
        </is>
      </c>
      <c r="E316" s="8" t="inlineStr">
        <is>
          <t>K Childers</t>
        </is>
      </c>
      <c r="F316" s="8" t="n">
        <v>4</v>
      </c>
      <c r="G316" s="8" t="n">
        <v>3</v>
      </c>
      <c r="H316" s="8" t="n">
        <v>2</v>
      </c>
      <c r="I316" s="8" t="n">
        <v>2</v>
      </c>
      <c r="J316" s="8" t="n">
        <v>0</v>
      </c>
      <c r="K316" s="8" t="n">
        <v>0</v>
      </c>
      <c r="L316" s="8" t="n">
        <v>0</v>
      </c>
      <c r="M316" s="8" t="n">
        <v>1</v>
      </c>
      <c r="N316" s="8" t="n">
        <v>0</v>
      </c>
      <c r="O316" s="8" t="n">
        <v>0</v>
      </c>
      <c r="P316" s="8" t="n">
        <v>0</v>
      </c>
      <c r="Q316" s="8" t="n">
        <v>0</v>
      </c>
      <c r="R316" s="8" t="n">
        <v>1</v>
      </c>
      <c r="S316" s="8" t="n">
        <v>0</v>
      </c>
      <c r="T316" s="8" t="n">
        <v>0</v>
      </c>
      <c r="U316" s="8" t="n">
        <v>0</v>
      </c>
      <c r="V316" s="8" t="n">
        <v>0</v>
      </c>
      <c r="W316" s="8" t="n">
        <v>0</v>
      </c>
      <c r="X316" s="8" t="n">
        <v>0</v>
      </c>
    </row>
    <row r="317" ht="15.75" customHeight="1" s="35">
      <c r="A317" s="8" t="inlineStr">
        <is>
          <t>2026-03-07_DMSC_at_GLNL</t>
        </is>
      </c>
      <c r="B317" s="2" t="n">
        <v>46088</v>
      </c>
      <c r="C317" s="8" t="inlineStr">
        <is>
          <t>GLNL</t>
        </is>
      </c>
      <c r="D317" s="8" t="inlineStr">
        <is>
          <t>DMSC</t>
        </is>
      </c>
      <c r="E317" s="8" t="inlineStr">
        <is>
          <t>A Iorio</t>
        </is>
      </c>
      <c r="F317" s="8" t="n">
        <v>4</v>
      </c>
      <c r="G317" s="8" t="n">
        <v>3</v>
      </c>
      <c r="H317" s="8" t="n">
        <v>1</v>
      </c>
      <c r="I317" s="8" t="n">
        <v>1</v>
      </c>
      <c r="J317" s="8" t="n">
        <v>0</v>
      </c>
      <c r="K317" s="8" t="n">
        <v>0</v>
      </c>
      <c r="L317" s="8" t="n">
        <v>0</v>
      </c>
      <c r="M317" s="8" t="n">
        <v>1</v>
      </c>
      <c r="N317" s="8" t="n">
        <v>0</v>
      </c>
      <c r="O317" s="8" t="n">
        <v>1</v>
      </c>
      <c r="P317" s="8" t="n">
        <v>1</v>
      </c>
      <c r="Q317" s="8" t="n">
        <v>0</v>
      </c>
      <c r="R317" s="8" t="n">
        <v>0</v>
      </c>
      <c r="S317" s="8" t="n">
        <v>0</v>
      </c>
      <c r="T317" s="8" t="n">
        <v>0</v>
      </c>
      <c r="U317" s="8" t="n">
        <v>0</v>
      </c>
      <c r="V317" s="8" t="n">
        <v>0</v>
      </c>
      <c r="W317" s="8" t="n">
        <v>0</v>
      </c>
      <c r="X317" s="8" t="n">
        <v>0</v>
      </c>
    </row>
    <row r="318" ht="15.75" customHeight="1" s="35">
      <c r="A318" s="8" t="inlineStr">
        <is>
          <t>2026-03-07_DMSC_at_GLNL</t>
        </is>
      </c>
      <c r="B318" s="2" t="n">
        <v>46088</v>
      </c>
      <c r="C318" s="8" t="inlineStr">
        <is>
          <t>GLNL</t>
        </is>
      </c>
      <c r="D318" s="8" t="inlineStr">
        <is>
          <t>DMSC</t>
        </is>
      </c>
      <c r="E318" s="8" t="inlineStr">
        <is>
          <t>G Iorio</t>
        </is>
      </c>
      <c r="F318" s="8" t="n">
        <v>4</v>
      </c>
      <c r="G318" s="8" t="n">
        <v>3</v>
      </c>
      <c r="H318" s="8" t="n">
        <v>0</v>
      </c>
      <c r="I318" s="8" t="n">
        <v>0</v>
      </c>
      <c r="J318" s="8" t="n">
        <v>0</v>
      </c>
      <c r="K318" s="8" t="n">
        <v>0</v>
      </c>
      <c r="L318" s="8" t="n">
        <v>0</v>
      </c>
      <c r="M318" s="8" t="n">
        <v>1</v>
      </c>
      <c r="N318" s="8" t="n">
        <v>0</v>
      </c>
      <c r="O318" s="8" t="n">
        <v>3</v>
      </c>
      <c r="P318" s="8" t="n">
        <v>1</v>
      </c>
      <c r="Q318" s="8" t="n">
        <v>2</v>
      </c>
      <c r="R318" s="8" t="n">
        <v>0</v>
      </c>
      <c r="S318" s="8" t="n">
        <v>0</v>
      </c>
      <c r="T318" s="8" t="n">
        <v>0</v>
      </c>
      <c r="U318" s="8" t="n">
        <v>0</v>
      </c>
      <c r="V318" s="8" t="n">
        <v>0</v>
      </c>
      <c r="W318" s="8" t="n">
        <v>0</v>
      </c>
      <c r="X318" s="8" t="n">
        <v>0</v>
      </c>
    </row>
    <row r="319" ht="15.75" customHeight="1" s="35">
      <c r="A319" s="8" t="inlineStr">
        <is>
          <t>2026-03-07_DMSC_at_GLNL</t>
        </is>
      </c>
      <c r="B319" s="2" t="n">
        <v>46088</v>
      </c>
      <c r="C319" s="8" t="inlineStr">
        <is>
          <t>GLNL</t>
        </is>
      </c>
      <c r="D319" s="8" t="inlineStr">
        <is>
          <t>DMSC</t>
        </is>
      </c>
      <c r="E319" s="8" t="inlineStr">
        <is>
          <t>L Curtin</t>
        </is>
      </c>
      <c r="F319" s="8" t="n">
        <v>4</v>
      </c>
      <c r="G319" s="8" t="n">
        <v>4</v>
      </c>
      <c r="H319" s="8" t="n">
        <v>1</v>
      </c>
      <c r="I319" s="8" t="n">
        <v>1</v>
      </c>
      <c r="J319" s="8" t="n">
        <v>0</v>
      </c>
      <c r="K319" s="8" t="n">
        <v>0</v>
      </c>
      <c r="L319" s="8" t="n">
        <v>0</v>
      </c>
      <c r="M319" s="8" t="n">
        <v>0</v>
      </c>
      <c r="N319" s="8" t="n">
        <v>0</v>
      </c>
      <c r="O319" s="8" t="n">
        <v>2</v>
      </c>
      <c r="P319" s="8" t="n">
        <v>2</v>
      </c>
      <c r="Q319" s="8" t="n">
        <v>0</v>
      </c>
      <c r="R319" s="8" t="n">
        <v>1</v>
      </c>
      <c r="S319" s="8" t="n">
        <v>1</v>
      </c>
      <c r="T319" s="8" t="n">
        <v>0</v>
      </c>
      <c r="U319" s="8" t="n">
        <v>0</v>
      </c>
      <c r="V319" s="8" t="n">
        <v>0</v>
      </c>
      <c r="W319" s="8" t="n">
        <v>0</v>
      </c>
      <c r="X319" s="8" t="n">
        <v>0</v>
      </c>
      <c r="Y319" s="8" t="inlineStr">
        <is>
          <t>Scored T2 on C Holland SAC fly; RBI T5 on single (K Childers scores)</t>
        </is>
      </c>
    </row>
    <row r="320" ht="15.75" customHeight="1" s="35">
      <c r="A320" s="8" t="inlineStr">
        <is>
          <t>2026-03-07_DMSC_at_GLNL</t>
        </is>
      </c>
      <c r="B320" s="2" t="n">
        <v>46088</v>
      </c>
      <c r="C320" s="8" t="inlineStr">
        <is>
          <t>GLNL</t>
        </is>
      </c>
      <c r="D320" s="8" t="inlineStr">
        <is>
          <t>DMSC</t>
        </is>
      </c>
      <c r="E320" s="8" t="inlineStr">
        <is>
          <t>C Gardner</t>
        </is>
      </c>
      <c r="F320" s="8" t="n">
        <v>4</v>
      </c>
      <c r="G320" s="8" t="n">
        <v>4</v>
      </c>
      <c r="H320" s="8" t="n">
        <v>2</v>
      </c>
      <c r="I320" s="8" t="n">
        <v>2</v>
      </c>
      <c r="J320" s="8" t="n">
        <v>0</v>
      </c>
      <c r="K320" s="8" t="n">
        <v>0</v>
      </c>
      <c r="L320" s="8" t="n">
        <v>0</v>
      </c>
      <c r="M320" s="8" t="n">
        <v>0</v>
      </c>
      <c r="N320" s="8" t="n">
        <v>0</v>
      </c>
      <c r="O320" s="8" t="n">
        <v>0</v>
      </c>
      <c r="P320" s="8" t="n">
        <v>0</v>
      </c>
      <c r="Q320" s="8" t="n">
        <v>0</v>
      </c>
      <c r="R320" s="8" t="n">
        <v>0</v>
      </c>
      <c r="S320" s="8" t="n">
        <v>0</v>
      </c>
      <c r="T320" s="8" t="n">
        <v>1</v>
      </c>
      <c r="U320" s="8" t="n">
        <v>0</v>
      </c>
      <c r="V320" s="8" t="n">
        <v>1</v>
      </c>
      <c r="W320" s="8" t="n">
        <v>0</v>
      </c>
      <c r="X320" s="8" t="n">
        <v>1</v>
      </c>
      <c r="Y320" s="8" t="inlineStr">
        <is>
          <t>SB play#34 (embedded in R Chidakel AB, T4); GDP play#50 (DP with L Curtin); FC play#14</t>
        </is>
      </c>
    </row>
    <row r="321" ht="15.75" customHeight="1" s="35">
      <c r="A321" s="8" t="inlineStr">
        <is>
          <t>2026-03-07_DMSC_at_GLNL</t>
        </is>
      </c>
      <c r="B321" s="2" t="n">
        <v>46088</v>
      </c>
      <c r="C321" s="8" t="inlineStr">
        <is>
          <t>GLNL</t>
        </is>
      </c>
      <c r="D321" s="8" t="inlineStr">
        <is>
          <t>DMSC</t>
        </is>
      </c>
      <c r="E321" s="8" t="inlineStr">
        <is>
          <t>R Chidakel</t>
        </is>
      </c>
      <c r="F321" s="8" t="n">
        <v>3</v>
      </c>
      <c r="G321" s="8" t="n">
        <v>1</v>
      </c>
      <c r="H321" s="8" t="n">
        <v>1</v>
      </c>
      <c r="I321" s="8" t="n">
        <v>0</v>
      </c>
      <c r="J321" s="8" t="n">
        <v>1</v>
      </c>
      <c r="K321" s="8" t="n">
        <v>0</v>
      </c>
      <c r="L321" s="8" t="n">
        <v>0</v>
      </c>
      <c r="M321" s="8" t="n">
        <v>2</v>
      </c>
      <c r="N321" s="8" t="n">
        <v>0</v>
      </c>
      <c r="O321" s="8" t="n">
        <v>0</v>
      </c>
      <c r="P321" s="8" t="n">
        <v>0</v>
      </c>
      <c r="Q321" s="8" t="n">
        <v>0</v>
      </c>
      <c r="R321" s="8" t="n">
        <v>0</v>
      </c>
      <c r="S321" s="8" t="n">
        <v>0</v>
      </c>
      <c r="T321" s="8" t="n">
        <v>0</v>
      </c>
      <c r="U321" s="8" t="n">
        <v>0</v>
      </c>
      <c r="V321" s="8" t="n">
        <v>0</v>
      </c>
      <c r="W321" s="8" t="n">
        <v>0</v>
      </c>
      <c r="X321" s="8" t="n">
        <v>0</v>
      </c>
    </row>
    <row r="322" ht="15.75" customHeight="1" s="35">
      <c r="A322" s="8" t="inlineStr">
        <is>
          <t>2026-03-07_DMSC_at_GLNL</t>
        </is>
      </c>
      <c r="B322" s="2" t="n">
        <v>46088</v>
      </c>
      <c r="C322" s="8" t="inlineStr">
        <is>
          <t>GLNL</t>
        </is>
      </c>
      <c r="D322" s="8" t="inlineStr">
        <is>
          <t>DMSC</t>
        </is>
      </c>
      <c r="E322" s="8" t="inlineStr">
        <is>
          <t>C Holland</t>
        </is>
      </c>
      <c r="F322" s="8" t="n">
        <v>3</v>
      </c>
      <c r="G322" s="8" t="n">
        <v>2</v>
      </c>
      <c r="H322" s="8" t="n">
        <v>0</v>
      </c>
      <c r="I322" s="8" t="n">
        <v>0</v>
      </c>
      <c r="J322" s="8" t="n">
        <v>0</v>
      </c>
      <c r="K322" s="8" t="n">
        <v>0</v>
      </c>
      <c r="L322" s="8" t="n">
        <v>0</v>
      </c>
      <c r="M322" s="8" t="n">
        <v>0</v>
      </c>
      <c r="N322" s="8" t="n">
        <v>0</v>
      </c>
      <c r="O322" s="8" t="n">
        <v>2</v>
      </c>
      <c r="P322" s="8" t="n">
        <v>0</v>
      </c>
      <c r="Q322" s="8" t="n">
        <v>2</v>
      </c>
      <c r="R322" s="8" t="n">
        <v>0</v>
      </c>
      <c r="S322" s="8" t="n">
        <v>1</v>
      </c>
      <c r="T322" s="8" t="n">
        <v>0</v>
      </c>
      <c r="U322" s="8" t="n">
        <v>0</v>
      </c>
      <c r="V322" s="8" t="n">
        <v>0</v>
      </c>
      <c r="W322" s="8" t="n">
        <v>1</v>
      </c>
      <c r="X322" s="8" t="n">
        <v>0</v>
      </c>
      <c r="Y322" s="8" t="inlineStr">
        <is>
          <t>SAC fly T2 (L Curtin scores, RBI); SAC credited per explicit outcome label</t>
        </is>
      </c>
    </row>
    <row r="323" ht="15.75" customHeight="1" s="35">
      <c r="A323" s="8" t="inlineStr">
        <is>
          <t>2026-03-07_DMSC_at_GLNL</t>
        </is>
      </c>
      <c r="B323" s="2" t="n">
        <v>46088</v>
      </c>
      <c r="C323" s="8" t="inlineStr">
        <is>
          <t>GLNL</t>
        </is>
      </c>
      <c r="D323" s="8" t="inlineStr">
        <is>
          <t>DMSC</t>
        </is>
      </c>
      <c r="E323" s="8" t="inlineStr">
        <is>
          <t>N Cooley</t>
        </is>
      </c>
      <c r="F323" s="8" t="n">
        <v>3</v>
      </c>
      <c r="G323" s="8" t="n">
        <v>2</v>
      </c>
      <c r="H323" s="8" t="n">
        <v>0</v>
      </c>
      <c r="I323" s="8" t="n">
        <v>0</v>
      </c>
      <c r="J323" s="8" t="n">
        <v>0</v>
      </c>
      <c r="K323" s="8" t="n">
        <v>0</v>
      </c>
      <c r="L323" s="8" t="n">
        <v>0</v>
      </c>
      <c r="M323" s="8" t="n">
        <v>1</v>
      </c>
      <c r="N323" s="8" t="n">
        <v>0</v>
      </c>
      <c r="O323" s="8" t="n">
        <v>0</v>
      </c>
      <c r="P323" s="8" t="n">
        <v>0</v>
      </c>
      <c r="Q323" s="8" t="n">
        <v>0</v>
      </c>
      <c r="R323" s="8" t="n">
        <v>0</v>
      </c>
      <c r="S323" s="8" t="n">
        <v>0</v>
      </c>
      <c r="T323" s="8" t="n">
        <v>0</v>
      </c>
      <c r="U323" s="8" t="n">
        <v>0</v>
      </c>
      <c r="V323" s="8" t="n">
        <v>0</v>
      </c>
      <c r="W323" s="8" t="n">
        <v>0</v>
      </c>
      <c r="X323" s="8" t="n">
        <v>1</v>
      </c>
      <c r="Y323" s="8" t="inlineStr">
        <is>
          <t>FC play#14</t>
        </is>
      </c>
    </row>
    <row r="324" ht="15.75" customHeight="1" s="35">
      <c r="A324" s="8" t="inlineStr">
        <is>
          <t>2026-03-07_DMSC_at_GLNL</t>
        </is>
      </c>
      <c r="B324" s="2" t="n">
        <v>46088</v>
      </c>
      <c r="C324" s="8" t="inlineStr">
        <is>
          <t>GLNL</t>
        </is>
      </c>
      <c r="D324" s="8" t="inlineStr">
        <is>
          <t>DMSC</t>
        </is>
      </c>
      <c r="E324" s="8" t="inlineStr">
        <is>
          <t>J Witmer</t>
        </is>
      </c>
      <c r="F324" s="8" t="n">
        <v>3</v>
      </c>
      <c r="G324" s="8" t="n">
        <v>3</v>
      </c>
      <c r="H324" s="8" t="n">
        <v>0</v>
      </c>
      <c r="I324" s="8" t="n">
        <v>0</v>
      </c>
      <c r="J324" s="8" t="n">
        <v>0</v>
      </c>
      <c r="K324" s="8" t="n">
        <v>0</v>
      </c>
      <c r="L324" s="8" t="n">
        <v>0</v>
      </c>
      <c r="M324" s="8" t="n">
        <v>0</v>
      </c>
      <c r="N324" s="8" t="n">
        <v>0</v>
      </c>
      <c r="O324" s="8" t="n">
        <v>1</v>
      </c>
      <c r="P324" s="8" t="n">
        <v>1</v>
      </c>
      <c r="Q324" s="8" t="n">
        <v>0</v>
      </c>
      <c r="R324" s="8" t="n">
        <v>0</v>
      </c>
      <c r="S324" s="8" t="n">
        <v>0</v>
      </c>
      <c r="T324" s="8" t="n">
        <v>0</v>
      </c>
      <c r="U324" s="8" t="n">
        <v>0</v>
      </c>
      <c r="V324" s="8" t="n">
        <v>0</v>
      </c>
      <c r="W324" s="8" t="n">
        <v>0</v>
      </c>
      <c r="X324" s="8" t="n">
        <v>0</v>
      </c>
    </row>
    <row r="325" ht="15.75" customHeight="1" s="35">
      <c r="A325" s="8" t="inlineStr">
        <is>
          <t>2026-03-07_DMSC_at_GLNL</t>
        </is>
      </c>
      <c r="B325" s="2" t="n">
        <v>46088</v>
      </c>
      <c r="C325" s="8" t="inlineStr">
        <is>
          <t>DMSC</t>
        </is>
      </c>
      <c r="D325" s="8" t="inlineStr">
        <is>
          <t>GLNL</t>
        </is>
      </c>
      <c r="E325" s="8" t="inlineStr">
        <is>
          <t>G Knauss</t>
        </is>
      </c>
      <c r="F325" s="8" t="n">
        <v>2</v>
      </c>
      <c r="G325" s="8" t="n">
        <v>1</v>
      </c>
      <c r="H325" s="8" t="n">
        <v>0</v>
      </c>
      <c r="I325" s="8" t="n">
        <v>0</v>
      </c>
      <c r="J325" s="8" t="n">
        <v>0</v>
      </c>
      <c r="K325" s="8" t="n">
        <v>0</v>
      </c>
      <c r="L325" s="8" t="n">
        <v>0</v>
      </c>
      <c r="M325" s="8" t="n">
        <v>0</v>
      </c>
      <c r="N325" s="8" t="n">
        <v>1</v>
      </c>
      <c r="O325" s="8" t="n">
        <v>0</v>
      </c>
      <c r="P325" s="8" t="n">
        <v>0</v>
      </c>
      <c r="Q325" s="8" t="n">
        <v>0</v>
      </c>
      <c r="R325" s="8" t="n">
        <v>0</v>
      </c>
      <c r="S325" s="8" t="n">
        <v>0</v>
      </c>
      <c r="T325" s="8" t="n">
        <v>0</v>
      </c>
      <c r="U325" s="8" t="n">
        <v>0</v>
      </c>
      <c r="V325" s="8" t="n">
        <v>0</v>
      </c>
      <c r="W325" s="8" t="n">
        <v>0</v>
      </c>
      <c r="X325" s="8" t="n">
        <v>0</v>
      </c>
      <c r="Y325" s="8" t="inlineStr">
        <is>
          <t>Entered for batter M Melhuish (play#4, B1); replaced by J Jones (play#39, B4)</t>
        </is>
      </c>
    </row>
    <row r="326" ht="15.75" customHeight="1" s="35">
      <c r="A326" s="8" t="inlineStr">
        <is>
          <t>2026-03-07_DMSC_at_GLNL</t>
        </is>
      </c>
      <c r="B326" s="2" t="n">
        <v>46088</v>
      </c>
      <c r="C326" s="8" t="inlineStr">
        <is>
          <t>DMSC</t>
        </is>
      </c>
      <c r="D326" s="8" t="inlineStr">
        <is>
          <t>GLNL</t>
        </is>
      </c>
      <c r="E326" s="8" t="inlineStr">
        <is>
          <t>A Baker</t>
        </is>
      </c>
      <c r="F326" s="8" t="n">
        <v>3</v>
      </c>
      <c r="G326" s="8" t="n">
        <v>1</v>
      </c>
      <c r="H326" s="8" t="n">
        <v>0</v>
      </c>
      <c r="I326" s="8" t="n">
        <v>0</v>
      </c>
      <c r="J326" s="8" t="n">
        <v>0</v>
      </c>
      <c r="K326" s="8" t="n">
        <v>0</v>
      </c>
      <c r="L326" s="8" t="n">
        <v>0</v>
      </c>
      <c r="M326" s="8" t="n">
        <v>2</v>
      </c>
      <c r="N326" s="8" t="n">
        <v>0</v>
      </c>
      <c r="O326" s="8" t="n">
        <v>1</v>
      </c>
      <c r="P326" s="8" t="n">
        <v>0</v>
      </c>
      <c r="Q326" s="8" t="n">
        <v>1</v>
      </c>
      <c r="R326" s="8" t="n">
        <v>1</v>
      </c>
      <c r="S326" s="8" t="n">
        <v>0</v>
      </c>
      <c r="T326" s="8" t="n">
        <v>1</v>
      </c>
      <c r="U326" s="8" t="n">
        <v>0</v>
      </c>
      <c r="V326" s="8" t="n">
        <v>0</v>
      </c>
      <c r="W326" s="8" t="n">
        <v>0</v>
      </c>
      <c r="X326" s="8" t="n">
        <v>0</v>
      </c>
      <c r="Y326" s="8" t="inlineStr">
        <is>
          <t>Scored on WP (play#28 embedded, B3); SB play#26 embedded (M Melhuish AB); also entered for batter E Laprise (play#63, B6)</t>
        </is>
      </c>
    </row>
    <row r="327" ht="15.75" customHeight="1" s="35">
      <c r="A327" s="8" t="inlineStr">
        <is>
          <t>2026-03-07_DMSC_at_GLNL</t>
        </is>
      </c>
      <c r="B327" s="2" t="n">
        <v>46088</v>
      </c>
      <c r="C327" s="8" t="inlineStr">
        <is>
          <t>DMSC</t>
        </is>
      </c>
      <c r="D327" s="8" t="inlineStr">
        <is>
          <t>GLNL</t>
        </is>
      </c>
      <c r="E327" s="8" t="inlineStr">
        <is>
          <t>M Melhuish</t>
        </is>
      </c>
      <c r="F327" s="8" t="n">
        <v>3</v>
      </c>
      <c r="G327" s="8" t="n">
        <v>1</v>
      </c>
      <c r="H327" s="8" t="n">
        <v>0</v>
      </c>
      <c r="I327" s="8" t="n">
        <v>0</v>
      </c>
      <c r="J327" s="8" t="n">
        <v>0</v>
      </c>
      <c r="K327" s="8" t="n">
        <v>0</v>
      </c>
      <c r="L327" s="8" t="n">
        <v>0</v>
      </c>
      <c r="M327" s="8" t="n">
        <v>1</v>
      </c>
      <c r="N327" s="8" t="n">
        <v>1</v>
      </c>
      <c r="O327" s="8" t="n">
        <v>0</v>
      </c>
      <c r="P327" s="8" t="n">
        <v>0</v>
      </c>
      <c r="Q327" s="8" t="n">
        <v>0</v>
      </c>
      <c r="R327" s="8" t="n">
        <v>1</v>
      </c>
      <c r="S327" s="8" t="n">
        <v>0</v>
      </c>
      <c r="T327" s="8" t="n">
        <v>0</v>
      </c>
      <c r="U327" s="8" t="n">
        <v>0</v>
      </c>
      <c r="V327" s="8" t="n">
        <v>0</v>
      </c>
      <c r="W327" s="8" t="n">
        <v>0</v>
      </c>
      <c r="X327" s="8" t="n">
        <v>0</v>
      </c>
      <c r="Y327" s="8" t="inlineStr">
        <is>
          <t>Also pitcher T2; CR J Jones in for M Melhuish B1 play#8 (no run scored); scored on PB (play#28 embedded, B3); replaced by J Miles (play#41, B4); returned for batter J Miles (play#65, B6)</t>
        </is>
      </c>
    </row>
    <row r="328" ht="15.75" customHeight="1" s="35">
      <c r="A328" s="8" t="inlineStr">
        <is>
          <t>2026-03-07_DMSC_at_GLNL</t>
        </is>
      </c>
      <c r="B328" s="2" t="n">
        <v>46088</v>
      </c>
      <c r="C328" s="8" t="inlineStr">
        <is>
          <t>DMSC</t>
        </is>
      </c>
      <c r="D328" s="8" t="inlineStr">
        <is>
          <t>GLNL</t>
        </is>
      </c>
      <c r="E328" s="8" t="inlineStr">
        <is>
          <t>B Conlon</t>
        </is>
      </c>
      <c r="F328" s="8" t="n">
        <v>2</v>
      </c>
      <c r="G328" s="8" t="n">
        <v>1</v>
      </c>
      <c r="H328" s="8" t="n">
        <v>0</v>
      </c>
      <c r="I328" s="8" t="n">
        <v>0</v>
      </c>
      <c r="J328" s="8" t="n">
        <v>0</v>
      </c>
      <c r="K328" s="8" t="n">
        <v>0</v>
      </c>
      <c r="L328" s="8" t="n">
        <v>0</v>
      </c>
      <c r="M328" s="8" t="n">
        <v>1</v>
      </c>
      <c r="N328" s="8" t="n">
        <v>0</v>
      </c>
      <c r="O328" s="8" t="n">
        <v>1</v>
      </c>
      <c r="P328" s="8" t="n">
        <v>0</v>
      </c>
      <c r="Q328" s="8" t="n">
        <v>1</v>
      </c>
      <c r="R328" s="8" t="n">
        <v>0</v>
      </c>
      <c r="S328" s="8" t="n">
        <v>0</v>
      </c>
      <c r="T328" s="8" t="n">
        <v>0</v>
      </c>
      <c r="U328" s="8" t="n">
        <v>0</v>
      </c>
      <c r="V328" s="8" t="n">
        <v>0</v>
      </c>
      <c r="W328" s="8" t="n">
        <v>0</v>
      </c>
      <c r="X328" s="8" t="n">
        <v>0</v>
      </c>
      <c r="Y328" s="8" t="inlineStr">
        <is>
          <t>Replaced by B Burckhardt (play#42, B4)</t>
        </is>
      </c>
    </row>
    <row r="329" ht="15.75" customHeight="1" s="35">
      <c r="A329" s="8" t="inlineStr">
        <is>
          <t>2026-03-07_DMSC_at_GLNL</t>
        </is>
      </c>
      <c r="B329" s="2" t="n">
        <v>46088</v>
      </c>
      <c r="C329" s="8" t="inlineStr">
        <is>
          <t>DMSC</t>
        </is>
      </c>
      <c r="D329" s="8" t="inlineStr">
        <is>
          <t>GLNL</t>
        </is>
      </c>
      <c r="E329" s="8" t="inlineStr">
        <is>
          <t>C Brown</t>
        </is>
      </c>
      <c r="F329" s="8" t="n">
        <v>2</v>
      </c>
      <c r="G329" s="8" t="n">
        <v>1</v>
      </c>
      <c r="H329" s="8" t="n">
        <v>0</v>
      </c>
      <c r="I329" s="8" t="n">
        <v>0</v>
      </c>
      <c r="J329" s="8" t="n">
        <v>0</v>
      </c>
      <c r="K329" s="8" t="n">
        <v>0</v>
      </c>
      <c r="L329" s="8" t="n">
        <v>0</v>
      </c>
      <c r="M329" s="8" t="n">
        <v>1</v>
      </c>
      <c r="N329" s="8" t="n">
        <v>0</v>
      </c>
      <c r="O329" s="8" t="n">
        <v>1</v>
      </c>
      <c r="P329" s="8" t="n">
        <v>0</v>
      </c>
      <c r="Q329" s="8" t="n">
        <v>1</v>
      </c>
      <c r="R329" s="8" t="n">
        <v>0</v>
      </c>
      <c r="S329" s="8" t="n">
        <v>0</v>
      </c>
      <c r="T329" s="8" t="n">
        <v>1</v>
      </c>
      <c r="U329" s="8" t="n">
        <v>0</v>
      </c>
      <c r="V329" s="8" t="n">
        <v>0</v>
      </c>
      <c r="W329" s="8" t="n">
        <v>0</v>
      </c>
      <c r="X329" s="8" t="n">
        <v>0</v>
      </c>
      <c r="Y329" s="8" t="inlineStr">
        <is>
          <t>SB play#29 embedded (A Nazelrod AB, B3); replaced by C Lease (no lineup note, B4)</t>
        </is>
      </c>
    </row>
    <row r="330" ht="15.75" customHeight="1" s="35">
      <c r="A330" s="8" t="inlineStr">
        <is>
          <t>2026-03-07_DMSC_at_GLNL</t>
        </is>
      </c>
      <c r="B330" s="2" t="n">
        <v>46088</v>
      </c>
      <c r="C330" s="8" t="inlineStr">
        <is>
          <t>DMSC</t>
        </is>
      </c>
      <c r="D330" s="8" t="inlineStr">
        <is>
          <t>GLNL</t>
        </is>
      </c>
      <c r="E330" s="8" t="inlineStr">
        <is>
          <t>A Nazelrod</t>
        </is>
      </c>
      <c r="F330" s="8" t="n">
        <v>2</v>
      </c>
      <c r="G330" s="8" t="n">
        <v>1</v>
      </c>
      <c r="H330" s="8" t="n">
        <v>0</v>
      </c>
      <c r="I330" s="8" t="n">
        <v>0</v>
      </c>
      <c r="J330" s="8" t="n">
        <v>0</v>
      </c>
      <c r="K330" s="8" t="n">
        <v>0</v>
      </c>
      <c r="L330" s="8" t="n">
        <v>0</v>
      </c>
      <c r="M330" s="8" t="n">
        <v>1</v>
      </c>
      <c r="N330" s="8" t="n">
        <v>0</v>
      </c>
      <c r="O330" s="8" t="n">
        <v>0</v>
      </c>
      <c r="P330" s="8" t="n">
        <v>0</v>
      </c>
      <c r="Q330" s="8" t="n">
        <v>0</v>
      </c>
      <c r="R330" s="8" t="n">
        <v>0</v>
      </c>
      <c r="S330" s="8" t="n">
        <v>0</v>
      </c>
      <c r="T330" s="8" t="n">
        <v>0</v>
      </c>
      <c r="U330" s="8" t="n">
        <v>0</v>
      </c>
      <c r="V330" s="8" t="n">
        <v>0</v>
      </c>
      <c r="W330" s="8" t="n">
        <v>0</v>
      </c>
      <c r="X330" s="8" t="n">
        <v>0</v>
      </c>
      <c r="Y330" s="8" t="inlineStr">
        <is>
          <t>Replaced by M Beares (play#44, B4); returns at 2B per Flag #2 (fielding only, not batting)</t>
        </is>
      </c>
    </row>
    <row r="331" ht="15.75" customHeight="1" s="35">
      <c r="A331" s="8" t="inlineStr">
        <is>
          <t>2026-03-07_DMSC_at_GLNL</t>
        </is>
      </c>
      <c r="B331" s="2" t="n">
        <v>46088</v>
      </c>
      <c r="C331" s="8" t="inlineStr">
        <is>
          <t>DMSC</t>
        </is>
      </c>
      <c r="D331" s="8" t="inlineStr">
        <is>
          <t>GLNL</t>
        </is>
      </c>
      <c r="E331" s="8" t="inlineStr">
        <is>
          <t>P Moreau</t>
        </is>
      </c>
      <c r="F331" s="8" t="n">
        <v>2</v>
      </c>
      <c r="G331" s="8" t="n">
        <v>2</v>
      </c>
      <c r="H331" s="8" t="n">
        <v>0</v>
      </c>
      <c r="I331" s="8" t="n">
        <v>0</v>
      </c>
      <c r="J331" s="8" t="n">
        <v>0</v>
      </c>
      <c r="K331" s="8" t="n">
        <v>0</v>
      </c>
      <c r="L331" s="8" t="n">
        <v>0</v>
      </c>
      <c r="M331" s="8" t="n">
        <v>0</v>
      </c>
      <c r="N331" s="8" t="n">
        <v>0</v>
      </c>
      <c r="O331" s="8" t="n">
        <v>2</v>
      </c>
      <c r="P331" s="8" t="n">
        <v>0</v>
      </c>
      <c r="Q331" s="8" t="n">
        <v>2</v>
      </c>
      <c r="R331" s="8" t="n">
        <v>0</v>
      </c>
      <c r="S331" s="8" t="n">
        <v>0</v>
      </c>
      <c r="T331" s="8" t="n">
        <v>0</v>
      </c>
      <c r="U331" s="8" t="n">
        <v>0</v>
      </c>
      <c r="V331" s="8" t="n">
        <v>0</v>
      </c>
      <c r="W331" s="8" t="n">
        <v>0</v>
      </c>
      <c r="X331" s="8" t="n">
        <v>0</v>
      </c>
      <c r="Y331" s="8" t="inlineStr">
        <is>
          <t>CR for C Lease after play#43 (Bottom 4th) — if P Moreau scored it would credit C Lease; replaced by B Harms (play#51, B5)</t>
        </is>
      </c>
    </row>
    <row r="332" ht="15.75" customHeight="1" s="35">
      <c r="A332" s="8" t="inlineStr">
        <is>
          <t>2026-03-07_DMSC_at_GLNL</t>
        </is>
      </c>
      <c r="B332" s="2" t="n">
        <v>46088</v>
      </c>
      <c r="C332" s="8" t="inlineStr">
        <is>
          <t>DMSC</t>
        </is>
      </c>
      <c r="D332" s="8" t="inlineStr">
        <is>
          <t>GLNL</t>
        </is>
      </c>
      <c r="E332" s="8" t="inlineStr">
        <is>
          <t>E Laprise</t>
        </is>
      </c>
      <c r="F332" s="8" t="n">
        <v>2</v>
      </c>
      <c r="G332" s="8" t="n">
        <v>1</v>
      </c>
      <c r="H332" s="8" t="n">
        <v>0</v>
      </c>
      <c r="I332" s="8" t="n">
        <v>0</v>
      </c>
      <c r="J332" s="8" t="n">
        <v>0</v>
      </c>
      <c r="K332" s="8" t="n">
        <v>0</v>
      </c>
      <c r="L332" s="8" t="n">
        <v>0</v>
      </c>
      <c r="M332" s="8" t="n">
        <v>1</v>
      </c>
      <c r="N332" s="8" t="n">
        <v>0</v>
      </c>
      <c r="O332" s="8" t="n">
        <v>0</v>
      </c>
      <c r="P332" s="8" t="n">
        <v>0</v>
      </c>
      <c r="Q332" s="8" t="n">
        <v>0</v>
      </c>
      <c r="R332" s="8" t="n">
        <v>0</v>
      </c>
      <c r="S332" s="8" t="n">
        <v>0</v>
      </c>
      <c r="T332" s="8" t="n">
        <v>0</v>
      </c>
      <c r="U332" s="8" t="n">
        <v>0</v>
      </c>
      <c r="V332" s="8" t="n">
        <v>0</v>
      </c>
      <c r="W332" s="8" t="n">
        <v>0</v>
      </c>
      <c r="X332" s="8" t="n">
        <v>0</v>
      </c>
      <c r="Y332" s="8" t="inlineStr">
        <is>
          <t>Replaced by A Baker (play#63, B6)</t>
        </is>
      </c>
    </row>
    <row r="333" ht="15.75" customHeight="1" s="35">
      <c r="A333" s="8" t="inlineStr">
        <is>
          <t>2026-03-07_DMSC_at_GLNL</t>
        </is>
      </c>
      <c r="B333" s="2" t="n">
        <v>46088</v>
      </c>
      <c r="C333" s="8" t="inlineStr">
        <is>
          <t>DMSC</t>
        </is>
      </c>
      <c r="D333" s="8" t="inlineStr">
        <is>
          <t>GLNL</t>
        </is>
      </c>
      <c r="E333" s="8" t="inlineStr">
        <is>
          <t>G Melhuish</t>
        </is>
      </c>
      <c r="F333" s="8" t="n">
        <v>2</v>
      </c>
      <c r="G333" s="8" t="n">
        <v>2</v>
      </c>
      <c r="H333" s="8" t="n">
        <v>0</v>
      </c>
      <c r="I333" s="8" t="n">
        <v>0</v>
      </c>
      <c r="J333" s="8" t="n">
        <v>0</v>
      </c>
      <c r="K333" s="8" t="n">
        <v>0</v>
      </c>
      <c r="L333" s="8" t="n">
        <v>0</v>
      </c>
      <c r="M333" s="8" t="n">
        <v>0</v>
      </c>
      <c r="N333" s="8" t="n">
        <v>0</v>
      </c>
      <c r="O333" s="8" t="n">
        <v>2</v>
      </c>
      <c r="P333" s="8" t="n">
        <v>1</v>
      </c>
      <c r="Q333" s="8" t="n">
        <v>1</v>
      </c>
      <c r="R333" s="8" t="n">
        <v>0</v>
      </c>
      <c r="S333" s="8" t="n">
        <v>0</v>
      </c>
      <c r="T333" s="8" t="n">
        <v>0</v>
      </c>
      <c r="U333" s="8" t="n">
        <v>0</v>
      </c>
      <c r="V333" s="8" t="n">
        <v>0</v>
      </c>
      <c r="W333" s="8" t="n">
        <v>0</v>
      </c>
      <c r="X333" s="8" t="n">
        <v>0</v>
      </c>
      <c r="Y333" s="8" t="inlineStr">
        <is>
          <t>Also catcher (committed 2 errors, see Fielding); K_L play#38, K_S play#18</t>
        </is>
      </c>
    </row>
    <row r="334" ht="15.75" customHeight="1" s="35">
      <c r="A334" s="8" t="inlineStr">
        <is>
          <t>2026-03-07_DMSC_at_GLNL</t>
        </is>
      </c>
      <c r="B334" s="2" t="n">
        <v>46088</v>
      </c>
      <c r="C334" s="8" t="inlineStr">
        <is>
          <t>DMSC</t>
        </is>
      </c>
      <c r="D334" s="8" t="inlineStr">
        <is>
          <t>GLNL</t>
        </is>
      </c>
      <c r="E334" s="8" t="inlineStr">
        <is>
          <t>J Jones</t>
        </is>
      </c>
      <c r="F334" s="8" t="n">
        <v>2</v>
      </c>
      <c r="G334" s="8" t="n">
        <v>2</v>
      </c>
      <c r="H334" s="8" t="n">
        <v>0</v>
      </c>
      <c r="I334" s="8" t="n">
        <v>0</v>
      </c>
      <c r="J334" s="8" t="n">
        <v>0</v>
      </c>
      <c r="K334" s="8" t="n">
        <v>0</v>
      </c>
      <c r="L334" s="8" t="n">
        <v>0</v>
      </c>
      <c r="M334" s="8" t="n">
        <v>0</v>
      </c>
      <c r="N334" s="8" t="n">
        <v>0</v>
      </c>
      <c r="O334" s="8" t="n">
        <v>1</v>
      </c>
      <c r="P334" s="8" t="n">
        <v>0</v>
      </c>
      <c r="Q334" s="8" t="n">
        <v>1</v>
      </c>
      <c r="R334" s="8" t="n">
        <v>0</v>
      </c>
      <c r="S334" s="8" t="n">
        <v>0</v>
      </c>
      <c r="T334" s="8" t="n">
        <v>0</v>
      </c>
      <c r="U334" s="8" t="n">
        <v>0</v>
      </c>
      <c r="V334" s="8" t="n">
        <v>0</v>
      </c>
      <c r="W334" s="8" t="n">
        <v>0</v>
      </c>
      <c r="X334" s="8" t="n">
        <v>0</v>
      </c>
      <c r="Y334" s="8" t="inlineStr">
        <is>
          <t>CR for M Melhuish B1 (play#8 pitch seq) — no batting stats in that capacity; entered as batter for G Knauss (play#39, B4); play#52 dropped 3rd strike (K, out at 1B); Flag #8</t>
        </is>
      </c>
    </row>
    <row r="335" ht="15.75" customHeight="1" s="35">
      <c r="A335" s="8" t="inlineStr">
        <is>
          <t>2026-03-07_DMSC_at_GLNL</t>
        </is>
      </c>
      <c r="B335" s="2" t="n">
        <v>46088</v>
      </c>
      <c r="C335" s="8" t="inlineStr">
        <is>
          <t>DMSC</t>
        </is>
      </c>
      <c r="D335" s="8" t="inlineStr">
        <is>
          <t>GLNL</t>
        </is>
      </c>
      <c r="E335" s="8" t="inlineStr">
        <is>
          <t>S Tong</t>
        </is>
      </c>
      <c r="F335" s="8" t="n">
        <v>3</v>
      </c>
      <c r="G335" s="8" t="n">
        <v>1</v>
      </c>
      <c r="H335" s="8" t="n">
        <v>0</v>
      </c>
      <c r="I335" s="8" t="n">
        <v>0</v>
      </c>
      <c r="J335" s="8" t="n">
        <v>0</v>
      </c>
      <c r="K335" s="8" t="n">
        <v>0</v>
      </c>
      <c r="L335" s="8" t="n">
        <v>0</v>
      </c>
      <c r="M335" s="8" t="n">
        <v>2</v>
      </c>
      <c r="N335" s="8" t="n">
        <v>0</v>
      </c>
      <c r="O335" s="8" t="n">
        <v>0</v>
      </c>
      <c r="P335" s="8" t="n">
        <v>0</v>
      </c>
      <c r="Q335" s="8" t="n">
        <v>0</v>
      </c>
      <c r="R335" s="8" t="n">
        <v>1</v>
      </c>
      <c r="S335" s="8" t="n">
        <v>0</v>
      </c>
      <c r="T335" s="8" t="n">
        <v>0</v>
      </c>
      <c r="U335" s="8" t="n">
        <v>0</v>
      </c>
      <c r="V335" s="8" t="n">
        <v>0</v>
      </c>
      <c r="W335" s="8" t="n">
        <v>0</v>
      </c>
      <c r="X335" s="8" t="n">
        <v>0</v>
      </c>
      <c r="Y335" s="8" t="inlineStr">
        <is>
          <t>Entry without lineup change note (play#40, B4); undocumented sub for A Baker; scored on C Lease single (play#43)</t>
        </is>
      </c>
    </row>
    <row r="336" ht="15.75" customHeight="1" s="35">
      <c r="A336" s="8" t="inlineStr">
        <is>
          <t>2026-03-07_DMSC_at_GLNL</t>
        </is>
      </c>
      <c r="B336" s="2" t="n">
        <v>46088</v>
      </c>
      <c r="C336" s="8" t="inlineStr">
        <is>
          <t>DMSC</t>
        </is>
      </c>
      <c r="D336" s="8" t="inlineStr">
        <is>
          <t>GLNL</t>
        </is>
      </c>
      <c r="E336" s="8" t="inlineStr">
        <is>
          <t>J Miles</t>
        </is>
      </c>
      <c r="F336" s="8" t="n">
        <v>2</v>
      </c>
      <c r="G336" s="8" t="n">
        <v>1</v>
      </c>
      <c r="H336" s="8" t="n">
        <v>0</v>
      </c>
      <c r="I336" s="8" t="n">
        <v>0</v>
      </c>
      <c r="J336" s="8" t="n">
        <v>0</v>
      </c>
      <c r="K336" s="8" t="n">
        <v>0</v>
      </c>
      <c r="L336" s="8" t="n">
        <v>0</v>
      </c>
      <c r="M336" s="8" t="n">
        <v>1</v>
      </c>
      <c r="N336" s="8" t="n">
        <v>0</v>
      </c>
      <c r="O336" s="8" t="n">
        <v>0</v>
      </c>
      <c r="P336" s="8" t="n">
        <v>0</v>
      </c>
      <c r="Q336" s="8" t="n">
        <v>0</v>
      </c>
      <c r="R336" s="8" t="n">
        <v>1</v>
      </c>
      <c r="S336" s="8" t="n">
        <v>0</v>
      </c>
      <c r="T336" s="8" t="n">
        <v>0</v>
      </c>
      <c r="U336" s="8" t="n">
        <v>0</v>
      </c>
      <c r="V336" s="8" t="n">
        <v>0</v>
      </c>
      <c r="W336" s="8" t="n">
        <v>0</v>
      </c>
      <c r="X336" s="8" t="n">
        <v>0</v>
      </c>
      <c r="Y336" s="8" t="inlineStr">
        <is>
          <t>Also pitcher T3; entered for batter M Melhuish (play#41, B4); scored on C Lease single (play#43); replaced by M Melhuish (play#65, B6)</t>
        </is>
      </c>
    </row>
    <row r="337" ht="15.75" customHeight="1" s="35">
      <c r="A337" s="8" t="inlineStr">
        <is>
          <t>2026-03-07_DMSC_at_GLNL</t>
        </is>
      </c>
      <c r="B337" s="2" t="n">
        <v>46088</v>
      </c>
      <c r="C337" s="8" t="inlineStr">
        <is>
          <t>DMSC</t>
        </is>
      </c>
      <c r="D337" s="8" t="inlineStr">
        <is>
          <t>GLNL</t>
        </is>
      </c>
      <c r="E337" s="8" t="inlineStr">
        <is>
          <t>B Burckhardt</t>
        </is>
      </c>
      <c r="F337" s="8" t="n">
        <v>2</v>
      </c>
      <c r="G337" s="8" t="n">
        <v>1</v>
      </c>
      <c r="H337" s="8" t="n">
        <v>1</v>
      </c>
      <c r="I337" s="8" t="n">
        <v>1</v>
      </c>
      <c r="J337" s="8" t="n">
        <v>0</v>
      </c>
      <c r="K337" s="8" t="n">
        <v>0</v>
      </c>
      <c r="L337" s="8" t="n">
        <v>0</v>
      </c>
      <c r="M337" s="8" t="n">
        <v>1</v>
      </c>
      <c r="N337" s="8" t="n">
        <v>0</v>
      </c>
      <c r="O337" s="8" t="n">
        <v>0</v>
      </c>
      <c r="P337" s="8" t="n">
        <v>0</v>
      </c>
      <c r="Q337" s="8" t="n">
        <v>0</v>
      </c>
      <c r="R337" s="8" t="n">
        <v>1</v>
      </c>
      <c r="S337" s="8" t="n">
        <v>0</v>
      </c>
      <c r="T337" s="8" t="n">
        <v>0</v>
      </c>
      <c r="U337" s="8" t="n">
        <v>0</v>
      </c>
      <c r="V337" s="8" t="n">
        <v>0</v>
      </c>
      <c r="W337" s="8" t="n">
        <v>0</v>
      </c>
      <c r="X337" s="8" t="n">
        <v>0</v>
      </c>
      <c r="Y337" s="8" t="inlineStr">
        <is>
          <t>Entered for batter B Conlon (play#42, B4); scored on B Harms SAC fly (play#62, B6)</t>
        </is>
      </c>
    </row>
    <row r="338" ht="15.75" customHeight="1" s="35">
      <c r="A338" s="8" t="inlineStr">
        <is>
          <t>2026-03-07_DMSC_at_GLNL</t>
        </is>
      </c>
      <c r="B338" s="2" t="n">
        <v>46088</v>
      </c>
      <c r="C338" s="8" t="inlineStr">
        <is>
          <t>DMSC</t>
        </is>
      </c>
      <c r="D338" s="8" t="inlineStr">
        <is>
          <t>GLNL</t>
        </is>
      </c>
      <c r="E338" s="8" t="inlineStr">
        <is>
          <t>C Lease</t>
        </is>
      </c>
      <c r="F338" s="8" t="n">
        <v>2</v>
      </c>
      <c r="G338" s="8" t="n">
        <v>2</v>
      </c>
      <c r="H338" s="8" t="n">
        <v>2</v>
      </c>
      <c r="I338" s="8" t="n">
        <v>2</v>
      </c>
      <c r="J338" s="8" t="n">
        <v>0</v>
      </c>
      <c r="K338" s="8" t="n">
        <v>0</v>
      </c>
      <c r="L338" s="8" t="n">
        <v>0</v>
      </c>
      <c r="M338" s="8" t="n">
        <v>0</v>
      </c>
      <c r="N338" s="8" t="n">
        <v>0</v>
      </c>
      <c r="O338" s="8" t="n">
        <v>0</v>
      </c>
      <c r="P338" s="8" t="n">
        <v>0</v>
      </c>
      <c r="Q338" s="8" t="n">
        <v>0</v>
      </c>
      <c r="R338" s="8" t="n">
        <v>0</v>
      </c>
      <c r="S338" s="8" t="n">
        <v>2</v>
      </c>
      <c r="T338" s="8" t="n">
        <v>0</v>
      </c>
      <c r="U338" s="8" t="n">
        <v>0</v>
      </c>
      <c r="V338" s="8" t="n">
        <v>0</v>
      </c>
      <c r="W338" s="8" t="n">
        <v>0</v>
      </c>
      <c r="X338" s="8" t="n">
        <v>0</v>
      </c>
      <c r="Y338" s="8" t="inlineStr">
        <is>
          <t>Entry without lineup change note (play#43, B4); CR P Moreau in for C Lease after play#43; 2 RBI play#43 (S Tong + J Miles score); reappears as batter B6 per Flag #4</t>
        </is>
      </c>
    </row>
    <row r="339" ht="15.75" customHeight="1" s="35">
      <c r="A339" s="8" t="inlineStr">
        <is>
          <t>2026-03-07_DMSC_at_GLNL</t>
        </is>
      </c>
      <c r="B339" s="2" t="n">
        <v>46088</v>
      </c>
      <c r="C339" s="8" t="inlineStr">
        <is>
          <t>DMSC</t>
        </is>
      </c>
      <c r="D339" s="8" t="inlineStr">
        <is>
          <t>GLNL</t>
        </is>
      </c>
      <c r="E339" s="8" t="inlineStr">
        <is>
          <t>M Beares</t>
        </is>
      </c>
      <c r="F339" s="8" t="n">
        <v>2</v>
      </c>
      <c r="G339" s="8" t="n">
        <v>2</v>
      </c>
      <c r="H339" s="8" t="n">
        <v>0</v>
      </c>
      <c r="I339" s="8" t="n">
        <v>0</v>
      </c>
      <c r="J339" s="8" t="n">
        <v>0</v>
      </c>
      <c r="K339" s="8" t="n">
        <v>0</v>
      </c>
      <c r="L339" s="8" t="n">
        <v>0</v>
      </c>
      <c r="M339" s="8" t="n">
        <v>0</v>
      </c>
      <c r="N339" s="8" t="n">
        <v>0</v>
      </c>
      <c r="O339" s="8" t="n">
        <v>1</v>
      </c>
      <c r="P339" s="8" t="n">
        <v>0</v>
      </c>
      <c r="Q339" s="8" t="n">
        <v>1</v>
      </c>
      <c r="R339" s="8" t="n">
        <v>0</v>
      </c>
      <c r="S339" s="8" t="n">
        <v>0</v>
      </c>
      <c r="T339" s="8" t="n">
        <v>0</v>
      </c>
      <c r="U339" s="8" t="n">
        <v>0</v>
      </c>
      <c r="V339" s="8" t="n">
        <v>0</v>
      </c>
      <c r="W339" s="8" t="n">
        <v>0</v>
      </c>
      <c r="X339" s="8" t="n">
        <v>0</v>
      </c>
      <c r="Y339" s="8" t="inlineStr">
        <is>
          <t>Entered for batter A Nazelrod (play#44, B4)</t>
        </is>
      </c>
    </row>
    <row r="340" ht="15.75" customHeight="1" s="35">
      <c r="A340" s="8" t="inlineStr">
        <is>
          <t>2026-03-07_DMSC_at_GLNL</t>
        </is>
      </c>
      <c r="B340" s="2" t="n">
        <v>46088</v>
      </c>
      <c r="C340" s="8" t="inlineStr">
        <is>
          <t>DMSC</t>
        </is>
      </c>
      <c r="D340" s="8" t="inlineStr">
        <is>
          <t>GLNL</t>
        </is>
      </c>
      <c r="E340" s="8" t="inlineStr">
        <is>
          <t>B Harms</t>
        </is>
      </c>
      <c r="F340" s="8" t="n">
        <v>2</v>
      </c>
      <c r="G340" s="8" t="n">
        <v>1</v>
      </c>
      <c r="H340" s="8" t="n">
        <v>0</v>
      </c>
      <c r="I340" s="8" t="n">
        <v>0</v>
      </c>
      <c r="J340" s="8" t="n">
        <v>0</v>
      </c>
      <c r="K340" s="8" t="n">
        <v>0</v>
      </c>
      <c r="L340" s="8" t="n">
        <v>0</v>
      </c>
      <c r="M340" s="8" t="n">
        <v>0</v>
      </c>
      <c r="N340" s="8" t="n">
        <v>0</v>
      </c>
      <c r="O340" s="8" t="n">
        <v>1</v>
      </c>
      <c r="P340" s="8" t="n">
        <v>1</v>
      </c>
      <c r="Q340" s="8" t="n">
        <v>0</v>
      </c>
      <c r="R340" s="8" t="n">
        <v>0</v>
      </c>
      <c r="S340" s="8" t="n">
        <v>1</v>
      </c>
      <c r="T340" s="8" t="n">
        <v>0</v>
      </c>
      <c r="U340" s="8" t="n">
        <v>0</v>
      </c>
      <c r="V340" s="8" t="n">
        <v>0</v>
      </c>
      <c r="W340" s="8" t="n">
        <v>1</v>
      </c>
      <c r="X340" s="8" t="n">
        <v>0</v>
      </c>
      <c r="Y340" s="8" t="inlineStr">
        <is>
          <t>Entered for batter P Moreau (play#51, B5); SAC fly B6 play#62 (B Burckhardt scores); RBI credited on SAC fly</t>
        </is>
      </c>
    </row>
    <row r="341" ht="15.75" customHeight="1" s="35">
      <c r="A341" s="8" t="inlineStr">
        <is>
          <t>2026-03-14_GLNL_at_OKDL</t>
        </is>
      </c>
      <c r="B341" s="2" t="n">
        <v>46095</v>
      </c>
      <c r="C341" s="8" t="inlineStr">
        <is>
          <t>OKDL</t>
        </is>
      </c>
      <c r="D341" s="8" t="inlineStr">
        <is>
          <t>GLNL</t>
        </is>
      </c>
      <c r="E341" s="8" t="inlineStr">
        <is>
          <t>E Laprise</t>
        </is>
      </c>
      <c r="F341" s="8" t="n">
        <v>2</v>
      </c>
      <c r="G341" s="8" t="n">
        <v>2</v>
      </c>
      <c r="H341" s="8" t="n">
        <v>0</v>
      </c>
      <c r="I341" s="8" t="n">
        <v>0</v>
      </c>
      <c r="J341" s="8" t="n">
        <v>0</v>
      </c>
      <c r="K341" s="8" t="n">
        <v>0</v>
      </c>
      <c r="L341" s="8" t="n">
        <v>0</v>
      </c>
      <c r="M341" s="8" t="n">
        <v>0</v>
      </c>
      <c r="N341" s="8" t="n">
        <v>0</v>
      </c>
      <c r="O341" s="8" t="n">
        <v>1</v>
      </c>
      <c r="P341" s="8" t="n">
        <v>0</v>
      </c>
      <c r="Q341" s="8" t="n">
        <v>1</v>
      </c>
      <c r="R341" s="8" t="n">
        <v>0</v>
      </c>
      <c r="S341" s="8" t="n">
        <v>0</v>
      </c>
      <c r="T341" s="8" t="n">
        <v>0</v>
      </c>
      <c r="U341" s="8" t="n">
        <v>0</v>
      </c>
      <c r="V341" s="8" t="n">
        <v>0</v>
      </c>
      <c r="W341" s="8" t="n">
        <v>0</v>
      </c>
      <c r="X341" s="8" t="n">
        <v>0</v>
      </c>
      <c r="Y341" s="8" t="inlineStr">
        <is>
          <t>K_S play#1 (Seq#1 Strike 3 swinging); replaced by J Jones (play#41, T5)</t>
        </is>
      </c>
    </row>
    <row r="342" ht="15.75" customHeight="1" s="35">
      <c r="A342" s="8" t="inlineStr">
        <is>
          <t>2026-03-14_GLNL_at_OKDL</t>
        </is>
      </c>
      <c r="B342" s="2" t="n">
        <v>46095</v>
      </c>
      <c r="C342" s="8" t="inlineStr">
        <is>
          <t>OKDL</t>
        </is>
      </c>
      <c r="D342" s="8" t="inlineStr">
        <is>
          <t>GLNL</t>
        </is>
      </c>
      <c r="E342" s="8" t="inlineStr">
        <is>
          <t>A Baker</t>
        </is>
      </c>
      <c r="F342" s="8" t="n">
        <v>3</v>
      </c>
      <c r="G342" s="8" t="n">
        <v>2</v>
      </c>
      <c r="H342" s="8" t="n">
        <v>2</v>
      </c>
      <c r="I342" s="8" t="n">
        <v>2</v>
      </c>
      <c r="J342" s="8" t="n">
        <v>0</v>
      </c>
      <c r="K342" s="8" t="n">
        <v>0</v>
      </c>
      <c r="L342" s="8" t="n">
        <v>0</v>
      </c>
      <c r="M342" s="8" t="n">
        <v>1</v>
      </c>
      <c r="N342" s="8" t="n">
        <v>0</v>
      </c>
      <c r="O342" s="8" t="n">
        <v>0</v>
      </c>
      <c r="P342" s="8" t="n">
        <v>0</v>
      </c>
      <c r="Q342" s="8" t="n">
        <v>0</v>
      </c>
      <c r="R342" s="8" t="n">
        <v>0</v>
      </c>
      <c r="S342" s="8" t="n">
        <v>0</v>
      </c>
      <c r="T342" s="8" t="n">
        <v>0</v>
      </c>
      <c r="U342" s="8" t="n">
        <v>1</v>
      </c>
      <c r="V342" s="8" t="n">
        <v>0</v>
      </c>
      <c r="W342" s="8" t="n">
        <v>0</v>
      </c>
      <c r="X342" s="8" t="n">
        <v>0</v>
      </c>
      <c r="Y342" s="8" t="inlineStr">
        <is>
          <t>CR P Moreau in for A Baker after play#45 (Top 6th); P Moreau CS home play#47 embedded (Flag#5) — CS credited to A Baker per CR convention; also pitcher B5 (entry inferred, Flag#1)</t>
        </is>
      </c>
    </row>
    <row r="343" ht="15.75" customHeight="1" s="35">
      <c r="A343" s="8" t="inlineStr">
        <is>
          <t>2026-03-14_GLNL_at_OKDL</t>
        </is>
      </c>
      <c r="B343" s="2" t="n">
        <v>46095</v>
      </c>
      <c r="C343" s="8" t="inlineStr">
        <is>
          <t>OKDL</t>
        </is>
      </c>
      <c r="D343" s="8" t="inlineStr">
        <is>
          <t>GLNL</t>
        </is>
      </c>
      <c r="E343" s="8" t="inlineStr">
        <is>
          <t>M Melhuish</t>
        </is>
      </c>
      <c r="F343" s="8" t="n">
        <v>3</v>
      </c>
      <c r="G343" s="8" t="n">
        <v>2</v>
      </c>
      <c r="H343" s="8" t="n">
        <v>0</v>
      </c>
      <c r="I343" s="8" t="n">
        <v>0</v>
      </c>
      <c r="J343" s="8" t="n">
        <v>0</v>
      </c>
      <c r="K343" s="8" t="n">
        <v>0</v>
      </c>
      <c r="L343" s="8" t="n">
        <v>0</v>
      </c>
      <c r="M343" s="8" t="n">
        <v>1</v>
      </c>
      <c r="N343" s="8" t="n">
        <v>0</v>
      </c>
      <c r="O343" s="8" t="n">
        <v>0</v>
      </c>
      <c r="P343" s="8" t="n">
        <v>0</v>
      </c>
      <c r="Q343" s="8" t="n">
        <v>0</v>
      </c>
      <c r="R343" s="8" t="n">
        <v>1</v>
      </c>
      <c r="S343" s="8" t="n">
        <v>0</v>
      </c>
      <c r="T343" s="8" t="n">
        <v>0</v>
      </c>
      <c r="U343" s="8" t="n">
        <v>0</v>
      </c>
      <c r="V343" s="8" t="n">
        <v>1</v>
      </c>
      <c r="W343" s="8" t="n">
        <v>0</v>
      </c>
      <c r="X343" s="8" t="n">
        <v>0</v>
      </c>
      <c r="Y343" s="8" t="inlineStr">
        <is>
          <t>GDP play#3 (DP T1); scored on S Tong single (play#47, T6); advanced 3B on E by K Huynh (play#47 embedded, Flag#8)</t>
        </is>
      </c>
    </row>
    <row r="344" ht="15.75" customHeight="1" s="35">
      <c r="A344" s="8" t="inlineStr">
        <is>
          <t>2026-03-14_GLNL_at_OKDL</t>
        </is>
      </c>
      <c r="B344" s="2" t="n">
        <v>46095</v>
      </c>
      <c r="C344" s="8" t="inlineStr">
        <is>
          <t>OKDL</t>
        </is>
      </c>
      <c r="D344" s="8" t="inlineStr">
        <is>
          <t>GLNL</t>
        </is>
      </c>
      <c r="E344" s="8" t="inlineStr">
        <is>
          <t>B Conlon</t>
        </is>
      </c>
      <c r="F344" s="8" t="n">
        <v>2</v>
      </c>
      <c r="G344" s="8" t="n">
        <v>2</v>
      </c>
      <c r="H344" s="8" t="n">
        <v>2</v>
      </c>
      <c r="I344" s="8" t="n">
        <v>2</v>
      </c>
      <c r="J344" s="8" t="n">
        <v>0</v>
      </c>
      <c r="K344" s="8" t="n">
        <v>0</v>
      </c>
      <c r="L344" s="8" t="n">
        <v>0</v>
      </c>
      <c r="M344" s="8" t="n">
        <v>0</v>
      </c>
      <c r="N344" s="8" t="n">
        <v>0</v>
      </c>
      <c r="O344" s="8" t="n">
        <v>0</v>
      </c>
      <c r="P344" s="8" t="n">
        <v>0</v>
      </c>
      <c r="Q344" s="8" t="n">
        <v>0</v>
      </c>
      <c r="R344" s="8" t="n">
        <v>1</v>
      </c>
      <c r="S344" s="8" t="n">
        <v>0</v>
      </c>
      <c r="T344" s="8" t="n">
        <v>1</v>
      </c>
      <c r="U344" s="8" t="n">
        <v>0</v>
      </c>
      <c r="V344" s="8" t="n">
        <v>0</v>
      </c>
      <c r="W344" s="8" t="n">
        <v>0</v>
      </c>
      <c r="X344" s="8" t="n">
        <v>0</v>
      </c>
      <c r="Y344" s="8" t="inlineStr">
        <is>
          <t>SB play#13 embedded (A Nazelrod AB, T2); scored on A Nazelrod single (play#13); also pitcher B3-B4 (entry inferred, Flag#1); replaced by S Tong (play#47, T6)</t>
        </is>
      </c>
    </row>
    <row r="345" ht="15.75" customHeight="1" s="35">
      <c r="A345" s="8" t="inlineStr">
        <is>
          <t>2026-03-14_GLNL_at_OKDL</t>
        </is>
      </c>
      <c r="B345" s="2" t="n">
        <v>46095</v>
      </c>
      <c r="C345" s="8" t="inlineStr">
        <is>
          <t>OKDL</t>
        </is>
      </c>
      <c r="D345" s="8" t="inlineStr">
        <is>
          <t>GLNL</t>
        </is>
      </c>
      <c r="E345" s="8" t="inlineStr">
        <is>
          <t>J Miles</t>
        </is>
      </c>
      <c r="F345" s="8" t="n">
        <v>2</v>
      </c>
      <c r="G345" s="8" t="n">
        <v>2</v>
      </c>
      <c r="H345" s="8" t="n">
        <v>0</v>
      </c>
      <c r="I345" s="8" t="n">
        <v>0</v>
      </c>
      <c r="J345" s="8" t="n">
        <v>0</v>
      </c>
      <c r="K345" s="8" t="n">
        <v>0</v>
      </c>
      <c r="L345" s="8" t="n">
        <v>0</v>
      </c>
      <c r="M345" s="8" t="n">
        <v>0</v>
      </c>
      <c r="N345" s="8" t="n">
        <v>0</v>
      </c>
      <c r="O345" s="8" t="n">
        <v>1</v>
      </c>
      <c r="P345" s="8" t="n">
        <v>0</v>
      </c>
      <c r="Q345" s="8" t="n">
        <v>1</v>
      </c>
      <c r="R345" s="8" t="n">
        <v>0</v>
      </c>
      <c r="S345" s="8" t="n">
        <v>0</v>
      </c>
      <c r="T345" s="8" t="n">
        <v>0</v>
      </c>
      <c r="U345" s="8" t="n">
        <v>0</v>
      </c>
      <c r="V345" s="8" t="n">
        <v>0</v>
      </c>
      <c r="W345" s="8" t="n">
        <v>0</v>
      </c>
      <c r="X345" s="8" t="n">
        <v>0</v>
      </c>
      <c r="Y345" s="8" t="inlineStr">
        <is>
          <t>K_S play#11 (Seq#11 Strike 3 swinging); also pitcher B1-B2 (entry inferred, Flag#1); replaced by B Burckhardt (play#48, T6)</t>
        </is>
      </c>
    </row>
    <row r="346" ht="15.75" customHeight="1" s="35">
      <c r="A346" s="8" t="inlineStr">
        <is>
          <t>2026-03-14_GLNL_at_OKDL</t>
        </is>
      </c>
      <c r="B346" s="2" t="n">
        <v>46095</v>
      </c>
      <c r="C346" s="8" t="inlineStr">
        <is>
          <t>OKDL</t>
        </is>
      </c>
      <c r="D346" s="8" t="inlineStr">
        <is>
          <t>GLNL</t>
        </is>
      </c>
      <c r="E346" s="8" t="inlineStr">
        <is>
          <t>C Brown</t>
        </is>
      </c>
      <c r="F346" s="8" t="n">
        <v>2</v>
      </c>
      <c r="G346" s="8" t="n">
        <v>2</v>
      </c>
      <c r="H346" s="8" t="n">
        <v>0</v>
      </c>
      <c r="I346" s="8" t="n">
        <v>0</v>
      </c>
      <c r="J346" s="8" t="n">
        <v>0</v>
      </c>
      <c r="K346" s="8" t="n">
        <v>0</v>
      </c>
      <c r="L346" s="8" t="n">
        <v>0</v>
      </c>
      <c r="M346" s="8" t="n">
        <v>0</v>
      </c>
      <c r="N346" s="8" t="n">
        <v>0</v>
      </c>
      <c r="O346" s="8" t="n">
        <v>1</v>
      </c>
      <c r="P346" s="8" t="n">
        <v>1</v>
      </c>
      <c r="Q346" s="8" t="n">
        <v>0</v>
      </c>
      <c r="R346" s="8" t="n">
        <v>0</v>
      </c>
      <c r="S346" s="8" t="n">
        <v>0</v>
      </c>
      <c r="T346" s="8" t="n">
        <v>0</v>
      </c>
      <c r="U346" s="8" t="n">
        <v>0</v>
      </c>
      <c r="V346" s="8" t="n">
        <v>0</v>
      </c>
      <c r="W346" s="8" t="n">
        <v>0</v>
      </c>
      <c r="X346" s="8" t="n">
        <v>0</v>
      </c>
      <c r="Y346" s="8" t="inlineStr">
        <is>
          <t>K_L play#12 (Seq#12 Strike 3 looking); replaced by B Harms (play#49, T6)</t>
        </is>
      </c>
    </row>
    <row r="347" ht="15.75" customHeight="1" s="35">
      <c r="A347" s="8" t="inlineStr">
        <is>
          <t>2026-03-14_GLNL_at_OKDL</t>
        </is>
      </c>
      <c r="B347" s="2" t="n">
        <v>46095</v>
      </c>
      <c r="C347" s="8" t="inlineStr">
        <is>
          <t>OKDL</t>
        </is>
      </c>
      <c r="D347" s="8" t="inlineStr">
        <is>
          <t>GLNL</t>
        </is>
      </c>
      <c r="E347" s="8" t="inlineStr">
        <is>
          <t>A Nazelrod</t>
        </is>
      </c>
      <c r="F347" s="8" t="n">
        <v>3</v>
      </c>
      <c r="G347" s="8" t="n">
        <v>3</v>
      </c>
      <c r="H347" s="8" t="n">
        <v>2</v>
      </c>
      <c r="I347" s="8" t="n">
        <v>2</v>
      </c>
      <c r="J347" s="8" t="n">
        <v>0</v>
      </c>
      <c r="K347" s="8" t="n">
        <v>0</v>
      </c>
      <c r="L347" s="8" t="n">
        <v>0</v>
      </c>
      <c r="M347" s="8" t="n">
        <v>0</v>
      </c>
      <c r="N347" s="8" t="n">
        <v>0</v>
      </c>
      <c r="O347" s="8" t="n">
        <v>0</v>
      </c>
      <c r="P347" s="8" t="n">
        <v>0</v>
      </c>
      <c r="Q347" s="8" t="n">
        <v>0</v>
      </c>
      <c r="R347" s="8" t="n">
        <v>0</v>
      </c>
      <c r="S347" s="8" t="n">
        <v>1</v>
      </c>
      <c r="T347" s="8" t="n">
        <v>0</v>
      </c>
      <c r="U347" s="8" t="n">
        <v>0</v>
      </c>
      <c r="V347" s="8" t="n">
        <v>0</v>
      </c>
      <c r="W347" s="8" t="n">
        <v>0</v>
      </c>
      <c r="X347" s="8" t="n">
        <v>0</v>
      </c>
      <c r="Y347" s="8" t="inlineStr">
        <is>
          <t>RBI play#13 (B Conlon scores on single); adv to 2nd on throw (play#13); adv to 2nd on WP (play#55 embedded, T7 — stranded)</t>
        </is>
      </c>
    </row>
    <row r="348" ht="15.75" customHeight="1" s="35">
      <c r="A348" s="8" t="inlineStr">
        <is>
          <t>2026-03-14_GLNL_at_OKDL</t>
        </is>
      </c>
      <c r="B348" s="2" t="n">
        <v>46095</v>
      </c>
      <c r="C348" s="8" t="inlineStr">
        <is>
          <t>OKDL</t>
        </is>
      </c>
      <c r="D348" s="8" t="inlineStr">
        <is>
          <t>GLNL</t>
        </is>
      </c>
      <c r="E348" s="8" t="inlineStr">
        <is>
          <t>G Melhuish</t>
        </is>
      </c>
      <c r="F348" s="8" t="n">
        <v>2</v>
      </c>
      <c r="G348" s="8" t="n">
        <v>2</v>
      </c>
      <c r="H348" s="8" t="n">
        <v>0</v>
      </c>
      <c r="I348" s="8" t="n">
        <v>0</v>
      </c>
      <c r="J348" s="8" t="n">
        <v>0</v>
      </c>
      <c r="K348" s="8" t="n">
        <v>0</v>
      </c>
      <c r="L348" s="8" t="n">
        <v>0</v>
      </c>
      <c r="M348" s="8" t="n">
        <v>0</v>
      </c>
      <c r="N348" s="8" t="n">
        <v>0</v>
      </c>
      <c r="O348" s="8" t="n">
        <v>1</v>
      </c>
      <c r="P348" s="8" t="n">
        <v>1</v>
      </c>
      <c r="Q348" s="8" t="n">
        <v>0</v>
      </c>
      <c r="R348" s="8" t="n">
        <v>0</v>
      </c>
      <c r="S348" s="8" t="n">
        <v>0</v>
      </c>
      <c r="T348" s="8" t="n">
        <v>0</v>
      </c>
      <c r="U348" s="8" t="n">
        <v>0</v>
      </c>
      <c r="V348" s="8" t="n">
        <v>0</v>
      </c>
      <c r="W348" s="8" t="n">
        <v>0</v>
      </c>
      <c r="X348" s="8" t="n">
        <v>0</v>
      </c>
      <c r="Y348" s="8" t="inlineStr">
        <is>
          <t>K_L play#14 (Seq#14 Strike 3 looking); replaced by C Lease (play#54, T7); also catcher — replaced defensively by C Lease prior to B6 per Flag#4</t>
        </is>
      </c>
    </row>
    <row r="349" ht="15.75" customHeight="1" s="35">
      <c r="A349" s="8" t="inlineStr">
        <is>
          <t>2026-03-14_GLNL_at_OKDL</t>
        </is>
      </c>
      <c r="B349" s="2" t="n">
        <v>46095</v>
      </c>
      <c r="C349" s="8" t="inlineStr">
        <is>
          <t>OKDL</t>
        </is>
      </c>
      <c r="D349" s="8" t="inlineStr">
        <is>
          <t>GLNL</t>
        </is>
      </c>
      <c r="E349" s="8" t="inlineStr">
        <is>
          <t>M Beares</t>
        </is>
      </c>
      <c r="F349" s="8" t="n">
        <v>3</v>
      </c>
      <c r="G349" s="8" t="n">
        <v>3</v>
      </c>
      <c r="H349" s="8" t="n">
        <v>0</v>
      </c>
      <c r="I349" s="8" t="n">
        <v>0</v>
      </c>
      <c r="J349" s="8" t="n">
        <v>0</v>
      </c>
      <c r="K349" s="8" t="n">
        <v>0</v>
      </c>
      <c r="L349" s="8" t="n">
        <v>0</v>
      </c>
      <c r="M349" s="8" t="n">
        <v>0</v>
      </c>
      <c r="N349" s="8" t="n">
        <v>0</v>
      </c>
      <c r="O349" s="8" t="n">
        <v>3</v>
      </c>
      <c r="P349" s="8" t="n">
        <v>2</v>
      </c>
      <c r="Q349" s="8" t="n">
        <v>1</v>
      </c>
      <c r="R349" s="8" t="n">
        <v>0</v>
      </c>
      <c r="S349" s="8" t="n">
        <v>0</v>
      </c>
      <c r="T349" s="8" t="n">
        <v>0</v>
      </c>
      <c r="U349" s="8" t="n">
        <v>0</v>
      </c>
      <c r="V349" s="8" t="n">
        <v>0</v>
      </c>
      <c r="W349" s="8" t="n">
        <v>0</v>
      </c>
      <c r="X349" s="8" t="n">
        <v>0</v>
      </c>
      <c r="Y349" s="8" t="inlineStr">
        <is>
          <t>K_L play#21 (Seq#21 final pitch Strike 3 looking — contradicts play desc 'swinging'; pitch seq governs per rules); K_S play#40 (Seq#40 Strike 3 swinging); K_L play#55 (Seq#55 Strike 3 looking)</t>
        </is>
      </c>
    </row>
    <row r="350" ht="15.75" customHeight="1" s="35">
      <c r="A350" s="8" t="inlineStr">
        <is>
          <t>2026-03-14_GLNL_at_OKDL</t>
        </is>
      </c>
      <c r="B350" s="2" t="n">
        <v>46095</v>
      </c>
      <c r="C350" s="8" t="inlineStr">
        <is>
          <t>OKDL</t>
        </is>
      </c>
      <c r="D350" s="8" t="inlineStr">
        <is>
          <t>GLNL</t>
        </is>
      </c>
      <c r="E350" s="8" t="inlineStr">
        <is>
          <t>J Jones</t>
        </is>
      </c>
      <c r="F350" s="8" t="n">
        <v>2</v>
      </c>
      <c r="G350" s="8" t="n">
        <v>2</v>
      </c>
      <c r="H350" s="8" t="n">
        <v>0</v>
      </c>
      <c r="I350" s="8" t="n">
        <v>0</v>
      </c>
      <c r="J350" s="8" t="n">
        <v>0</v>
      </c>
      <c r="K350" s="8" t="n">
        <v>0</v>
      </c>
      <c r="L350" s="8" t="n">
        <v>0</v>
      </c>
      <c r="M350" s="8" t="n">
        <v>0</v>
      </c>
      <c r="N350" s="8" t="n">
        <v>0</v>
      </c>
      <c r="O350" s="8" t="n">
        <v>1</v>
      </c>
      <c r="P350" s="8" t="n">
        <v>0</v>
      </c>
      <c r="Q350" s="8" t="n">
        <v>1</v>
      </c>
      <c r="R350" s="8" t="n">
        <v>0</v>
      </c>
      <c r="S350" s="8" t="n">
        <v>0</v>
      </c>
      <c r="T350" s="8" t="n">
        <v>0</v>
      </c>
      <c r="U350" s="8" t="n">
        <v>0</v>
      </c>
      <c r="V350" s="8" t="n">
        <v>0</v>
      </c>
      <c r="W350" s="8" t="n">
        <v>0</v>
      </c>
      <c r="X350" s="8" t="n">
        <v>0</v>
      </c>
      <c r="Y350" s="8" t="inlineStr">
        <is>
          <t>Entered for batter E Laprise (play#41, T5); K_S play#56 (Seq#56 Strike 3 swinging)</t>
        </is>
      </c>
    </row>
    <row r="351" ht="15.75" customHeight="1" s="35">
      <c r="A351" s="8" t="inlineStr">
        <is>
          <t>2026-03-14_GLNL_at_OKDL</t>
        </is>
      </c>
      <c r="B351" s="2" t="n">
        <v>46095</v>
      </c>
      <c r="C351" s="8" t="inlineStr">
        <is>
          <t>OKDL</t>
        </is>
      </c>
      <c r="D351" s="8" t="inlineStr">
        <is>
          <t>GLNL</t>
        </is>
      </c>
      <c r="E351" s="8" t="inlineStr">
        <is>
          <t>S Tong</t>
        </is>
      </c>
      <c r="F351" s="8" t="n">
        <v>1</v>
      </c>
      <c r="G351" s="8" t="n">
        <v>1</v>
      </c>
      <c r="H351" s="8" t="n">
        <v>1</v>
      </c>
      <c r="I351" s="8" t="n">
        <v>1</v>
      </c>
      <c r="J351" s="8" t="n">
        <v>0</v>
      </c>
      <c r="K351" s="8" t="n">
        <v>0</v>
      </c>
      <c r="L351" s="8" t="n">
        <v>0</v>
      </c>
      <c r="M351" s="8" t="n">
        <v>0</v>
      </c>
      <c r="N351" s="8" t="n">
        <v>0</v>
      </c>
      <c r="O351" s="8" t="n">
        <v>0</v>
      </c>
      <c r="P351" s="8" t="n">
        <v>0</v>
      </c>
      <c r="Q351" s="8" t="n">
        <v>0</v>
      </c>
      <c r="R351" s="8" t="n">
        <v>0</v>
      </c>
      <c r="S351" s="8" t="n">
        <v>1</v>
      </c>
      <c r="T351" s="8" t="n">
        <v>0</v>
      </c>
      <c r="U351" s="8" t="n">
        <v>0</v>
      </c>
      <c r="V351" s="8" t="n">
        <v>0</v>
      </c>
      <c r="W351" s="8" t="n">
        <v>0</v>
      </c>
      <c r="X351" s="8" t="n">
        <v>0</v>
      </c>
      <c r="Y351" s="8" t="inlineStr">
        <is>
          <t>Entered for batter B Conlon (play#47, T6); RBI play#47 (M Melhuish scores); Flag#6 (substitution within/at-start-of plate appearance)</t>
        </is>
      </c>
    </row>
    <row r="352" ht="15.75" customHeight="1" s="35">
      <c r="A352" s="8" t="inlineStr">
        <is>
          <t>2026-03-14_GLNL_at_OKDL</t>
        </is>
      </c>
      <c r="B352" s="2" t="n">
        <v>46095</v>
      </c>
      <c r="C352" s="8" t="inlineStr">
        <is>
          <t>OKDL</t>
        </is>
      </c>
      <c r="D352" s="8" t="inlineStr">
        <is>
          <t>GLNL</t>
        </is>
      </c>
      <c r="E352" s="8" t="inlineStr">
        <is>
          <t>B Burckhardt</t>
        </is>
      </c>
      <c r="F352" s="8" t="n">
        <v>1</v>
      </c>
      <c r="G352" s="8" t="n">
        <v>1</v>
      </c>
      <c r="H352" s="8" t="n">
        <v>0</v>
      </c>
      <c r="I352" s="8" t="n">
        <v>0</v>
      </c>
      <c r="J352" s="8" t="n">
        <v>0</v>
      </c>
      <c r="K352" s="8" t="n">
        <v>0</v>
      </c>
      <c r="L352" s="8" t="n">
        <v>0</v>
      </c>
      <c r="M352" s="8" t="n">
        <v>0</v>
      </c>
      <c r="N352" s="8" t="n">
        <v>0</v>
      </c>
      <c r="O352" s="8" t="n">
        <v>1</v>
      </c>
      <c r="P352" s="8" t="n">
        <v>1</v>
      </c>
      <c r="Q352" s="8" t="n">
        <v>0</v>
      </c>
      <c r="R352" s="8" t="n">
        <v>0</v>
      </c>
      <c r="S352" s="8" t="n">
        <v>0</v>
      </c>
      <c r="T352" s="8" t="n">
        <v>0</v>
      </c>
      <c r="U352" s="8" t="n">
        <v>0</v>
      </c>
      <c r="V352" s="8" t="n">
        <v>0</v>
      </c>
      <c r="W352" s="8" t="n">
        <v>0</v>
      </c>
      <c r="X352" s="8" t="n">
        <v>0</v>
      </c>
      <c r="Y352" s="8" t="inlineStr">
        <is>
          <t>Entered for batter J Miles (play#48, T6); K_L (Seq#48 Strike 3 looking)</t>
        </is>
      </c>
    </row>
    <row r="353" ht="15.75" customHeight="1" s="35">
      <c r="A353" s="8" t="inlineStr">
        <is>
          <t>2026-03-14_GLNL_at_OKDL</t>
        </is>
      </c>
      <c r="B353" s="2" t="n">
        <v>46095</v>
      </c>
      <c r="C353" s="8" t="inlineStr">
        <is>
          <t>OKDL</t>
        </is>
      </c>
      <c r="D353" s="8" t="inlineStr">
        <is>
          <t>GLNL</t>
        </is>
      </c>
      <c r="E353" s="8" t="inlineStr">
        <is>
          <t>B Harms</t>
        </is>
      </c>
      <c r="F353" s="8" t="n">
        <v>1</v>
      </c>
      <c r="G353" s="8" t="n">
        <v>1</v>
      </c>
      <c r="H353" s="8" t="n">
        <v>0</v>
      </c>
      <c r="I353" s="8" t="n">
        <v>0</v>
      </c>
      <c r="J353" s="8" t="n">
        <v>0</v>
      </c>
      <c r="K353" s="8" t="n">
        <v>0</v>
      </c>
      <c r="L353" s="8" t="n">
        <v>0</v>
      </c>
      <c r="M353" s="8" t="n">
        <v>0</v>
      </c>
      <c r="N353" s="8" t="n">
        <v>0</v>
      </c>
      <c r="O353" s="8" t="n">
        <v>0</v>
      </c>
      <c r="P353" s="8" t="n">
        <v>0</v>
      </c>
      <c r="Q353" s="8" t="n">
        <v>0</v>
      </c>
      <c r="R353" s="8" t="n">
        <v>0</v>
      </c>
      <c r="S353" s="8" t="n">
        <v>0</v>
      </c>
      <c r="T353" s="8" t="n">
        <v>0</v>
      </c>
      <c r="U353" s="8" t="n">
        <v>0</v>
      </c>
      <c r="V353" s="8" t="n">
        <v>0</v>
      </c>
      <c r="W353" s="8" t="n">
        <v>0</v>
      </c>
      <c r="X353" s="8" t="n">
        <v>0</v>
      </c>
      <c r="Y353" s="8" t="inlineStr">
        <is>
          <t>Entered for batter C Brown (play#49, T6); also 3B defensively (credited on D O'Conner CS play#52 embedded)</t>
        </is>
      </c>
    </row>
    <row r="354" ht="15.75" customHeight="1" s="35">
      <c r="A354" s="8" t="inlineStr">
        <is>
          <t>2026-03-14_GLNL_at_OKDL</t>
        </is>
      </c>
      <c r="B354" s="2" t="n">
        <v>46095</v>
      </c>
      <c r="C354" s="8" t="inlineStr">
        <is>
          <t>OKDL</t>
        </is>
      </c>
      <c r="D354" s="8" t="inlineStr">
        <is>
          <t>GLNL</t>
        </is>
      </c>
      <c r="E354" s="8" t="inlineStr">
        <is>
          <t>C Lease</t>
        </is>
      </c>
      <c r="F354" s="8" t="n">
        <v>1</v>
      </c>
      <c r="G354" s="8" t="n">
        <v>1</v>
      </c>
      <c r="H354" s="8" t="n">
        <v>0</v>
      </c>
      <c r="I354" s="8" t="n">
        <v>0</v>
      </c>
      <c r="J354" s="8" t="n">
        <v>0</v>
      </c>
      <c r="K354" s="8" t="n">
        <v>0</v>
      </c>
      <c r="L354" s="8" t="n">
        <v>0</v>
      </c>
      <c r="M354" s="8" t="n">
        <v>0</v>
      </c>
      <c r="N354" s="8" t="n">
        <v>0</v>
      </c>
      <c r="O354" s="8" t="n">
        <v>0</v>
      </c>
      <c r="P354" s="8" t="n">
        <v>0</v>
      </c>
      <c r="Q354" s="8" t="n">
        <v>0</v>
      </c>
      <c r="R354" s="8" t="n">
        <v>0</v>
      </c>
      <c r="S354" s="8" t="n">
        <v>0</v>
      </c>
      <c r="T354" s="8" t="n">
        <v>0</v>
      </c>
      <c r="U354" s="8" t="n">
        <v>0</v>
      </c>
      <c r="V354" s="8" t="n">
        <v>0</v>
      </c>
      <c r="W354" s="8" t="n">
        <v>0</v>
      </c>
      <c r="X354" s="8" t="n">
        <v>0</v>
      </c>
      <c r="Y354" s="8" t="inlineStr">
        <is>
          <t>Entered for batter G Melhuish (play#54, T7); also catcher per Flag#4 (active defensively at play#52 before this documented substitution)</t>
        </is>
      </c>
    </row>
    <row r="355" ht="15.75" customHeight="1" s="35">
      <c r="A355" s="8" t="inlineStr">
        <is>
          <t>2026-03-14_GLNL_at_OKDL</t>
        </is>
      </c>
      <c r="B355" s="2" t="n">
        <v>46095</v>
      </c>
      <c r="C355" s="8" t="inlineStr">
        <is>
          <t>GLNL</t>
        </is>
      </c>
      <c r="D355" s="8" t="inlineStr">
        <is>
          <t>OKDL</t>
        </is>
      </c>
      <c r="E355" s="8" t="inlineStr">
        <is>
          <t>C DeWaal</t>
        </is>
      </c>
      <c r="F355" s="8" t="n">
        <v>3</v>
      </c>
      <c r="G355" s="8" t="n">
        <v>2</v>
      </c>
      <c r="H355" s="8" t="n">
        <v>0</v>
      </c>
      <c r="I355" s="8" t="n">
        <v>0</v>
      </c>
      <c r="J355" s="8" t="n">
        <v>0</v>
      </c>
      <c r="K355" s="8" t="n">
        <v>0</v>
      </c>
      <c r="L355" s="8" t="n">
        <v>0</v>
      </c>
      <c r="M355" s="8" t="n">
        <v>1</v>
      </c>
      <c r="N355" s="8" t="n">
        <v>0</v>
      </c>
      <c r="O355" s="8" t="n">
        <v>1</v>
      </c>
      <c r="P355" s="8" t="n">
        <v>1</v>
      </c>
      <c r="Q355" s="8" t="n">
        <v>0</v>
      </c>
      <c r="R355" s="8" t="n">
        <v>0</v>
      </c>
      <c r="S355" s="8" t="n">
        <v>0</v>
      </c>
      <c r="T355" s="8" t="n">
        <v>0</v>
      </c>
      <c r="U355" s="8" t="n">
        <v>0</v>
      </c>
      <c r="V355" s="8" t="n">
        <v>0</v>
      </c>
      <c r="W355" s="8" t="n">
        <v>0</v>
      </c>
      <c r="X355" s="8" t="n">
        <v>0</v>
      </c>
      <c r="Y355" s="8" t="inlineStr">
        <is>
          <t>K_L play#4 (Seq#4 Strike 3 looking); BB play#19 (B2, scorekeeper ends inning after this AB, Flag#2)</t>
        </is>
      </c>
    </row>
    <row r="356" ht="15.75" customHeight="1" s="35">
      <c r="A356" s="8" t="inlineStr">
        <is>
          <t>2026-03-14_GLNL_at_OKDL</t>
        </is>
      </c>
      <c r="B356" s="2" t="n">
        <v>46095</v>
      </c>
      <c r="C356" s="8" t="inlineStr">
        <is>
          <t>GLNL</t>
        </is>
      </c>
      <c r="D356" s="8" t="inlineStr">
        <is>
          <t>OKDL</t>
        </is>
      </c>
      <c r="E356" s="8" t="inlineStr">
        <is>
          <t>N Noweski</t>
        </is>
      </c>
      <c r="F356" s="8" t="n">
        <v>3</v>
      </c>
      <c r="G356" s="8" t="n">
        <v>2</v>
      </c>
      <c r="H356" s="8" t="n">
        <v>0</v>
      </c>
      <c r="I356" s="8" t="n">
        <v>0</v>
      </c>
      <c r="J356" s="8" t="n">
        <v>0</v>
      </c>
      <c r="K356" s="8" t="n">
        <v>0</v>
      </c>
      <c r="L356" s="8" t="n">
        <v>0</v>
      </c>
      <c r="M356" s="8" t="n">
        <v>1</v>
      </c>
      <c r="N356" s="8" t="n">
        <v>0</v>
      </c>
      <c r="O356" s="8" t="n">
        <v>2</v>
      </c>
      <c r="P356" s="8" t="n">
        <v>2</v>
      </c>
      <c r="Q356" s="8" t="n">
        <v>0</v>
      </c>
      <c r="R356" s="8" t="n">
        <v>1</v>
      </c>
      <c r="S356" s="8" t="n">
        <v>0</v>
      </c>
      <c r="T356" s="8" t="n">
        <v>0</v>
      </c>
      <c r="U356" s="8" t="n">
        <v>0</v>
      </c>
      <c r="V356" s="8" t="n">
        <v>0</v>
      </c>
      <c r="W356" s="8" t="n">
        <v>0</v>
      </c>
      <c r="X356" s="8" t="n">
        <v>0</v>
      </c>
      <c r="Y356" s="8" t="inlineStr">
        <is>
          <t>K_L play#5 (Seq#5 Strike 3 looking); K_L play#42 (Seq#42 Strike 3 looking); scored on P Dix single (play#28, B3); adv to 3B on defensive indifference (embedded play#28 — no SB credit)</t>
        </is>
      </c>
    </row>
    <row r="357" ht="15.75" customHeight="1" s="35">
      <c r="A357" s="8" t="inlineStr">
        <is>
          <t>2026-03-14_GLNL_at_OKDL</t>
        </is>
      </c>
      <c r="B357" s="2" t="n">
        <v>46095</v>
      </c>
      <c r="C357" s="8" t="inlineStr">
        <is>
          <t>GLNL</t>
        </is>
      </c>
      <c r="D357" s="8" t="inlineStr">
        <is>
          <t>OKDL</t>
        </is>
      </c>
      <c r="E357" s="8" t="inlineStr">
        <is>
          <t>C Thompson</t>
        </is>
      </c>
      <c r="F357" s="8" t="n">
        <v>3</v>
      </c>
      <c r="G357" s="8" t="n">
        <v>2</v>
      </c>
      <c r="H357" s="8" t="n">
        <v>0</v>
      </c>
      <c r="I357" s="8" t="n">
        <v>0</v>
      </c>
      <c r="J357" s="8" t="n">
        <v>0</v>
      </c>
      <c r="K357" s="8" t="n">
        <v>0</v>
      </c>
      <c r="L357" s="8" t="n">
        <v>0</v>
      </c>
      <c r="M357" s="8" t="n">
        <v>1</v>
      </c>
      <c r="N357" s="8" t="n">
        <v>0</v>
      </c>
      <c r="O357" s="8" t="n">
        <v>0</v>
      </c>
      <c r="P357" s="8" t="n">
        <v>0</v>
      </c>
      <c r="Q357" s="8" t="n">
        <v>0</v>
      </c>
      <c r="R357" s="8" t="n">
        <v>1</v>
      </c>
      <c r="S357" s="8" t="n">
        <v>0</v>
      </c>
      <c r="T357" s="8" t="n">
        <v>1</v>
      </c>
      <c r="U357" s="8" t="n">
        <v>0</v>
      </c>
      <c r="V357" s="8" t="n">
        <v>0</v>
      </c>
      <c r="W357" s="8" t="n">
        <v>0</v>
      </c>
      <c r="X357" s="8" t="n">
        <v>0</v>
      </c>
      <c r="Y357" s="8" t="inlineStr">
        <is>
          <t>SB play#7 embedded (C Scarzello AB, B1); scored on P Dix single (play#8, B1); also pitcher T6-T7 (documented play#45 seq)</t>
        </is>
      </c>
    </row>
    <row r="358" ht="15.75" customHeight="1" s="35">
      <c r="A358" s="8" t="inlineStr">
        <is>
          <t>2026-03-14_GLNL_at_OKDL</t>
        </is>
      </c>
      <c r="B358" s="2" t="n">
        <v>46095</v>
      </c>
      <c r="C358" s="8" t="inlineStr">
        <is>
          <t>GLNL</t>
        </is>
      </c>
      <c r="D358" s="8" t="inlineStr">
        <is>
          <t>OKDL</t>
        </is>
      </c>
      <c r="E358" s="8" t="inlineStr">
        <is>
          <t>C Scarzello</t>
        </is>
      </c>
      <c r="F358" s="8" t="n">
        <v>3</v>
      </c>
      <c r="G358" s="8" t="n">
        <v>2</v>
      </c>
      <c r="H358" s="8" t="n">
        <v>0</v>
      </c>
      <c r="I358" s="8" t="n">
        <v>0</v>
      </c>
      <c r="J358" s="8" t="n">
        <v>0</v>
      </c>
      <c r="K358" s="8" t="n">
        <v>0</v>
      </c>
      <c r="L358" s="8" t="n">
        <v>0</v>
      </c>
      <c r="M358" s="8" t="n">
        <v>1</v>
      </c>
      <c r="N358" s="8" t="n">
        <v>0</v>
      </c>
      <c r="O358" s="8" t="n">
        <v>1</v>
      </c>
      <c r="P358" s="8" t="n">
        <v>0</v>
      </c>
      <c r="Q358" s="8" t="n">
        <v>1</v>
      </c>
      <c r="R358" s="8" t="n">
        <v>0</v>
      </c>
      <c r="S358" s="8" t="n">
        <v>0</v>
      </c>
      <c r="T358" s="8" t="n">
        <v>0</v>
      </c>
      <c r="U358" s="8" t="n">
        <v>0</v>
      </c>
      <c r="V358" s="8" t="n">
        <v>0</v>
      </c>
      <c r="W358" s="8" t="n">
        <v>0</v>
      </c>
      <c r="X358" s="8" t="n">
        <v>0</v>
      </c>
      <c r="Y358" s="8" t="inlineStr">
        <is>
          <t>K_S play#27 (Seq#27 Strike 3 swinging); CR D Williams in for C Scarzello after play#7 walk (Bottom 1st) — D Williams did not score; R=0 for C Scarzello</t>
        </is>
      </c>
    </row>
    <row r="359" ht="15.75" customHeight="1" s="35">
      <c r="A359" s="8" t="inlineStr">
        <is>
          <t>2026-03-14_GLNL_at_OKDL</t>
        </is>
      </c>
      <c r="B359" s="2" t="n">
        <v>46095</v>
      </c>
      <c r="C359" s="8" t="inlineStr">
        <is>
          <t>GLNL</t>
        </is>
      </c>
      <c r="D359" s="8" t="inlineStr">
        <is>
          <t>OKDL</t>
        </is>
      </c>
      <c r="E359" s="8" t="inlineStr">
        <is>
          <t>P Dix</t>
        </is>
      </c>
      <c r="F359" s="8" t="n">
        <v>3</v>
      </c>
      <c r="G359" s="8" t="n">
        <v>3</v>
      </c>
      <c r="H359" s="8" t="n">
        <v>2</v>
      </c>
      <c r="I359" s="8" t="n">
        <v>2</v>
      </c>
      <c r="J359" s="8" t="n">
        <v>0</v>
      </c>
      <c r="K359" s="8" t="n">
        <v>0</v>
      </c>
      <c r="L359" s="8" t="n">
        <v>0</v>
      </c>
      <c r="M359" s="8" t="n">
        <v>0</v>
      </c>
      <c r="N359" s="8" t="n">
        <v>0</v>
      </c>
      <c r="O359" s="8" t="n">
        <v>1</v>
      </c>
      <c r="P359" s="8" t="n">
        <v>1</v>
      </c>
      <c r="Q359" s="8" t="n">
        <v>0</v>
      </c>
      <c r="R359" s="8" t="n">
        <v>0</v>
      </c>
      <c r="S359" s="8" t="n">
        <v>2</v>
      </c>
      <c r="T359" s="8" t="n">
        <v>0</v>
      </c>
      <c r="U359" s="8" t="n">
        <v>0</v>
      </c>
      <c r="V359" s="8" t="n">
        <v>0</v>
      </c>
      <c r="W359" s="8" t="n">
        <v>0</v>
      </c>
      <c r="X359" s="8" t="n">
        <v>0</v>
      </c>
      <c r="Y359" s="8" t="inlineStr">
        <is>
          <t>CR B Yowell in for P Dix after play#8 (B1) — B Yowell did not score; K_L play#50 (Seq#50 Strike 3 looking); RBI play#8 (C Thompson scores) + RBI play#28 (N Noweski scores); also pitcher T1-T3 (documented play#1 seq)</t>
        </is>
      </c>
    </row>
    <row r="360" ht="15.75" customHeight="1" s="35">
      <c r="A360" s="8" t="inlineStr">
        <is>
          <t>2026-03-14_GLNL_at_OKDL</t>
        </is>
      </c>
      <c r="B360" s="2" t="n">
        <v>46095</v>
      </c>
      <c r="C360" s="8" t="inlineStr">
        <is>
          <t>GLNL</t>
        </is>
      </c>
      <c r="D360" s="8" t="inlineStr">
        <is>
          <t>OKDL</t>
        </is>
      </c>
      <c r="E360" s="8" t="inlineStr">
        <is>
          <t>D O'Conner</t>
        </is>
      </c>
      <c r="F360" s="8" t="n">
        <v>3</v>
      </c>
      <c r="G360" s="8" t="n">
        <v>2</v>
      </c>
      <c r="H360" s="8" t="n">
        <v>1</v>
      </c>
      <c r="I360" s="8" t="n">
        <v>1</v>
      </c>
      <c r="J360" s="8" t="n">
        <v>0</v>
      </c>
      <c r="K360" s="8" t="n">
        <v>0</v>
      </c>
      <c r="L360" s="8" t="n">
        <v>0</v>
      </c>
      <c r="M360" s="8" t="n">
        <v>1</v>
      </c>
      <c r="N360" s="8" t="n">
        <v>0</v>
      </c>
      <c r="O360" s="8" t="n">
        <v>1</v>
      </c>
      <c r="P360" s="8" t="n">
        <v>1</v>
      </c>
      <c r="Q360" s="8" t="n">
        <v>0</v>
      </c>
      <c r="R360" s="8" t="n">
        <v>0</v>
      </c>
      <c r="S360" s="8" t="n">
        <v>0</v>
      </c>
      <c r="T360" s="8" t="n">
        <v>0</v>
      </c>
      <c r="U360" s="8" t="n">
        <v>1</v>
      </c>
      <c r="V360" s="8" t="n">
        <v>0</v>
      </c>
      <c r="W360" s="8" t="n">
        <v>0</v>
      </c>
      <c r="X360" s="8" t="n">
        <v>0</v>
      </c>
      <c r="Y360" s="8" t="inlineStr">
        <is>
          <t>K_L play#9 (Seq#9 Strike 3 looking); CS play#52 embedded (CS 3rd during G Beaver AB, B6 — catcher C Lease to 3B B Harms); Flag#7</t>
        </is>
      </c>
    </row>
    <row r="361" ht="15.75" customHeight="1" s="35">
      <c r="A361" s="8" t="inlineStr">
        <is>
          <t>2026-03-14_GLNL_at_OKDL</t>
        </is>
      </c>
      <c r="B361" s="2" t="n">
        <v>46095</v>
      </c>
      <c r="C361" s="8" t="inlineStr">
        <is>
          <t>GLNL</t>
        </is>
      </c>
      <c r="D361" s="8" t="inlineStr">
        <is>
          <t>OKDL</t>
        </is>
      </c>
      <c r="E361" s="8" t="inlineStr">
        <is>
          <t>G Beaver</t>
        </is>
      </c>
      <c r="F361" s="8" t="n">
        <v>3</v>
      </c>
      <c r="G361" s="8" t="n">
        <v>2</v>
      </c>
      <c r="H361" s="8" t="n">
        <v>0</v>
      </c>
      <c r="I361" s="8" t="n">
        <v>0</v>
      </c>
      <c r="J361" s="8" t="n">
        <v>0</v>
      </c>
      <c r="K361" s="8" t="n">
        <v>0</v>
      </c>
      <c r="L361" s="8" t="n">
        <v>0</v>
      </c>
      <c r="M361" s="8" t="n">
        <v>1</v>
      </c>
      <c r="N361" s="8" t="n">
        <v>0</v>
      </c>
      <c r="O361" s="8" t="n">
        <v>1</v>
      </c>
      <c r="P361" s="8" t="n">
        <v>0</v>
      </c>
      <c r="Q361" s="8" t="n">
        <v>1</v>
      </c>
      <c r="R361" s="8" t="n">
        <v>1</v>
      </c>
      <c r="S361" s="8" t="n">
        <v>0</v>
      </c>
      <c r="T361" s="8" t="n">
        <v>1</v>
      </c>
      <c r="U361" s="8" t="n">
        <v>0</v>
      </c>
      <c r="V361" s="8" t="n">
        <v>0</v>
      </c>
      <c r="W361" s="8" t="n">
        <v>0</v>
      </c>
      <c r="X361" s="8" t="n">
        <v>0</v>
      </c>
      <c r="Y361" s="8" t="inlineStr">
        <is>
          <t>K_S play#52 (Seq#52 Strike 3 swinging); scored on L Rosenberg single (play#16, B2); SB play#16 embedded (steal of 3rd during L Rosenberg AB); adv 2B on PB (play#16 embedded) — PB not SB</t>
        </is>
      </c>
    </row>
    <row r="362" ht="15.75" customHeight="1" s="35">
      <c r="A362" s="8" t="inlineStr">
        <is>
          <t>2026-03-14_GLNL_at_OKDL</t>
        </is>
      </c>
      <c r="B362" s="2" t="n">
        <v>46095</v>
      </c>
      <c r="C362" s="8" t="inlineStr">
        <is>
          <t>GLNL</t>
        </is>
      </c>
      <c r="D362" s="8" t="inlineStr">
        <is>
          <t>OKDL</t>
        </is>
      </c>
      <c r="E362" s="8" t="inlineStr">
        <is>
          <t>L Rosenberg</t>
        </is>
      </c>
      <c r="F362" s="8" t="n">
        <v>2</v>
      </c>
      <c r="G362" s="8" t="n">
        <v>2</v>
      </c>
      <c r="H362" s="8" t="n">
        <v>1</v>
      </c>
      <c r="I362" s="8" t="n">
        <v>1</v>
      </c>
      <c r="J362" s="8" t="n">
        <v>0</v>
      </c>
      <c r="K362" s="8" t="n">
        <v>0</v>
      </c>
      <c r="L362" s="8" t="n">
        <v>0</v>
      </c>
      <c r="M362" s="8" t="n">
        <v>0</v>
      </c>
      <c r="N362" s="8" t="n">
        <v>0</v>
      </c>
      <c r="O362" s="8" t="n">
        <v>0</v>
      </c>
      <c r="P362" s="8" t="n">
        <v>0</v>
      </c>
      <c r="Q362" s="8" t="n">
        <v>0</v>
      </c>
      <c r="R362" s="8" t="n">
        <v>1</v>
      </c>
      <c r="S362" s="8" t="n">
        <v>1</v>
      </c>
      <c r="T362" s="8" t="n">
        <v>0</v>
      </c>
      <c r="U362" s="8" t="n">
        <v>0</v>
      </c>
      <c r="V362" s="8" t="n">
        <v>0</v>
      </c>
      <c r="W362" s="8" t="n">
        <v>0</v>
      </c>
      <c r="X362" s="8" t="n">
        <v>0</v>
      </c>
      <c r="Y362" s="8" t="inlineStr">
        <is>
          <t>RBI play#16 (G Beaver scores on single); scored on WP (play#19 embedded, C DeWaal AB, B2); play#57 (Bottom 7th) no outcome — not counted as PA (Flag#3)</t>
        </is>
      </c>
    </row>
    <row r="363" ht="15.75" customHeight="1" s="35">
      <c r="A363" s="8" t="inlineStr">
        <is>
          <t>2026-03-14_GLNL_at_OKDL</t>
        </is>
      </c>
      <c r="B363" s="2" t="n">
        <v>46095</v>
      </c>
      <c r="C363" s="8" t="inlineStr">
        <is>
          <t>GLNL</t>
        </is>
      </c>
      <c r="D363" s="8" t="inlineStr">
        <is>
          <t>OKDL</t>
        </is>
      </c>
      <c r="E363" s="8" t="inlineStr">
        <is>
          <t>L Patterson</t>
        </is>
      </c>
      <c r="F363" s="8" t="n">
        <v>2</v>
      </c>
      <c r="G363" s="8" t="n">
        <v>2</v>
      </c>
      <c r="H363" s="8" t="n">
        <v>1</v>
      </c>
      <c r="I363" s="8" t="n">
        <v>1</v>
      </c>
      <c r="J363" s="8" t="n">
        <v>0</v>
      </c>
      <c r="K363" s="8" t="n">
        <v>0</v>
      </c>
      <c r="L363" s="8" t="n">
        <v>0</v>
      </c>
      <c r="M363" s="8" t="n">
        <v>0</v>
      </c>
      <c r="N363" s="8" t="n">
        <v>0</v>
      </c>
      <c r="O363" s="8" t="n">
        <v>0</v>
      </c>
      <c r="P363" s="8" t="n">
        <v>0</v>
      </c>
      <c r="Q363" s="8" t="n">
        <v>0</v>
      </c>
      <c r="R363" s="8" t="n">
        <v>0</v>
      </c>
      <c r="S363" s="8" t="n">
        <v>0</v>
      </c>
      <c r="T363" s="8" t="n">
        <v>0</v>
      </c>
      <c r="U363" s="8" t="n">
        <v>0</v>
      </c>
      <c r="V363" s="8" t="n">
        <v>0</v>
      </c>
      <c r="W363" s="8" t="n">
        <v>0</v>
      </c>
      <c r="X363" s="8" t="n">
        <v>0</v>
      </c>
      <c r="Y363" s="8" t="inlineStr">
        <is>
          <t>Bunt single play#17; adv to 3B on WP (play#19 embedded) — stranded when scorekeeper ends inning (Flag#2)</t>
        </is>
      </c>
    </row>
    <row r="364" ht="15.75" customHeight="1" s="35">
      <c r="A364" s="8" t="inlineStr">
        <is>
          <t>2026-03-14_GLNL_at_OKDL</t>
        </is>
      </c>
      <c r="B364" s="2" t="n">
        <v>46095</v>
      </c>
      <c r="C364" s="8" t="inlineStr">
        <is>
          <t>GLNL</t>
        </is>
      </c>
      <c r="D364" s="8" t="inlineStr">
        <is>
          <t>OKDL</t>
        </is>
      </c>
      <c r="E364" s="8" t="inlineStr">
        <is>
          <t>K Huynh</t>
        </is>
      </c>
      <c r="F364" s="8" t="n">
        <v>2</v>
      </c>
      <c r="G364" s="8" t="n">
        <v>1</v>
      </c>
      <c r="H364" s="8" t="n">
        <v>0</v>
      </c>
      <c r="I364" s="8" t="n">
        <v>0</v>
      </c>
      <c r="J364" s="8" t="n">
        <v>0</v>
      </c>
      <c r="K364" s="8" t="n">
        <v>0</v>
      </c>
      <c r="L364" s="8" t="n">
        <v>0</v>
      </c>
      <c r="M364" s="8" t="n">
        <v>1</v>
      </c>
      <c r="N364" s="8" t="n">
        <v>0</v>
      </c>
      <c r="O364" s="8" t="n">
        <v>1</v>
      </c>
      <c r="P364" s="8" t="n">
        <v>0</v>
      </c>
      <c r="Q364" s="8" t="n">
        <v>1</v>
      </c>
      <c r="R364" s="8" t="n">
        <v>0</v>
      </c>
      <c r="S364" s="8" t="n">
        <v>0</v>
      </c>
      <c r="T364" s="8" t="n">
        <v>0</v>
      </c>
      <c r="U364" s="8" t="n">
        <v>0</v>
      </c>
      <c r="V364" s="8" t="n">
        <v>0</v>
      </c>
      <c r="W364" s="8" t="n">
        <v>0</v>
      </c>
      <c r="X364" s="8" t="n">
        <v>0</v>
      </c>
      <c r="Y364" s="8" t="inlineStr">
        <is>
          <t>K_S play#18 (Seq#18 Strike 3 swinging); CR D Williams in for K Huynh after play#37 walk (Bottom 4th) — D Williams did not score; also catcher — error play#47 embedded (M Melhuish adv 3B); Flag#8</t>
        </is>
      </c>
    </row>
    <row r="365" ht="15.75" customHeight="1" s="35">
      <c r="A365" s="8" t="inlineStr">
        <is>
          <t>2026-03-14_LBRT_at_GLNL</t>
        </is>
      </c>
      <c r="B365" s="2" t="n">
        <v>46095</v>
      </c>
      <c r="C365" s="8" t="inlineStr">
        <is>
          <t>GLNL</t>
        </is>
      </c>
      <c r="D365" s="8" t="inlineStr">
        <is>
          <t>LBRT</t>
        </is>
      </c>
      <c r="E365" s="8" t="inlineStr">
        <is>
          <t>D McGarity</t>
        </is>
      </c>
      <c r="F365" s="8" t="n">
        <v>3</v>
      </c>
      <c r="G365" s="8" t="n">
        <v>2</v>
      </c>
      <c r="H365" s="8" t="n">
        <v>0</v>
      </c>
      <c r="I365" s="8" t="n">
        <v>0</v>
      </c>
      <c r="J365" s="8" t="n">
        <v>0</v>
      </c>
      <c r="K365" s="8" t="n">
        <v>0</v>
      </c>
      <c r="L365" s="8" t="n">
        <v>0</v>
      </c>
      <c r="M365" s="8" t="n">
        <v>1</v>
      </c>
      <c r="N365" s="8" t="n">
        <v>0</v>
      </c>
      <c r="O365" s="8" t="n">
        <v>2</v>
      </c>
      <c r="P365" s="8" t="n">
        <v>1</v>
      </c>
      <c r="Q365" s="8" t="n">
        <v>1</v>
      </c>
      <c r="R365" s="8" t="n">
        <v>0</v>
      </c>
      <c r="S365" s="8" t="n">
        <v>0</v>
      </c>
      <c r="T365" s="8" t="n">
        <v>0</v>
      </c>
      <c r="U365" s="8" t="n">
        <v>0</v>
      </c>
      <c r="V365" s="8" t="n">
        <v>0</v>
      </c>
      <c r="W365" s="8" t="n">
        <v>0</v>
      </c>
      <c r="X365" s="8" t="n">
        <v>0</v>
      </c>
      <c r="Y365" s="8" t="inlineStr">
        <is>
          <t>K_L play#1 (Seq#1 Strike3 looking); K_S play#23 (Seq#23 Strike3 swinging); BB play#41 (entered for batter C Hitzel, Flag#4); adv 2B on E by N Cohen (play#43 embedded, Flag#5); stranded</t>
        </is>
      </c>
    </row>
    <row r="366" ht="15.75" customHeight="1" s="35">
      <c r="A366" s="8" t="inlineStr">
        <is>
          <t>2026-03-14_LBRT_at_GLNL</t>
        </is>
      </c>
      <c r="B366" s="2" t="n">
        <v>46095</v>
      </c>
      <c r="C366" s="8" t="inlineStr">
        <is>
          <t>GLNL</t>
        </is>
      </c>
      <c r="D366" s="8" t="inlineStr">
        <is>
          <t>LBRT</t>
        </is>
      </c>
      <c r="E366" s="8" t="inlineStr">
        <is>
          <t>C Hitzel</t>
        </is>
      </c>
      <c r="F366" s="8" t="n">
        <v>2</v>
      </c>
      <c r="G366" s="8" t="n">
        <v>1</v>
      </c>
      <c r="H366" s="8" t="n">
        <v>1</v>
      </c>
      <c r="I366" s="8" t="n">
        <v>1</v>
      </c>
      <c r="J366" s="8" t="n">
        <v>0</v>
      </c>
      <c r="K366" s="8" t="n">
        <v>0</v>
      </c>
      <c r="L366" s="8" t="n">
        <v>0</v>
      </c>
      <c r="M366" s="8" t="n">
        <v>1</v>
      </c>
      <c r="N366" s="8" t="n">
        <v>0</v>
      </c>
      <c r="O366" s="8" t="n">
        <v>0</v>
      </c>
      <c r="P366" s="8" t="n">
        <v>0</v>
      </c>
      <c r="Q366" s="8" t="n">
        <v>0</v>
      </c>
      <c r="R366" s="8" t="n">
        <v>1</v>
      </c>
      <c r="S366" s="8" t="n">
        <v>0</v>
      </c>
      <c r="T366" s="8" t="n">
        <v>0</v>
      </c>
      <c r="U366" s="8" t="n">
        <v>0</v>
      </c>
      <c r="V366" s="8" t="n">
        <v>0</v>
      </c>
      <c r="W366" s="8" t="n">
        <v>0</v>
      </c>
      <c r="X366" s="8" t="n">
        <v>0</v>
      </c>
      <c r="Y366" s="8" t="inlineStr">
        <is>
          <t>Scored on C Shanks triple (play#25, T3); replaced by D McGarity (play#41, Flag#4)</t>
        </is>
      </c>
    </row>
    <row r="367" ht="15.75" customHeight="1" s="35">
      <c r="A367" s="8" t="inlineStr">
        <is>
          <t>2026-03-14_LBRT_at_GLNL</t>
        </is>
      </c>
      <c r="B367" s="2" t="n">
        <v>46095</v>
      </c>
      <c r="C367" s="8" t="inlineStr">
        <is>
          <t>GLNL</t>
        </is>
      </c>
      <c r="D367" s="8" t="inlineStr">
        <is>
          <t>LBRT</t>
        </is>
      </c>
      <c r="E367" s="8" t="inlineStr">
        <is>
          <t>C Shanks</t>
        </is>
      </c>
      <c r="F367" s="8" t="n">
        <v>2</v>
      </c>
      <c r="G367" s="8" t="n">
        <v>2</v>
      </c>
      <c r="H367" s="8" t="n">
        <v>2</v>
      </c>
      <c r="I367" s="8" t="n">
        <v>1</v>
      </c>
      <c r="J367" s="8" t="n">
        <v>0</v>
      </c>
      <c r="K367" s="8" t="n">
        <v>1</v>
      </c>
      <c r="L367" s="8" t="n">
        <v>0</v>
      </c>
      <c r="M367" s="8" t="n">
        <v>0</v>
      </c>
      <c r="N367" s="8" t="n">
        <v>0</v>
      </c>
      <c r="O367" s="8" t="n">
        <v>0</v>
      </c>
      <c r="P367" s="8" t="n">
        <v>0</v>
      </c>
      <c r="Q367" s="8" t="n">
        <v>0</v>
      </c>
      <c r="R367" s="8" t="n">
        <v>1</v>
      </c>
      <c r="S367" s="8" t="n">
        <v>2</v>
      </c>
      <c r="T367" s="8" t="n">
        <v>0</v>
      </c>
      <c r="U367" s="8" t="n">
        <v>0</v>
      </c>
      <c r="V367" s="8" t="n">
        <v>0</v>
      </c>
      <c r="W367" s="8" t="n">
        <v>0</v>
      </c>
      <c r="X367" s="8" t="n">
        <v>0</v>
      </c>
      <c r="Y367" s="8" t="inlineStr">
        <is>
          <t>1B play#3 (out advancing on D Nelson DP, play#4); 3B play#25 (RBI x2: B Freiert + C Hitzel score); scored on D Nelson 1B (play#26); replaced by J Hebert (play#43, Flag#5)</t>
        </is>
      </c>
    </row>
    <row r="368" ht="15.75" customHeight="1" s="35">
      <c r="A368" s="8" t="inlineStr">
        <is>
          <t>2026-03-14_LBRT_at_GLNL</t>
        </is>
      </c>
      <c r="B368" s="2" t="n">
        <v>46095</v>
      </c>
      <c r="C368" s="8" t="inlineStr">
        <is>
          <t>GLNL</t>
        </is>
      </c>
      <c r="D368" s="8" t="inlineStr">
        <is>
          <t>LBRT</t>
        </is>
      </c>
      <c r="E368" s="8" t="inlineStr">
        <is>
          <t>D Nelson</t>
        </is>
      </c>
      <c r="F368" s="8" t="n">
        <v>2</v>
      </c>
      <c r="G368" s="8" t="n">
        <v>2</v>
      </c>
      <c r="H368" s="8" t="n">
        <v>1</v>
      </c>
      <c r="I368" s="8" t="n">
        <v>1</v>
      </c>
      <c r="J368" s="8" t="n">
        <v>0</v>
      </c>
      <c r="K368" s="8" t="n">
        <v>0</v>
      </c>
      <c r="L368" s="8" t="n">
        <v>0</v>
      </c>
      <c r="M368" s="8" t="n">
        <v>0</v>
      </c>
      <c r="N368" s="8" t="n">
        <v>0</v>
      </c>
      <c r="O368" s="8" t="n">
        <v>0</v>
      </c>
      <c r="P368" s="8" t="n">
        <v>0</v>
      </c>
      <c r="Q368" s="8" t="n">
        <v>0</v>
      </c>
      <c r="R368" s="8" t="n">
        <v>0</v>
      </c>
      <c r="S368" s="8" t="n">
        <v>1</v>
      </c>
      <c r="T368" s="8" t="n">
        <v>0</v>
      </c>
      <c r="U368" s="8" t="n">
        <v>0</v>
      </c>
      <c r="V368" s="8" t="n">
        <v>1</v>
      </c>
      <c r="W368" s="8" t="n">
        <v>0</v>
      </c>
      <c r="X368" s="8" t="n">
        <v>0</v>
      </c>
      <c r="Y368" s="8" t="inlineStr">
        <is>
          <t>GDP play#4 (DP T1: C Shanks out advancing + D Nelson out at 1B); 1B play#26 (RBI: C Shanks scores); adv 2B on throw (play#26); also pitcher B4 plays#36-38 (entry inferred, Flag#2)</t>
        </is>
      </c>
    </row>
    <row r="369" ht="15.75" customHeight="1" s="35">
      <c r="A369" s="8" t="inlineStr">
        <is>
          <t>2026-03-14_LBRT_at_GLNL</t>
        </is>
      </c>
      <c r="B369" s="2" t="n">
        <v>46095</v>
      </c>
      <c r="C369" s="8" t="inlineStr">
        <is>
          <t>GLNL</t>
        </is>
      </c>
      <c r="D369" s="8" t="inlineStr">
        <is>
          <t>LBRT</t>
        </is>
      </c>
      <c r="E369" s="8" t="inlineStr">
        <is>
          <t>T Kane</t>
        </is>
      </c>
      <c r="F369" s="8" t="n">
        <v>2</v>
      </c>
      <c r="G369" s="8" t="n">
        <v>2</v>
      </c>
      <c r="H369" s="8" t="n">
        <v>0</v>
      </c>
      <c r="I369" s="8" t="n">
        <v>0</v>
      </c>
      <c r="J369" s="8" t="n">
        <v>0</v>
      </c>
      <c r="K369" s="8" t="n">
        <v>0</v>
      </c>
      <c r="L369" s="8" t="n">
        <v>0</v>
      </c>
      <c r="M369" s="8" t="n">
        <v>0</v>
      </c>
      <c r="N369" s="8" t="n">
        <v>0</v>
      </c>
      <c r="O369" s="8" t="n">
        <v>0</v>
      </c>
      <c r="P369" s="8" t="n">
        <v>0</v>
      </c>
      <c r="Q369" s="8" t="n">
        <v>0</v>
      </c>
      <c r="R369" s="8" t="n">
        <v>0</v>
      </c>
      <c r="S369" s="8" t="n">
        <v>0</v>
      </c>
      <c r="T369" s="8" t="n">
        <v>0</v>
      </c>
      <c r="U369" s="8" t="n">
        <v>0</v>
      </c>
      <c r="V369" s="8" t="n">
        <v>0</v>
      </c>
      <c r="W369" s="8" t="n">
        <v>0</v>
      </c>
      <c r="X369" s="8" t="n">
        <v>0</v>
      </c>
      <c r="Y369" s="8" t="inlineStr">
        <is>
          <t>Also catcher (J Jones CS play#6 embedded); also pitcher B4 mid-AB (play#39 documented)</t>
        </is>
      </c>
    </row>
    <row r="370" ht="15.75" customHeight="1" s="35">
      <c r="A370" s="8" t="inlineStr">
        <is>
          <t>2026-03-14_LBRT_at_GLNL</t>
        </is>
      </c>
      <c r="B370" s="2" t="n">
        <v>46095</v>
      </c>
      <c r="C370" s="8" t="inlineStr">
        <is>
          <t>GLNL</t>
        </is>
      </c>
      <c r="D370" s="8" t="inlineStr">
        <is>
          <t>LBRT</t>
        </is>
      </c>
      <c r="E370" s="8" t="inlineStr">
        <is>
          <t>S Crochunis</t>
        </is>
      </c>
      <c r="F370" s="8" t="n">
        <v>2</v>
      </c>
      <c r="G370" s="8" t="n">
        <v>2</v>
      </c>
      <c r="H370" s="8" t="n">
        <v>0</v>
      </c>
      <c r="I370" s="8" t="n">
        <v>0</v>
      </c>
      <c r="J370" s="8" t="n">
        <v>0</v>
      </c>
      <c r="K370" s="8" t="n">
        <v>0</v>
      </c>
      <c r="L370" s="8" t="n">
        <v>0</v>
      </c>
      <c r="M370" s="8" t="n">
        <v>0</v>
      </c>
      <c r="N370" s="8" t="n">
        <v>0</v>
      </c>
      <c r="O370" s="8" t="n">
        <v>2</v>
      </c>
      <c r="P370" s="8" t="n">
        <v>0</v>
      </c>
      <c r="Q370" s="8" t="n">
        <v>2</v>
      </c>
      <c r="R370" s="8" t="n">
        <v>0</v>
      </c>
      <c r="S370" s="8" t="n">
        <v>0</v>
      </c>
      <c r="T370" s="8" t="n">
        <v>0</v>
      </c>
      <c r="U370" s="8" t="n">
        <v>0</v>
      </c>
      <c r="V370" s="8" t="n">
        <v>0</v>
      </c>
      <c r="W370" s="8" t="n">
        <v>0</v>
      </c>
      <c r="X370" s="8" t="n">
        <v>0</v>
      </c>
      <c r="Y370" s="8" t="inlineStr">
        <is>
          <t>K_S play#11 (Seq#11 Strike3 swinging); K_S play#32 (Seq#32 Strike3 swinging); also LBRT starting pitcher B1-B2 (undocumented entry, Flag#1)</t>
        </is>
      </c>
    </row>
    <row r="371" ht="15.75" customHeight="1" s="35">
      <c r="A371" s="8" t="inlineStr">
        <is>
          <t>2026-03-14_LBRT_at_GLNL</t>
        </is>
      </c>
      <c r="B371" s="2" t="n">
        <v>46095</v>
      </c>
      <c r="C371" s="8" t="inlineStr">
        <is>
          <t>GLNL</t>
        </is>
      </c>
      <c r="D371" s="8" t="inlineStr">
        <is>
          <t>LBRT</t>
        </is>
      </c>
      <c r="E371" s="8" t="inlineStr">
        <is>
          <t>J Sfanos</t>
        </is>
      </c>
      <c r="F371" s="8" t="n">
        <v>2</v>
      </c>
      <c r="G371" s="8" t="n">
        <v>2</v>
      </c>
      <c r="H371" s="8" t="n">
        <v>0</v>
      </c>
      <c r="I371" s="8" t="n">
        <v>0</v>
      </c>
      <c r="J371" s="8" t="n">
        <v>0</v>
      </c>
      <c r="K371" s="8" t="n">
        <v>0</v>
      </c>
      <c r="L371" s="8" t="n">
        <v>0</v>
      </c>
      <c r="M371" s="8" t="n">
        <v>0</v>
      </c>
      <c r="N371" s="8" t="n">
        <v>0</v>
      </c>
      <c r="O371" s="8" t="n">
        <v>1</v>
      </c>
      <c r="P371" s="8" t="n">
        <v>1</v>
      </c>
      <c r="Q371" s="8" t="n">
        <v>0</v>
      </c>
      <c r="R371" s="8" t="n">
        <v>0</v>
      </c>
      <c r="S371" s="8" t="n">
        <v>0</v>
      </c>
      <c r="T371" s="8" t="n">
        <v>0</v>
      </c>
      <c r="U371" s="8" t="n">
        <v>0</v>
      </c>
      <c r="V371" s="8" t="n">
        <v>0</v>
      </c>
      <c r="W371" s="8" t="n">
        <v>0</v>
      </c>
      <c r="X371" s="8" t="n">
        <v>0</v>
      </c>
      <c r="Y371" s="8" t="inlineStr">
        <is>
          <t>K_L play#12 (Seq#12 Strike3 looking)</t>
        </is>
      </c>
    </row>
    <row r="372" ht="15.75" customHeight="1" s="35">
      <c r="A372" s="8" t="inlineStr">
        <is>
          <t>2026-03-14_LBRT_at_GLNL</t>
        </is>
      </c>
      <c r="B372" s="2" t="n">
        <v>46095</v>
      </c>
      <c r="C372" s="8" t="inlineStr">
        <is>
          <t>GLNL</t>
        </is>
      </c>
      <c r="D372" s="8" t="inlineStr">
        <is>
          <t>LBRT</t>
        </is>
      </c>
      <c r="E372" s="8" t="inlineStr">
        <is>
          <t>C DiCerbo</t>
        </is>
      </c>
      <c r="F372" s="8" t="n">
        <v>2</v>
      </c>
      <c r="G372" s="8" t="n">
        <v>1</v>
      </c>
      <c r="H372" s="8" t="n">
        <v>1</v>
      </c>
      <c r="I372" s="8" t="n">
        <v>0</v>
      </c>
      <c r="J372" s="8" t="n">
        <v>1</v>
      </c>
      <c r="K372" s="8" t="n">
        <v>0</v>
      </c>
      <c r="L372" s="8" t="n">
        <v>0</v>
      </c>
      <c r="M372" s="8" t="n">
        <v>1</v>
      </c>
      <c r="N372" s="8" t="n">
        <v>0</v>
      </c>
      <c r="O372" s="8" t="n">
        <v>0</v>
      </c>
      <c r="P372" s="8" t="n">
        <v>0</v>
      </c>
      <c r="Q372" s="8" t="n">
        <v>0</v>
      </c>
      <c r="R372" s="8" t="n">
        <v>1</v>
      </c>
      <c r="S372" s="8" t="n">
        <v>0</v>
      </c>
      <c r="T372" s="8" t="n">
        <v>2</v>
      </c>
      <c r="U372" s="8" t="n">
        <v>0</v>
      </c>
      <c r="V372" s="8" t="n">
        <v>0</v>
      </c>
      <c r="W372" s="8" t="n">
        <v>0</v>
      </c>
      <c r="X372" s="8" t="n">
        <v>0</v>
      </c>
      <c r="Y372" s="8" t="inlineStr">
        <is>
          <t>BB play#20 (T3); SB 2nd play#22 embedded (B Freiert AB) + SB 3rd play#24 embedded (C Hitzel AB) = SB 2; scored on E by catcher C Lease (play#24 embedded, Flag#8); 2B play#34 (T4); also pitcher B2-B3 (documented play#16 embedded)</t>
        </is>
      </c>
    </row>
    <row r="373" ht="15.75" customHeight="1" s="35">
      <c r="A373" s="8" t="inlineStr">
        <is>
          <t>2026-03-14_LBRT_at_GLNL</t>
        </is>
      </c>
      <c r="B373" s="2" t="n">
        <v>46095</v>
      </c>
      <c r="C373" s="8" t="inlineStr">
        <is>
          <t>GLNL</t>
        </is>
      </c>
      <c r="D373" s="8" t="inlineStr">
        <is>
          <t>LBRT</t>
        </is>
      </c>
      <c r="E373" s="8" t="inlineStr">
        <is>
          <t>B DiCerbo</t>
        </is>
      </c>
      <c r="F373" s="8" t="n">
        <v>2</v>
      </c>
      <c r="G373" s="8" t="n">
        <v>2</v>
      </c>
      <c r="H373" s="8" t="n">
        <v>0</v>
      </c>
      <c r="I373" s="8" t="n">
        <v>0</v>
      </c>
      <c r="J373" s="8" t="n">
        <v>0</v>
      </c>
      <c r="K373" s="8" t="n">
        <v>0</v>
      </c>
      <c r="L373" s="8" t="n">
        <v>0</v>
      </c>
      <c r="M373" s="8" t="n">
        <v>0</v>
      </c>
      <c r="N373" s="8" t="n">
        <v>0</v>
      </c>
      <c r="O373" s="8" t="n">
        <v>1</v>
      </c>
      <c r="P373" s="8" t="n">
        <v>0</v>
      </c>
      <c r="Q373" s="8" t="n">
        <v>1</v>
      </c>
      <c r="R373" s="8" t="n">
        <v>0</v>
      </c>
      <c r="S373" s="8" t="n">
        <v>0</v>
      </c>
      <c r="T373" s="8" t="n">
        <v>0</v>
      </c>
      <c r="U373" s="8" t="n">
        <v>0</v>
      </c>
      <c r="V373" s="8" t="n">
        <v>0</v>
      </c>
      <c r="W373" s="8" t="n">
        <v>0</v>
      </c>
      <c r="X373" s="8" t="n">
        <v>0</v>
      </c>
      <c r="Y373" s="8" t="inlineStr">
        <is>
          <t>K_S play#21 (Seq#21 Strike3 swinging)</t>
        </is>
      </c>
    </row>
    <row r="374" ht="15.75" customHeight="1" s="35">
      <c r="A374" s="8" t="inlineStr">
        <is>
          <t>2026-03-14_LBRT_at_GLNL</t>
        </is>
      </c>
      <c r="B374" s="2" t="n">
        <v>46095</v>
      </c>
      <c r="C374" s="8" t="inlineStr">
        <is>
          <t>GLNL</t>
        </is>
      </c>
      <c r="D374" s="8" t="inlineStr">
        <is>
          <t>LBRT</t>
        </is>
      </c>
      <c r="E374" s="8" t="inlineStr">
        <is>
          <t>B Freiert</t>
        </is>
      </c>
      <c r="F374" s="8" t="n">
        <v>2</v>
      </c>
      <c r="G374" s="8" t="n">
        <v>1</v>
      </c>
      <c r="H374" s="8" t="n">
        <v>0</v>
      </c>
      <c r="I374" s="8" t="n">
        <v>0</v>
      </c>
      <c r="J374" s="8" t="n">
        <v>0</v>
      </c>
      <c r="K374" s="8" t="n">
        <v>0</v>
      </c>
      <c r="L374" s="8" t="n">
        <v>0</v>
      </c>
      <c r="M374" s="8" t="n">
        <v>1</v>
      </c>
      <c r="N374" s="8" t="n">
        <v>0</v>
      </c>
      <c r="O374" s="8" t="n">
        <v>1</v>
      </c>
      <c r="P374" s="8" t="n">
        <v>0</v>
      </c>
      <c r="Q374" s="8" t="n">
        <v>1</v>
      </c>
      <c r="R374" s="8" t="n">
        <v>1</v>
      </c>
      <c r="S374" s="8" t="n">
        <v>0</v>
      </c>
      <c r="T374" s="8" t="n">
        <v>0</v>
      </c>
      <c r="U374" s="8" t="n">
        <v>0</v>
      </c>
      <c r="V374" s="8" t="n">
        <v>0</v>
      </c>
      <c r="W374" s="8" t="n">
        <v>0</v>
      </c>
      <c r="X374" s="8" t="n">
        <v>0</v>
      </c>
      <c r="Y374" s="8" t="inlineStr">
        <is>
          <t>BB play#22 (T3); adv 2B on defensive indifference (play#24 embedded); adv 3B on C Hitzel single (play#24); scored on C Shanks triple (play#25); K_S play#40 (Seq#40 Strike3 swinging)</t>
        </is>
      </c>
    </row>
    <row r="375" ht="15.75" customHeight="1" s="35">
      <c r="A375" s="8" t="inlineStr">
        <is>
          <t>2026-03-14_LBRT_at_GLNL</t>
        </is>
      </c>
      <c r="B375" s="2" t="n">
        <v>46095</v>
      </c>
      <c r="C375" s="8" t="inlineStr">
        <is>
          <t>GLNL</t>
        </is>
      </c>
      <c r="D375" s="8" t="inlineStr">
        <is>
          <t>LBRT</t>
        </is>
      </c>
      <c r="E375" s="8" t="inlineStr">
        <is>
          <t>B Knight</t>
        </is>
      </c>
      <c r="F375" s="8" t="n">
        <v>1</v>
      </c>
      <c r="G375" s="8" t="n">
        <v>1</v>
      </c>
      <c r="H375" s="8" t="n">
        <v>0</v>
      </c>
      <c r="I375" s="8" t="n">
        <v>0</v>
      </c>
      <c r="J375" s="8" t="n">
        <v>0</v>
      </c>
      <c r="K375" s="8" t="n">
        <v>0</v>
      </c>
      <c r="L375" s="8" t="n">
        <v>0</v>
      </c>
      <c r="M375" s="8" t="n">
        <v>0</v>
      </c>
      <c r="N375" s="8" t="n">
        <v>0</v>
      </c>
      <c r="O375" s="8" t="n">
        <v>1</v>
      </c>
      <c r="P375" s="8" t="n">
        <v>0</v>
      </c>
      <c r="Q375" s="8" t="n">
        <v>1</v>
      </c>
      <c r="R375" s="8" t="n">
        <v>0</v>
      </c>
      <c r="S375" s="8" t="n">
        <v>0</v>
      </c>
      <c r="T375" s="8" t="n">
        <v>0</v>
      </c>
      <c r="U375" s="8" t="n">
        <v>0</v>
      </c>
      <c r="V375" s="8" t="n">
        <v>0</v>
      </c>
      <c r="W375" s="8" t="n">
        <v>0</v>
      </c>
      <c r="X375" s="8" t="n">
        <v>0</v>
      </c>
      <c r="Y375" s="8" t="inlineStr">
        <is>
          <t>Entered for batter D McGarity (play#42, T5, Flag#5); K_S (Seq#42 Strike3 swinging); D McGarity still credited as baserunner per Flag#5</t>
        </is>
      </c>
    </row>
    <row r="376" ht="15.75" customHeight="1" s="35">
      <c r="A376" s="8" t="inlineStr">
        <is>
          <t>2026-03-14_LBRT_at_GLNL</t>
        </is>
      </c>
      <c r="B376" s="2" t="n">
        <v>46095</v>
      </c>
      <c r="C376" s="8" t="inlineStr">
        <is>
          <t>GLNL</t>
        </is>
      </c>
      <c r="D376" s="8" t="inlineStr">
        <is>
          <t>LBRT</t>
        </is>
      </c>
      <c r="E376" s="8" t="inlineStr">
        <is>
          <t>J Hebert</t>
        </is>
      </c>
      <c r="F376" s="8" t="n">
        <v>1</v>
      </c>
      <c r="G376" s="8" t="n">
        <v>1</v>
      </c>
      <c r="H376" s="8" t="n">
        <v>0</v>
      </c>
      <c r="I376" s="8" t="n">
        <v>0</v>
      </c>
      <c r="J376" s="8" t="n">
        <v>0</v>
      </c>
      <c r="K376" s="8" t="n">
        <v>0</v>
      </c>
      <c r="L376" s="8" t="n">
        <v>0</v>
      </c>
      <c r="M376" s="8" t="n">
        <v>0</v>
      </c>
      <c r="N376" s="8" t="n">
        <v>0</v>
      </c>
      <c r="O376" s="8" t="n">
        <v>1</v>
      </c>
      <c r="P376" s="8" t="n">
        <v>1</v>
      </c>
      <c r="Q376" s="8" t="n">
        <v>0</v>
      </c>
      <c r="R376" s="8" t="n">
        <v>0</v>
      </c>
      <c r="S376" s="8" t="n">
        <v>0</v>
      </c>
      <c r="T376" s="8" t="n">
        <v>0</v>
      </c>
      <c r="U376" s="8" t="n">
        <v>0</v>
      </c>
      <c r="V376" s="8" t="n">
        <v>0</v>
      </c>
      <c r="W376" s="8" t="n">
        <v>0</v>
      </c>
      <c r="X376" s="8" t="n">
        <v>0</v>
      </c>
      <c r="Y376" s="8" t="inlineStr">
        <is>
          <t>Entered for batter C Shanks (play#43, T5, Flag#5); K_L (Seq#43 Strike3 looking)</t>
        </is>
      </c>
    </row>
    <row r="377" ht="15.75" customHeight="1" s="35">
      <c r="A377" s="8" t="inlineStr">
        <is>
          <t>2026-03-14_LBRT_at_GLNL</t>
        </is>
      </c>
      <c r="B377" s="2" t="n">
        <v>46095</v>
      </c>
      <c r="C377" s="8" t="inlineStr">
        <is>
          <t>LBRT</t>
        </is>
      </c>
      <c r="D377" s="8" t="inlineStr">
        <is>
          <t>GLNL</t>
        </is>
      </c>
      <c r="E377" s="8" t="inlineStr">
        <is>
          <t>J Jones</t>
        </is>
      </c>
      <c r="F377" s="8" t="n">
        <v>3</v>
      </c>
      <c r="G377" s="8" t="n">
        <v>3</v>
      </c>
      <c r="H377" s="8" t="n">
        <v>2</v>
      </c>
      <c r="I377" s="8" t="n">
        <v>2</v>
      </c>
      <c r="J377" s="8" t="n">
        <v>0</v>
      </c>
      <c r="K377" s="8" t="n">
        <v>0</v>
      </c>
      <c r="L377" s="8" t="n">
        <v>0</v>
      </c>
      <c r="M377" s="8" t="n">
        <v>0</v>
      </c>
      <c r="N377" s="8" t="n">
        <v>0</v>
      </c>
      <c r="O377" s="8" t="n">
        <v>1</v>
      </c>
      <c r="P377" s="8" t="n">
        <v>0</v>
      </c>
      <c r="Q377" s="8" t="n">
        <v>1</v>
      </c>
      <c r="R377" s="8" t="n">
        <v>0</v>
      </c>
      <c r="S377" s="8" t="n">
        <v>0</v>
      </c>
      <c r="T377" s="8" t="n">
        <v>1</v>
      </c>
      <c r="U377" s="8" t="n">
        <v>1</v>
      </c>
      <c r="V377" s="8" t="n">
        <v>0</v>
      </c>
      <c r="W377" s="8" t="n">
        <v>0</v>
      </c>
      <c r="X377" s="8" t="n">
        <v>0</v>
      </c>
      <c r="Y377" s="8" t="inlineStr">
        <is>
          <t>CS play#6 embedded (during M Melhuish AB, B1 — catcher T Kane to SS B Freiert); SB play#39 embedded (during M Melhuish AB, B4); K_S play#17 (Seq#17 Strike3 swinging)</t>
        </is>
      </c>
    </row>
    <row r="378" ht="15.75" customHeight="1" s="35">
      <c r="A378" s="8" t="inlineStr">
        <is>
          <t>2026-03-14_LBRT_at_GLNL</t>
        </is>
      </c>
      <c r="B378" s="2" t="n">
        <v>46095</v>
      </c>
      <c r="C378" s="8" t="inlineStr">
        <is>
          <t>LBRT</t>
        </is>
      </c>
      <c r="D378" s="8" t="inlineStr">
        <is>
          <t>GLNL</t>
        </is>
      </c>
      <c r="E378" s="8" t="inlineStr">
        <is>
          <t>M Melhuish</t>
        </is>
      </c>
      <c r="F378" s="8" t="n">
        <v>3</v>
      </c>
      <c r="G378" s="8" t="n">
        <v>2</v>
      </c>
      <c r="H378" s="8" t="n">
        <v>0</v>
      </c>
      <c r="I378" s="8" t="n">
        <v>0</v>
      </c>
      <c r="J378" s="8" t="n">
        <v>0</v>
      </c>
      <c r="K378" s="8" t="n">
        <v>0</v>
      </c>
      <c r="L378" s="8" t="n">
        <v>0</v>
      </c>
      <c r="M378" s="8" t="n">
        <v>1</v>
      </c>
      <c r="N378" s="8" t="n">
        <v>0</v>
      </c>
      <c r="O378" s="8" t="n">
        <v>1</v>
      </c>
      <c r="P378" s="8" t="n">
        <v>0</v>
      </c>
      <c r="Q378" s="8" t="n">
        <v>1</v>
      </c>
      <c r="R378" s="8" t="n">
        <v>0</v>
      </c>
      <c r="S378" s="8" t="n">
        <v>0</v>
      </c>
      <c r="T378" s="8" t="n">
        <v>0</v>
      </c>
      <c r="U378" s="8" t="n">
        <v>0</v>
      </c>
      <c r="V378" s="8" t="n">
        <v>0</v>
      </c>
      <c r="W378" s="8" t="n">
        <v>0</v>
      </c>
      <c r="X378" s="8" t="n">
        <v>0</v>
      </c>
      <c r="Y378" s="8" t="inlineStr">
        <is>
          <t>K_L play#39 (Seq#39 Strike3 looking — T Kane pitcher for AB completion); E reach play#18 (G Knauss scores on error — not RBI for M Melhuish); also GLNL starting pitcher T1-T2 (documented play#1 seq)</t>
        </is>
      </c>
    </row>
    <row r="379" ht="15.75" customHeight="1" s="35">
      <c r="A379" s="8" t="inlineStr">
        <is>
          <t>2026-03-14_LBRT_at_GLNL</t>
        </is>
      </c>
      <c r="B379" s="2" t="n">
        <v>46095</v>
      </c>
      <c r="C379" s="8" t="inlineStr">
        <is>
          <t>LBRT</t>
        </is>
      </c>
      <c r="D379" s="8" t="inlineStr">
        <is>
          <t>GLNL</t>
        </is>
      </c>
      <c r="E379" s="8" t="inlineStr">
        <is>
          <t>B Conlon</t>
        </is>
      </c>
      <c r="F379" s="8" t="n">
        <v>2</v>
      </c>
      <c r="G379" s="8" t="n">
        <v>2</v>
      </c>
      <c r="H379" s="8" t="n">
        <v>1</v>
      </c>
      <c r="I379" s="8" t="n">
        <v>0</v>
      </c>
      <c r="J379" s="8" t="n">
        <v>1</v>
      </c>
      <c r="K379" s="8" t="n">
        <v>0</v>
      </c>
      <c r="L379" s="8" t="n">
        <v>0</v>
      </c>
      <c r="M379" s="8" t="n">
        <v>0</v>
      </c>
      <c r="N379" s="8" t="n">
        <v>0</v>
      </c>
      <c r="O379" s="8" t="n">
        <v>0</v>
      </c>
      <c r="P379" s="8" t="n">
        <v>0</v>
      </c>
      <c r="Q379" s="8" t="n">
        <v>0</v>
      </c>
      <c r="R379" s="8" t="n">
        <v>0</v>
      </c>
      <c r="S379" s="8" t="n">
        <v>0</v>
      </c>
      <c r="T379" s="8" t="n">
        <v>0</v>
      </c>
      <c r="U379" s="8" t="n">
        <v>0</v>
      </c>
      <c r="V379" s="8" t="n">
        <v>0</v>
      </c>
      <c r="W379" s="8" t="n">
        <v>0</v>
      </c>
      <c r="X379" s="8" t="n">
        <v>0</v>
      </c>
      <c r="Y379" s="8" t="inlineStr">
        <is>
          <t>2B play#7 (B1); stranded at 2B end of B1; play#44 (Bottom 5th) no outcome — not counted as PA (Flag#3)</t>
        </is>
      </c>
    </row>
    <row r="380" ht="15.75" customHeight="1" s="35">
      <c r="A380" s="8" t="inlineStr">
        <is>
          <t>2026-03-14_LBRT_at_GLNL</t>
        </is>
      </c>
      <c r="B380" s="2" t="n">
        <v>46095</v>
      </c>
      <c r="C380" s="8" t="inlineStr">
        <is>
          <t>LBRT</t>
        </is>
      </c>
      <c r="D380" s="8" t="inlineStr">
        <is>
          <t>GLNL</t>
        </is>
      </c>
      <c r="E380" s="8" t="inlineStr">
        <is>
          <t>B Burckhardt</t>
        </is>
      </c>
      <c r="F380" s="8" t="n">
        <v>2</v>
      </c>
      <c r="G380" s="8" t="n">
        <v>1</v>
      </c>
      <c r="H380" s="8" t="n">
        <v>0</v>
      </c>
      <c r="I380" s="8" t="n">
        <v>0</v>
      </c>
      <c r="J380" s="8" t="n">
        <v>0</v>
      </c>
      <c r="K380" s="8" t="n">
        <v>0</v>
      </c>
      <c r="L380" s="8" t="n">
        <v>0</v>
      </c>
      <c r="M380" s="8" t="n">
        <v>1</v>
      </c>
      <c r="N380" s="8" t="n">
        <v>0</v>
      </c>
      <c r="O380" s="8" t="n">
        <v>1</v>
      </c>
      <c r="P380" s="8" t="n">
        <v>0</v>
      </c>
      <c r="Q380" s="8" t="n">
        <v>1</v>
      </c>
      <c r="R380" s="8" t="n">
        <v>0</v>
      </c>
      <c r="S380" s="8" t="n">
        <v>0</v>
      </c>
      <c r="T380" s="8" t="n">
        <v>1</v>
      </c>
      <c r="U380" s="8" t="n">
        <v>0</v>
      </c>
      <c r="V380" s="8" t="n">
        <v>0</v>
      </c>
      <c r="W380" s="8" t="n">
        <v>0</v>
      </c>
      <c r="X380" s="8" t="n">
        <v>0</v>
      </c>
      <c r="Y380" s="8" t="inlineStr">
        <is>
          <t>K_S play#8 (Seq#8 Strike3 swinging); BB play#28 (B3); SB play#29 embedded (during C Brown AB, B3); stranded at 2B end of B3</t>
        </is>
      </c>
    </row>
    <row r="381" ht="15.75" customHeight="1" s="35">
      <c r="A381" s="8" t="inlineStr">
        <is>
          <t>2026-03-14_LBRT_at_GLNL</t>
        </is>
      </c>
      <c r="B381" s="2" t="n">
        <v>46095</v>
      </c>
      <c r="C381" s="8" t="inlineStr">
        <is>
          <t>LBRT</t>
        </is>
      </c>
      <c r="D381" s="8" t="inlineStr">
        <is>
          <t>GLNL</t>
        </is>
      </c>
      <c r="E381" s="8" t="inlineStr">
        <is>
          <t>C Brown</t>
        </is>
      </c>
      <c r="F381" s="8" t="n">
        <v>2</v>
      </c>
      <c r="G381" s="8" t="n">
        <v>2</v>
      </c>
      <c r="H381" s="8" t="n">
        <v>0</v>
      </c>
      <c r="I381" s="8" t="n">
        <v>0</v>
      </c>
      <c r="J381" s="8" t="n">
        <v>0</v>
      </c>
      <c r="K381" s="8" t="n">
        <v>0</v>
      </c>
      <c r="L381" s="8" t="n">
        <v>0</v>
      </c>
      <c r="M381" s="8" t="n">
        <v>0</v>
      </c>
      <c r="N381" s="8" t="n">
        <v>0</v>
      </c>
      <c r="O381" s="8" t="n">
        <v>2</v>
      </c>
      <c r="P381" s="8" t="n">
        <v>0</v>
      </c>
      <c r="Q381" s="8" t="n">
        <v>2</v>
      </c>
      <c r="R381" s="8" t="n">
        <v>0</v>
      </c>
      <c r="S381" s="8" t="n">
        <v>0</v>
      </c>
      <c r="T381" s="8" t="n">
        <v>0</v>
      </c>
      <c r="U381" s="8" t="n">
        <v>0</v>
      </c>
      <c r="V381" s="8" t="n">
        <v>0</v>
      </c>
      <c r="W381" s="8" t="n">
        <v>0</v>
      </c>
      <c r="X381" s="8" t="n">
        <v>0</v>
      </c>
      <c r="Y381" s="8" t="inlineStr">
        <is>
          <t>K_S play#9 (Seq#9 Strike3 swinging); K_S play#29 (Seq#29 Strike3 swinging)</t>
        </is>
      </c>
    </row>
    <row r="382" ht="15.75" customHeight="1" s="35">
      <c r="A382" s="8" t="inlineStr">
        <is>
          <t>2026-03-14_LBRT_at_GLNL</t>
        </is>
      </c>
      <c r="B382" s="2" t="n">
        <v>46095</v>
      </c>
      <c r="C382" s="8" t="inlineStr">
        <is>
          <t>LBRT</t>
        </is>
      </c>
      <c r="D382" s="8" t="inlineStr">
        <is>
          <t>GLNL</t>
        </is>
      </c>
      <c r="E382" s="8" t="inlineStr">
        <is>
          <t>C Lease</t>
        </is>
      </c>
      <c r="F382" s="8" t="n">
        <v>2</v>
      </c>
      <c r="G382" s="8" t="n">
        <v>1</v>
      </c>
      <c r="H382" s="8" t="n">
        <v>0</v>
      </c>
      <c r="I382" s="8" t="n">
        <v>0</v>
      </c>
      <c r="J382" s="8" t="n">
        <v>0</v>
      </c>
      <c r="K382" s="8" t="n">
        <v>0</v>
      </c>
      <c r="L382" s="8" t="n">
        <v>0</v>
      </c>
      <c r="M382" s="8" t="n">
        <v>1</v>
      </c>
      <c r="N382" s="8" t="n">
        <v>0</v>
      </c>
      <c r="O382" s="8" t="n">
        <v>0</v>
      </c>
      <c r="P382" s="8" t="n">
        <v>0</v>
      </c>
      <c r="Q382" s="8" t="n">
        <v>0</v>
      </c>
      <c r="R382" s="8" t="n">
        <v>1</v>
      </c>
      <c r="S382" s="8" t="n">
        <v>0</v>
      </c>
      <c r="T382" s="8" t="n">
        <v>0</v>
      </c>
      <c r="U382" s="8" t="n">
        <v>0</v>
      </c>
      <c r="V382" s="8" t="n">
        <v>0</v>
      </c>
      <c r="W382" s="8" t="n">
        <v>0</v>
      </c>
      <c r="X382" s="8" t="n">
        <v>0</v>
      </c>
      <c r="Y382" s="8" t="inlineStr">
        <is>
          <t>BB play#13 (B2); CR E Laprise in for C Lease (play#14 seq) — E Laprise scores on A Nazelrod 2B; R credited to C Lease per CR convention; also catcher — E play#24 (C DiCerbo scores on catcher error, T3, Flag#8)</t>
        </is>
      </c>
    </row>
    <row r="383" ht="15.75" customHeight="1" s="35">
      <c r="A383" s="8" t="inlineStr">
        <is>
          <t>2026-03-14_LBRT_at_GLNL</t>
        </is>
      </c>
      <c r="B383" s="2" t="n">
        <v>46095</v>
      </c>
      <c r="C383" s="8" t="inlineStr">
        <is>
          <t>LBRT</t>
        </is>
      </c>
      <c r="D383" s="8" t="inlineStr">
        <is>
          <t>GLNL</t>
        </is>
      </c>
      <c r="E383" s="8" t="inlineStr">
        <is>
          <t>A Nazelrod</t>
        </is>
      </c>
      <c r="F383" s="8" t="n">
        <v>2</v>
      </c>
      <c r="G383" s="8" t="n">
        <v>2</v>
      </c>
      <c r="H383" s="8" t="n">
        <v>1</v>
      </c>
      <c r="I383" s="8" t="n">
        <v>0</v>
      </c>
      <c r="J383" s="8" t="n">
        <v>1</v>
      </c>
      <c r="K383" s="8" t="n">
        <v>0</v>
      </c>
      <c r="L383" s="8" t="n">
        <v>0</v>
      </c>
      <c r="M383" s="8" t="n">
        <v>0</v>
      </c>
      <c r="N383" s="8" t="n">
        <v>0</v>
      </c>
      <c r="O383" s="8" t="n">
        <v>0</v>
      </c>
      <c r="P383" s="8" t="n">
        <v>0</v>
      </c>
      <c r="Q383" s="8" t="n">
        <v>0</v>
      </c>
      <c r="R383" s="8" t="n">
        <v>1</v>
      </c>
      <c r="S383" s="8" t="n">
        <v>1</v>
      </c>
      <c r="T383" s="8" t="n">
        <v>0</v>
      </c>
      <c r="U383" s="8" t="n">
        <v>0</v>
      </c>
      <c r="V383" s="8" t="n">
        <v>0</v>
      </c>
      <c r="W383" s="8" t="n">
        <v>0</v>
      </c>
      <c r="X383" s="8" t="n">
        <v>0</v>
      </c>
      <c r="Y383" s="8" t="inlineStr">
        <is>
          <t>2B play#14 (RBI: E Laprise/C Lease scores); adv 3B on PB (play#16 embedded); scored on G Knauss 2B (play#16)</t>
        </is>
      </c>
    </row>
    <row r="384" ht="15.75" customHeight="1" s="35">
      <c r="A384" s="8" t="inlineStr">
        <is>
          <t>2026-03-14_LBRT_at_GLNL</t>
        </is>
      </c>
      <c r="B384" s="2" t="n">
        <v>46095</v>
      </c>
      <c r="C384" s="8" t="inlineStr">
        <is>
          <t>LBRT</t>
        </is>
      </c>
      <c r="D384" s="8" t="inlineStr">
        <is>
          <t>GLNL</t>
        </is>
      </c>
      <c r="E384" s="8" t="inlineStr">
        <is>
          <t>P Moreau</t>
        </is>
      </c>
      <c r="F384" s="8" t="n">
        <v>2</v>
      </c>
      <c r="G384" s="8" t="n">
        <v>2</v>
      </c>
      <c r="H384" s="8" t="n">
        <v>0</v>
      </c>
      <c r="I384" s="8" t="n">
        <v>0</v>
      </c>
      <c r="J384" s="8" t="n">
        <v>0</v>
      </c>
      <c r="K384" s="8" t="n">
        <v>0</v>
      </c>
      <c r="L384" s="8" t="n">
        <v>0</v>
      </c>
      <c r="M384" s="8" t="n">
        <v>0</v>
      </c>
      <c r="N384" s="8" t="n">
        <v>0</v>
      </c>
      <c r="O384" s="8" t="n">
        <v>1</v>
      </c>
      <c r="P384" s="8" t="n">
        <v>1</v>
      </c>
      <c r="Q384" s="8" t="n">
        <v>0</v>
      </c>
      <c r="R384" s="8" t="n">
        <v>0</v>
      </c>
      <c r="S384" s="8" t="n">
        <v>0</v>
      </c>
      <c r="T384" s="8" t="n">
        <v>0</v>
      </c>
      <c r="U384" s="8" t="n">
        <v>0</v>
      </c>
      <c r="V384" s="8" t="n">
        <v>0</v>
      </c>
      <c r="W384" s="8" t="n">
        <v>0</v>
      </c>
      <c r="X384" s="8" t="n">
        <v>0</v>
      </c>
      <c r="Y384" s="8" t="inlineStr">
        <is>
          <t>K_L play#36 (Seq#36 Strike3 looking)</t>
        </is>
      </c>
    </row>
    <row r="385" ht="15.75" customHeight="1" s="35">
      <c r="A385" s="8" t="inlineStr">
        <is>
          <t>2026-03-14_LBRT_at_GLNL</t>
        </is>
      </c>
      <c r="B385" s="2" t="n">
        <v>46095</v>
      </c>
      <c r="C385" s="8" t="inlineStr">
        <is>
          <t>LBRT</t>
        </is>
      </c>
      <c r="D385" s="8" t="inlineStr">
        <is>
          <t>GLNL</t>
        </is>
      </c>
      <c r="E385" s="8" t="inlineStr">
        <is>
          <t>G Knauss</t>
        </is>
      </c>
      <c r="F385" s="8" t="n">
        <v>2</v>
      </c>
      <c r="G385" s="8" t="n">
        <v>2</v>
      </c>
      <c r="H385" s="8" t="n">
        <v>1</v>
      </c>
      <c r="I385" s="8" t="n">
        <v>0</v>
      </c>
      <c r="J385" s="8" t="n">
        <v>1</v>
      </c>
      <c r="K385" s="8" t="n">
        <v>0</v>
      </c>
      <c r="L385" s="8" t="n">
        <v>0</v>
      </c>
      <c r="M385" s="8" t="n">
        <v>0</v>
      </c>
      <c r="N385" s="8" t="n">
        <v>0</v>
      </c>
      <c r="O385" s="8" t="n">
        <v>1</v>
      </c>
      <c r="P385" s="8" t="n">
        <v>1</v>
      </c>
      <c r="Q385" s="8" t="n">
        <v>0</v>
      </c>
      <c r="R385" s="8" t="n">
        <v>1</v>
      </c>
      <c r="S385" s="8" t="n">
        <v>1</v>
      </c>
      <c r="T385" s="8" t="n">
        <v>0</v>
      </c>
      <c r="U385" s="8" t="n">
        <v>0</v>
      </c>
      <c r="V385" s="8" t="n">
        <v>0</v>
      </c>
      <c r="W385" s="8" t="n">
        <v>0</v>
      </c>
      <c r="X385" s="8" t="n">
        <v>0</v>
      </c>
      <c r="Y385" s="8" t="inlineStr">
        <is>
          <t>2B play#16 (RBI: A Nazelrod scores); scored on M Melhuish E reach (play#18) — run scored on error, not RBI for M Melhuish; K_L play#37 (Seq#37 Strike3 looking)</t>
        </is>
      </c>
    </row>
    <row r="386" ht="15.75" customHeight="1" s="35">
      <c r="A386" s="8" t="inlineStr">
        <is>
          <t>2026-03-21_GLNL_at_MRRT</t>
        </is>
      </c>
      <c r="B386" s="2" t="n">
        <v>46102</v>
      </c>
      <c r="C386" s="8" t="inlineStr">
        <is>
          <t>MRRT</t>
        </is>
      </c>
      <c r="D386" s="8" t="inlineStr">
        <is>
          <t>GLNL</t>
        </is>
      </c>
      <c r="E386" s="8" t="inlineStr">
        <is>
          <t>A Baker</t>
        </is>
      </c>
      <c r="F386" s="8" t="n">
        <v>3</v>
      </c>
      <c r="G386" s="8" t="n">
        <v>2</v>
      </c>
      <c r="H386" s="8" t="n">
        <v>0</v>
      </c>
      <c r="I386" s="8" t="n">
        <v>0</v>
      </c>
      <c r="J386" s="8" t="n">
        <v>0</v>
      </c>
      <c r="K386" s="8" t="n">
        <v>0</v>
      </c>
      <c r="L386" s="8" t="n">
        <v>0</v>
      </c>
      <c r="M386" s="8" t="n">
        <v>1</v>
      </c>
      <c r="N386" s="8" t="n">
        <v>0</v>
      </c>
      <c r="O386" s="8" t="n">
        <v>1</v>
      </c>
      <c r="P386" s="8" t="n">
        <v>1</v>
      </c>
      <c r="Q386" s="8" t="n">
        <v>0</v>
      </c>
      <c r="R386" s="8" t="n">
        <v>0</v>
      </c>
      <c r="S386" s="8" t="n">
        <v>0</v>
      </c>
      <c r="T386" s="8" t="n">
        <v>0</v>
      </c>
      <c r="U386" s="8" t="n">
        <v>0</v>
      </c>
      <c r="V386" s="8" t="n">
        <v>0</v>
      </c>
      <c r="W386" s="8" t="n">
        <v>0</v>
      </c>
      <c r="X386" s="8" t="n">
        <v>0</v>
      </c>
      <c r="Y386" s="8" t="inlineStr">
        <is>
          <t>K_L play#1 (Seq#1 Strike3 looking — against S Thomas per mid-AB rule; anonymous MRRT starter threw 5 prior pitches); BB play#38 (J Yeich mid-AB entry)</t>
        </is>
      </c>
    </row>
    <row r="387" ht="15.75" customHeight="1" s="35">
      <c r="A387" s="8" t="inlineStr">
        <is>
          <t>2026-03-21_GLNL_at_MRRT</t>
        </is>
      </c>
      <c r="B387" s="2" t="n">
        <v>46102</v>
      </c>
      <c r="C387" s="8" t="inlineStr">
        <is>
          <t>MRRT</t>
        </is>
      </c>
      <c r="D387" s="8" t="inlineStr">
        <is>
          <t>GLNL</t>
        </is>
      </c>
      <c r="E387" s="8" t="inlineStr">
        <is>
          <t>E Laprise</t>
        </is>
      </c>
      <c r="F387" s="8" t="n">
        <v>3</v>
      </c>
      <c r="G387" s="8" t="n">
        <v>3</v>
      </c>
      <c r="H387" s="8" t="n">
        <v>0</v>
      </c>
      <c r="I387" s="8" t="n">
        <v>0</v>
      </c>
      <c r="J387" s="8" t="n">
        <v>0</v>
      </c>
      <c r="K387" s="8" t="n">
        <v>0</v>
      </c>
      <c r="L387" s="8" t="n">
        <v>0</v>
      </c>
      <c r="M387" s="8" t="n">
        <v>0</v>
      </c>
      <c r="N387" s="8" t="n">
        <v>0</v>
      </c>
      <c r="O387" s="8" t="n">
        <v>0</v>
      </c>
      <c r="P387" s="8" t="n">
        <v>0</v>
      </c>
      <c r="Q387" s="8" t="n">
        <v>0</v>
      </c>
      <c r="R387" s="8" t="n">
        <v>0</v>
      </c>
      <c r="S387" s="8" t="n">
        <v>0</v>
      </c>
      <c r="T387" s="8" t="n">
        <v>0</v>
      </c>
      <c r="U387" s="8" t="n">
        <v>0</v>
      </c>
      <c r="V387" s="8" t="n">
        <v>0</v>
      </c>
      <c r="W387" s="8" t="n">
        <v>0</v>
      </c>
      <c r="X387" s="8" t="n">
        <v>0</v>
      </c>
      <c r="Y387" s="8" t="inlineStr">
        <is>
          <t>Play#2 outcome 'Batter Out (other)' — mechanism unspecified (Flag#3); counted as AB; Seq#2: Ball 1, Foul, In play</t>
        </is>
      </c>
    </row>
    <row r="388" ht="15.75" customHeight="1" s="35">
      <c r="A388" s="8" t="inlineStr">
        <is>
          <t>2026-03-21_GLNL_at_MRRT</t>
        </is>
      </c>
      <c r="B388" s="2" t="n">
        <v>46102</v>
      </c>
      <c r="C388" s="8" t="inlineStr">
        <is>
          <t>MRRT</t>
        </is>
      </c>
      <c r="D388" s="8" t="inlineStr">
        <is>
          <t>GLNL</t>
        </is>
      </c>
      <c r="E388" s="8" t="inlineStr">
        <is>
          <t>M Melhuish</t>
        </is>
      </c>
      <c r="F388" s="8" t="n">
        <v>2</v>
      </c>
      <c r="G388" s="8" t="n">
        <v>1</v>
      </c>
      <c r="H388" s="8" t="n">
        <v>0</v>
      </c>
      <c r="I388" s="8" t="n">
        <v>0</v>
      </c>
      <c r="J388" s="8" t="n">
        <v>0</v>
      </c>
      <c r="K388" s="8" t="n">
        <v>0</v>
      </c>
      <c r="L388" s="8" t="n">
        <v>0</v>
      </c>
      <c r="M388" s="8" t="n">
        <v>1</v>
      </c>
      <c r="N388" s="8" t="n">
        <v>0</v>
      </c>
      <c r="O388" s="8" t="n">
        <v>0</v>
      </c>
      <c r="P388" s="8" t="n">
        <v>0</v>
      </c>
      <c r="Q388" s="8" t="n">
        <v>0</v>
      </c>
      <c r="R388" s="8" t="n">
        <v>0</v>
      </c>
      <c r="S388" s="8" t="n">
        <v>0</v>
      </c>
      <c r="T388" s="8" t="n">
        <v>0</v>
      </c>
      <c r="U388" s="8" t="n">
        <v>0</v>
      </c>
      <c r="V388" s="8" t="n">
        <v>0</v>
      </c>
      <c r="W388" s="8" t="n">
        <v>0</v>
      </c>
      <c r="X388" s="8" t="n">
        <v>0</v>
      </c>
      <c r="Y388" s="8" t="inlineStr">
        <is>
          <t>BB play#3 (T1); E reach play#27 (T4) — not a H; adv 2B on PB play#29 embedded (J Miles AB); stranded</t>
        </is>
      </c>
    </row>
    <row r="389" ht="15.75" customHeight="1" s="35">
      <c r="A389" s="8" t="inlineStr">
        <is>
          <t>2026-03-21_GLNL_at_MRRT</t>
        </is>
      </c>
      <c r="B389" s="2" t="n">
        <v>46102</v>
      </c>
      <c r="C389" s="8" t="inlineStr">
        <is>
          <t>MRRT</t>
        </is>
      </c>
      <c r="D389" s="8" t="inlineStr">
        <is>
          <t>GLNL</t>
        </is>
      </c>
      <c r="E389" s="8" t="inlineStr">
        <is>
          <t>B Conlon</t>
        </is>
      </c>
      <c r="F389" s="8" t="n">
        <v>2</v>
      </c>
      <c r="G389" s="8" t="n">
        <v>2</v>
      </c>
      <c r="H389" s="8" t="n">
        <v>0</v>
      </c>
      <c r="I389" s="8" t="n">
        <v>0</v>
      </c>
      <c r="J389" s="8" t="n">
        <v>0</v>
      </c>
      <c r="K389" s="8" t="n">
        <v>0</v>
      </c>
      <c r="L389" s="8" t="n">
        <v>0</v>
      </c>
      <c r="M389" s="8" t="n">
        <v>0</v>
      </c>
      <c r="N389" s="8" t="n">
        <v>0</v>
      </c>
      <c r="O389" s="8" t="n">
        <v>1</v>
      </c>
      <c r="P389" s="8" t="n">
        <v>0</v>
      </c>
      <c r="Q389" s="8" t="n">
        <v>1</v>
      </c>
      <c r="R389" s="8" t="n">
        <v>0</v>
      </c>
      <c r="S389" s="8" t="n">
        <v>0</v>
      </c>
      <c r="T389" s="8" t="n">
        <v>0</v>
      </c>
      <c r="U389" s="8" t="n">
        <v>0</v>
      </c>
      <c r="V389" s="8" t="n">
        <v>0</v>
      </c>
      <c r="W389" s="8" t="n">
        <v>0</v>
      </c>
      <c r="X389" s="8" t="n">
        <v>0</v>
      </c>
      <c r="Y389" s="8" t="inlineStr">
        <is>
          <t>K_S play#28 (Seq#28 Strike3 swinging)</t>
        </is>
      </c>
    </row>
    <row r="390" ht="15.75" customHeight="1" s="35">
      <c r="A390" s="8" t="inlineStr">
        <is>
          <t>2026-03-21_GLNL_at_MRRT</t>
        </is>
      </c>
      <c r="B390" s="2" t="n">
        <v>46102</v>
      </c>
      <c r="C390" s="8" t="inlineStr">
        <is>
          <t>MRRT</t>
        </is>
      </c>
      <c r="D390" s="8" t="inlineStr">
        <is>
          <t>GLNL</t>
        </is>
      </c>
      <c r="E390" s="8" t="inlineStr">
        <is>
          <t>J Miles</t>
        </is>
      </c>
      <c r="F390" s="8" t="n">
        <v>2</v>
      </c>
      <c r="G390" s="8" t="n">
        <v>2</v>
      </c>
      <c r="H390" s="8" t="n">
        <v>0</v>
      </c>
      <c r="I390" s="8" t="n">
        <v>0</v>
      </c>
      <c r="J390" s="8" t="n">
        <v>0</v>
      </c>
      <c r="K390" s="8" t="n">
        <v>0</v>
      </c>
      <c r="L390" s="8" t="n">
        <v>0</v>
      </c>
      <c r="M390" s="8" t="n">
        <v>0</v>
      </c>
      <c r="N390" s="8" t="n">
        <v>0</v>
      </c>
      <c r="O390" s="8" t="n">
        <v>1</v>
      </c>
      <c r="P390" s="8" t="n">
        <v>0</v>
      </c>
      <c r="Q390" s="8" t="n">
        <v>1</v>
      </c>
      <c r="R390" s="8" t="n">
        <v>0</v>
      </c>
      <c r="S390" s="8" t="n">
        <v>0</v>
      </c>
      <c r="T390" s="8" t="n">
        <v>0</v>
      </c>
      <c r="U390" s="8" t="n">
        <v>0</v>
      </c>
      <c r="V390" s="8" t="n">
        <v>0</v>
      </c>
      <c r="W390" s="8" t="n">
        <v>0</v>
      </c>
      <c r="X390" s="8" t="n">
        <v>0</v>
      </c>
      <c r="Y390" s="8" t="inlineStr">
        <is>
          <t>K_S play#29 (Seq#29 Strike3 swinging); also GLNL starting pitcher B1-B3 (undocumented, Flag#1)</t>
        </is>
      </c>
    </row>
    <row r="391" ht="15.75" customHeight="1" s="35">
      <c r="A391" s="8" t="inlineStr">
        <is>
          <t>2026-03-21_GLNL_at_MRRT</t>
        </is>
      </c>
      <c r="B391" s="2" t="n">
        <v>46102</v>
      </c>
      <c r="C391" s="8" t="inlineStr">
        <is>
          <t>MRRT</t>
        </is>
      </c>
      <c r="D391" s="8" t="inlineStr">
        <is>
          <t>GLNL</t>
        </is>
      </c>
      <c r="E391" s="8" t="inlineStr">
        <is>
          <t>C Lease</t>
        </is>
      </c>
      <c r="F391" s="8" t="n">
        <v>2</v>
      </c>
      <c r="G391" s="8" t="n">
        <v>2</v>
      </c>
      <c r="H391" s="8" t="n">
        <v>1</v>
      </c>
      <c r="I391" s="8" t="n">
        <v>0</v>
      </c>
      <c r="J391" s="8" t="n">
        <v>1</v>
      </c>
      <c r="K391" s="8" t="n">
        <v>0</v>
      </c>
      <c r="L391" s="8" t="n">
        <v>0</v>
      </c>
      <c r="M391" s="8" t="n">
        <v>0</v>
      </c>
      <c r="N391" s="8" t="n">
        <v>0</v>
      </c>
      <c r="O391" s="8" t="n">
        <v>1</v>
      </c>
      <c r="P391" s="8" t="n">
        <v>0</v>
      </c>
      <c r="Q391" s="8" t="n">
        <v>1</v>
      </c>
      <c r="R391" s="8" t="n">
        <v>0</v>
      </c>
      <c r="S391" s="8" t="n">
        <v>0</v>
      </c>
      <c r="T391" s="8" t="n">
        <v>0</v>
      </c>
      <c r="U391" s="8" t="n">
        <v>0</v>
      </c>
      <c r="V391" s="8" t="n">
        <v>0</v>
      </c>
      <c r="W391" s="8" t="n">
        <v>0</v>
      </c>
      <c r="X391" s="8" t="n">
        <v>0</v>
      </c>
      <c r="Y391" s="8" t="inlineStr">
        <is>
          <t>K_S play#9 (Seq#9 Strike3 swinging); 2B play#34 (T5); stranded at 3B end of T5 (adv 3B on A Baker walk play#38)</t>
        </is>
      </c>
    </row>
    <row r="392" ht="15.75" customHeight="1" s="35">
      <c r="A392" s="8" t="inlineStr">
        <is>
          <t>2026-03-21_GLNL_at_MRRT</t>
        </is>
      </c>
      <c r="B392" s="2" t="n">
        <v>46102</v>
      </c>
      <c r="C392" s="8" t="inlineStr">
        <is>
          <t>MRRT</t>
        </is>
      </c>
      <c r="D392" s="8" t="inlineStr">
        <is>
          <t>GLNL</t>
        </is>
      </c>
      <c r="E392" s="8" t="inlineStr">
        <is>
          <t>A Nazelrod</t>
        </is>
      </c>
      <c r="F392" s="8" t="n">
        <v>2</v>
      </c>
      <c r="G392" s="8" t="n">
        <v>2</v>
      </c>
      <c r="H392" s="8" t="n">
        <v>0</v>
      </c>
      <c r="I392" s="8" t="n">
        <v>0</v>
      </c>
      <c r="J392" s="8" t="n">
        <v>0</v>
      </c>
      <c r="K392" s="8" t="n">
        <v>0</v>
      </c>
      <c r="L392" s="8" t="n">
        <v>0</v>
      </c>
      <c r="M392" s="8" t="n">
        <v>0</v>
      </c>
      <c r="N392" s="8" t="n">
        <v>0</v>
      </c>
      <c r="O392" s="8" t="n">
        <v>0</v>
      </c>
      <c r="P392" s="8" t="n">
        <v>0</v>
      </c>
      <c r="Q392" s="8" t="n">
        <v>0</v>
      </c>
      <c r="R392" s="8" t="n">
        <v>0</v>
      </c>
      <c r="S392" s="8" t="n">
        <v>0</v>
      </c>
      <c r="T392" s="8" t="n">
        <v>0</v>
      </c>
      <c r="U392" s="8" t="n">
        <v>0</v>
      </c>
      <c r="V392" s="8" t="n">
        <v>0</v>
      </c>
      <c r="W392" s="8" t="n">
        <v>0</v>
      </c>
      <c r="X392" s="8" t="n">
        <v>0</v>
      </c>
    </row>
    <row r="393" ht="15.75" customHeight="1" s="35">
      <c r="A393" s="8" t="inlineStr">
        <is>
          <t>2026-03-21_GLNL_at_MRRT</t>
        </is>
      </c>
      <c r="B393" s="2" t="n">
        <v>46102</v>
      </c>
      <c r="C393" s="8" t="inlineStr">
        <is>
          <t>MRRT</t>
        </is>
      </c>
      <c r="D393" s="8" t="inlineStr">
        <is>
          <t>GLNL</t>
        </is>
      </c>
      <c r="E393" s="8" t="inlineStr">
        <is>
          <t>C Brown</t>
        </is>
      </c>
      <c r="F393" s="8" t="n">
        <v>2</v>
      </c>
      <c r="G393" s="8" t="n">
        <v>2</v>
      </c>
      <c r="H393" s="8" t="n">
        <v>0</v>
      </c>
      <c r="I393" s="8" t="n">
        <v>0</v>
      </c>
      <c r="J393" s="8" t="n">
        <v>0</v>
      </c>
      <c r="K393" s="8" t="n">
        <v>0</v>
      </c>
      <c r="L393" s="8" t="n">
        <v>0</v>
      </c>
      <c r="M393" s="8" t="n">
        <v>0</v>
      </c>
      <c r="N393" s="8" t="n">
        <v>0</v>
      </c>
      <c r="O393" s="8" t="n">
        <v>2</v>
      </c>
      <c r="P393" s="8" t="n">
        <v>1</v>
      </c>
      <c r="Q393" s="8" t="n">
        <v>1</v>
      </c>
      <c r="R393" s="8" t="n">
        <v>0</v>
      </c>
      <c r="S393" s="8" t="n">
        <v>0</v>
      </c>
      <c r="T393" s="8" t="n">
        <v>0</v>
      </c>
      <c r="U393" s="8" t="n">
        <v>0</v>
      </c>
      <c r="V393" s="8" t="n">
        <v>0</v>
      </c>
      <c r="W393" s="8" t="n">
        <v>0</v>
      </c>
      <c r="X393" s="8" t="n">
        <v>0</v>
      </c>
      <c r="Y393" s="8" t="inlineStr">
        <is>
          <t>K_S play#16 (Seq#16 Strike3 swinging); K_L play#36 (Seq#36 Strike3 looking)</t>
        </is>
      </c>
    </row>
    <row r="394" ht="15.75" customHeight="1" s="35">
      <c r="A394" s="8" t="inlineStr">
        <is>
          <t>2026-03-21_GLNL_at_MRRT</t>
        </is>
      </c>
      <c r="B394" s="2" t="n">
        <v>46102</v>
      </c>
      <c r="C394" s="8" t="inlineStr">
        <is>
          <t>MRRT</t>
        </is>
      </c>
      <c r="D394" s="8" t="inlineStr">
        <is>
          <t>GLNL</t>
        </is>
      </c>
      <c r="E394" s="8" t="inlineStr">
        <is>
          <t>G Knauss</t>
        </is>
      </c>
      <c r="F394" s="8" t="n">
        <v>2</v>
      </c>
      <c r="G394" s="8" t="n">
        <v>1</v>
      </c>
      <c r="H394" s="8" t="n">
        <v>0</v>
      </c>
      <c r="I394" s="8" t="n">
        <v>0</v>
      </c>
      <c r="J394" s="8" t="n">
        <v>0</v>
      </c>
      <c r="K394" s="8" t="n">
        <v>0</v>
      </c>
      <c r="L394" s="8" t="n">
        <v>0</v>
      </c>
      <c r="M394" s="8" t="n">
        <v>1</v>
      </c>
      <c r="N394" s="8" t="n">
        <v>0</v>
      </c>
      <c r="O394" s="8" t="n">
        <v>0</v>
      </c>
      <c r="P394" s="8" t="n">
        <v>0</v>
      </c>
      <c r="Q394" s="8" t="n">
        <v>0</v>
      </c>
      <c r="R394" s="8" t="n">
        <v>0</v>
      </c>
      <c r="S394" s="8" t="n">
        <v>0</v>
      </c>
      <c r="T394" s="8" t="n">
        <v>0</v>
      </c>
      <c r="U394" s="8" t="n">
        <v>0</v>
      </c>
      <c r="V394" s="8" t="n">
        <v>0</v>
      </c>
      <c r="W394" s="8" t="n">
        <v>0</v>
      </c>
      <c r="X394" s="8" t="n">
        <v>0</v>
      </c>
      <c r="Y394" s="8" t="inlineStr">
        <is>
          <t>BB play#37 (T5); stranded at 2B end of T5 (adv 2B on A Baker walk play#38)</t>
        </is>
      </c>
    </row>
    <row r="395" ht="15.75" customHeight="1" s="35">
      <c r="A395" s="8" t="inlineStr">
        <is>
          <t>2026-03-21_GLNL_at_MRRT</t>
        </is>
      </c>
      <c r="B395" s="2" t="n">
        <v>46102</v>
      </c>
      <c r="C395" s="8" t="inlineStr">
        <is>
          <t>GLNL</t>
        </is>
      </c>
      <c r="D395" s="8" t="inlineStr">
        <is>
          <t>MRRT</t>
        </is>
      </c>
      <c r="E395" s="8" t="inlineStr">
        <is>
          <t>O Snow</t>
        </is>
      </c>
      <c r="F395" s="8" t="n">
        <v>2</v>
      </c>
      <c r="G395" s="8" t="n">
        <v>2</v>
      </c>
      <c r="H395" s="8" t="n">
        <v>0</v>
      </c>
      <c r="I395" s="8" t="n">
        <v>0</v>
      </c>
      <c r="J395" s="8" t="n">
        <v>0</v>
      </c>
      <c r="K395" s="8" t="n">
        <v>0</v>
      </c>
      <c r="L395" s="8" t="n">
        <v>0</v>
      </c>
      <c r="M395" s="8" t="n">
        <v>0</v>
      </c>
      <c r="N395" s="8" t="n">
        <v>0</v>
      </c>
      <c r="O395" s="8" t="n">
        <v>0</v>
      </c>
      <c r="P395" s="8" t="n">
        <v>0</v>
      </c>
      <c r="Q395" s="8" t="n">
        <v>0</v>
      </c>
      <c r="R395" s="8" t="n">
        <v>1</v>
      </c>
      <c r="S395" s="8" t="n">
        <v>0</v>
      </c>
      <c r="T395" s="8" t="n">
        <v>0</v>
      </c>
      <c r="U395" s="8" t="n">
        <v>0</v>
      </c>
      <c r="V395" s="8" t="n">
        <v>0</v>
      </c>
      <c r="W395" s="8" t="n">
        <v>0</v>
      </c>
      <c r="X395" s="8" t="n">
        <v>1</v>
      </c>
      <c r="Y395" s="8" t="inlineStr">
        <is>
          <t>FC play#20 (B3 — M Delmonte out advancing; O Snow reaches); scored on M Parson 1B (play#22, B3); play#48 (B5) incomplete AB — game ends, not counted as PA (Flag#2)</t>
        </is>
      </c>
    </row>
    <row r="396" ht="15.75" customHeight="1" s="35">
      <c r="A396" s="8" t="inlineStr">
        <is>
          <t>2026-03-21_GLNL_at_MRRT</t>
        </is>
      </c>
      <c r="B396" s="2" t="n">
        <v>46102</v>
      </c>
      <c r="C396" s="8" t="inlineStr">
        <is>
          <t>GLNL</t>
        </is>
      </c>
      <c r="D396" s="8" t="inlineStr">
        <is>
          <t>MRRT</t>
        </is>
      </c>
      <c r="E396" s="8" t="inlineStr">
        <is>
          <t>A Schwendeman</t>
        </is>
      </c>
      <c r="F396" s="8" t="n">
        <v>3</v>
      </c>
      <c r="G396" s="8" t="n">
        <v>2</v>
      </c>
      <c r="H396" s="8" t="n">
        <v>0</v>
      </c>
      <c r="I396" s="8" t="n">
        <v>0</v>
      </c>
      <c r="J396" s="8" t="n">
        <v>0</v>
      </c>
      <c r="K396" s="8" t="n">
        <v>0</v>
      </c>
      <c r="L396" s="8" t="n">
        <v>0</v>
      </c>
      <c r="M396" s="8" t="n">
        <v>1</v>
      </c>
      <c r="N396" s="8" t="n">
        <v>0</v>
      </c>
      <c r="O396" s="8" t="n">
        <v>0</v>
      </c>
      <c r="P396" s="8" t="n">
        <v>0</v>
      </c>
      <c r="Q396" s="8" t="n">
        <v>0</v>
      </c>
      <c r="R396" s="8" t="n">
        <v>1</v>
      </c>
      <c r="S396" s="8" t="n">
        <v>0</v>
      </c>
      <c r="T396" s="8" t="n">
        <v>0</v>
      </c>
      <c r="U396" s="8" t="n">
        <v>0</v>
      </c>
      <c r="V396" s="8" t="n">
        <v>0</v>
      </c>
      <c r="W396" s="8" t="n">
        <v>0</v>
      </c>
      <c r="X396" s="8" t="n">
        <v>0</v>
      </c>
      <c r="Y396" s="8" t="inlineStr">
        <is>
          <t>BB play#21 (B3); adv 3B on E by pitcher J Miles (play#23 embedded); scored on N Brown 1B (play#23, B3); also SS (E play#27 Top 4th)</t>
        </is>
      </c>
    </row>
    <row r="397" ht="15.75" customHeight="1" s="35">
      <c r="A397" s="8" t="inlineStr">
        <is>
          <t>2026-03-21_GLNL_at_MRRT</t>
        </is>
      </c>
      <c r="B397" s="2" t="n">
        <v>46102</v>
      </c>
      <c r="C397" s="8" t="inlineStr">
        <is>
          <t>GLNL</t>
        </is>
      </c>
      <c r="D397" s="8" t="inlineStr">
        <is>
          <t>MRRT</t>
        </is>
      </c>
      <c r="E397" s="8" t="inlineStr">
        <is>
          <t>M Parson</t>
        </is>
      </c>
      <c r="F397" s="8" t="n">
        <v>3</v>
      </c>
      <c r="G397" s="8" t="n">
        <v>2</v>
      </c>
      <c r="H397" s="8" t="n">
        <v>1</v>
      </c>
      <c r="I397" s="8" t="n">
        <v>1</v>
      </c>
      <c r="J397" s="8" t="n">
        <v>0</v>
      </c>
      <c r="K397" s="8" t="n">
        <v>0</v>
      </c>
      <c r="L397" s="8" t="n">
        <v>0</v>
      </c>
      <c r="M397" s="8" t="n">
        <v>1</v>
      </c>
      <c r="N397" s="8" t="n">
        <v>0</v>
      </c>
      <c r="O397" s="8" t="n">
        <v>1</v>
      </c>
      <c r="P397" s="8" t="n">
        <v>0</v>
      </c>
      <c r="Q397" s="8" t="n">
        <v>1</v>
      </c>
      <c r="R397" s="8" t="n">
        <v>2</v>
      </c>
      <c r="S397" s="8" t="n">
        <v>1</v>
      </c>
      <c r="T397" s="8" t="n">
        <v>0</v>
      </c>
      <c r="U397" s="8" t="n">
        <v>0</v>
      </c>
      <c r="V397" s="8" t="n">
        <v>0</v>
      </c>
      <c r="W397" s="8" t="n">
        <v>0</v>
      </c>
      <c r="X397" s="8" t="n">
        <v>0</v>
      </c>
      <c r="Y397" s="8" t="inlineStr">
        <is>
          <t>K_S play#7 (Seq#7 Strike3 swinging); 1B play#22 (RBI: O Snow scores); adv 2B on J Miles E (play#23 embedded); scored on N Brown 1B (play#23, B3); BB play#41 (B5); scored on Z Magee walk (play#44, B5)</t>
        </is>
      </c>
    </row>
    <row r="398" ht="15.75" customHeight="1" s="35">
      <c r="A398" s="8" t="inlineStr">
        <is>
          <t>2026-03-21_GLNL_at_MRRT</t>
        </is>
      </c>
      <c r="B398" s="2" t="n">
        <v>46102</v>
      </c>
      <c r="C398" s="8" t="inlineStr">
        <is>
          <t>GLNL</t>
        </is>
      </c>
      <c r="D398" s="8" t="inlineStr">
        <is>
          <t>MRRT</t>
        </is>
      </c>
      <c r="E398" s="8" t="inlineStr">
        <is>
          <t>N Brown</t>
        </is>
      </c>
      <c r="F398" s="8" t="n">
        <v>3</v>
      </c>
      <c r="G398" s="8" t="n">
        <v>3</v>
      </c>
      <c r="H398" s="8" t="n">
        <v>2</v>
      </c>
      <c r="I398" s="8" t="n">
        <v>2</v>
      </c>
      <c r="J398" s="8" t="n">
        <v>0</v>
      </c>
      <c r="K398" s="8" t="n">
        <v>0</v>
      </c>
      <c r="L398" s="8" t="n">
        <v>0</v>
      </c>
      <c r="M398" s="8" t="n">
        <v>0</v>
      </c>
      <c r="N398" s="8" t="n">
        <v>0</v>
      </c>
      <c r="O398" s="8" t="n">
        <v>0</v>
      </c>
      <c r="P398" s="8" t="n">
        <v>0</v>
      </c>
      <c r="Q398" s="8" t="n">
        <v>0</v>
      </c>
      <c r="R398" s="8" t="n">
        <v>1</v>
      </c>
      <c r="S398" s="8" t="n">
        <v>2</v>
      </c>
      <c r="T398" s="8" t="n">
        <v>0</v>
      </c>
      <c r="U398" s="8" t="n">
        <v>0</v>
      </c>
      <c r="V398" s="8" t="n">
        <v>0</v>
      </c>
      <c r="W398" s="8" t="n">
        <v>0</v>
      </c>
      <c r="X398" s="8" t="n">
        <v>0</v>
      </c>
      <c r="Y398" s="8" t="inlineStr">
        <is>
          <t>1B play#23 (RBI x2: M Parson + A Schwendeman score); 1B play#42 (B5); adv 2B play#43, adv 3B play#44; scored on J Devito FO tag-up (play#45, B5)</t>
        </is>
      </c>
    </row>
    <row r="399" ht="15.75" customHeight="1" s="35">
      <c r="A399" s="8" t="inlineStr">
        <is>
          <t>2026-03-21_GLNL_at_MRRT</t>
        </is>
      </c>
      <c r="B399" s="2" t="n">
        <v>46102</v>
      </c>
      <c r="C399" s="8" t="inlineStr">
        <is>
          <t>GLNL</t>
        </is>
      </c>
      <c r="D399" s="8" t="inlineStr">
        <is>
          <t>MRRT</t>
        </is>
      </c>
      <c r="E399" s="8" t="inlineStr">
        <is>
          <t>A Devito</t>
        </is>
      </c>
      <c r="F399" s="8" t="n">
        <v>3</v>
      </c>
      <c r="G399" s="8" t="n">
        <v>2</v>
      </c>
      <c r="H399" s="8" t="n">
        <v>1</v>
      </c>
      <c r="I399" s="8" t="n">
        <v>0</v>
      </c>
      <c r="J399" s="8" t="n">
        <v>1</v>
      </c>
      <c r="K399" s="8" t="n">
        <v>0</v>
      </c>
      <c r="L399" s="8" t="n">
        <v>0</v>
      </c>
      <c r="M399" s="8" t="n">
        <v>1</v>
      </c>
      <c r="N399" s="8" t="n">
        <v>0</v>
      </c>
      <c r="O399" s="8" t="n">
        <v>0</v>
      </c>
      <c r="P399" s="8" t="n">
        <v>0</v>
      </c>
      <c r="Q399" s="8" t="n">
        <v>0</v>
      </c>
      <c r="R399" s="8" t="n">
        <v>2</v>
      </c>
      <c r="S399" s="8" t="n">
        <v>0</v>
      </c>
      <c r="T399" s="8" t="n">
        <v>0</v>
      </c>
      <c r="U399" s="8" t="n">
        <v>0</v>
      </c>
      <c r="V399" s="8" t="n">
        <v>0</v>
      </c>
      <c r="W399" s="8" t="n">
        <v>0</v>
      </c>
      <c r="X399" s="8" t="n">
        <v>0</v>
      </c>
      <c r="Y399" s="8" t="inlineStr">
        <is>
          <t>2B play#12 (B2); adv 3B on Z Magee GO (play#13); scored on J Devito 3B (play#14); BB play#43 (B5); adv 3B (play#46 embedded — unspecified mechanism, Flag#6); scored on M Delmonte 3B (play#47, B5)</t>
        </is>
      </c>
    </row>
    <row r="400" ht="15.75" customHeight="1" s="35">
      <c r="A400" s="8" t="inlineStr">
        <is>
          <t>2026-03-21_GLNL_at_MRRT</t>
        </is>
      </c>
      <c r="B400" s="2" t="n">
        <v>46102</v>
      </c>
      <c r="C400" s="8" t="inlineStr">
        <is>
          <t>GLNL</t>
        </is>
      </c>
      <c r="D400" s="8" t="inlineStr">
        <is>
          <t>MRRT</t>
        </is>
      </c>
      <c r="E400" s="8" t="inlineStr">
        <is>
          <t>Z Magee</t>
        </is>
      </c>
      <c r="F400" s="8" t="n">
        <v>3</v>
      </c>
      <c r="G400" s="8" t="n">
        <v>2</v>
      </c>
      <c r="H400" s="8" t="n">
        <v>0</v>
      </c>
      <c r="I400" s="8" t="n">
        <v>0</v>
      </c>
      <c r="J400" s="8" t="n">
        <v>0</v>
      </c>
      <c r="K400" s="8" t="n">
        <v>0</v>
      </c>
      <c r="L400" s="8" t="n">
        <v>0</v>
      </c>
      <c r="M400" s="8" t="n">
        <v>1</v>
      </c>
      <c r="N400" s="8" t="n">
        <v>0</v>
      </c>
      <c r="O400" s="8" t="n">
        <v>1</v>
      </c>
      <c r="P400" s="8" t="n">
        <v>0</v>
      </c>
      <c r="Q400" s="8" t="n">
        <v>1</v>
      </c>
      <c r="R400" s="8" t="n">
        <v>1</v>
      </c>
      <c r="S400" s="8" t="n">
        <v>1</v>
      </c>
      <c r="T400" s="8" t="n">
        <v>0</v>
      </c>
      <c r="U400" s="8" t="n">
        <v>0</v>
      </c>
      <c r="V400" s="8" t="n">
        <v>0</v>
      </c>
      <c r="W400" s="8" t="n">
        <v>0</v>
      </c>
      <c r="X400" s="8" t="n">
        <v>0</v>
      </c>
      <c r="Y400" s="8" t="inlineStr">
        <is>
          <t>K_S play#25 (Seq#25 Strike3 swinging); BB play#44 (B5, RBI: M Parson scores); adv 2B play#46 (J Yeich walk); scored on M Delmonte 3B (play#47, B5)</t>
        </is>
      </c>
    </row>
    <row r="401" ht="15.75" customHeight="1" s="35">
      <c r="A401" s="8" t="inlineStr">
        <is>
          <t>2026-03-21_GLNL_at_MRRT</t>
        </is>
      </c>
      <c r="B401" s="2" t="n">
        <v>46102</v>
      </c>
      <c r="C401" s="8" t="inlineStr">
        <is>
          <t>GLNL</t>
        </is>
      </c>
      <c r="D401" s="8" t="inlineStr">
        <is>
          <t>MRRT</t>
        </is>
      </c>
      <c r="E401" s="8" t="inlineStr">
        <is>
          <t>J Devito</t>
        </is>
      </c>
      <c r="F401" s="8" t="n">
        <v>3</v>
      </c>
      <c r="G401" s="8" t="n">
        <v>3</v>
      </c>
      <c r="H401" s="8" t="n">
        <v>1</v>
      </c>
      <c r="I401" s="8" t="n">
        <v>0</v>
      </c>
      <c r="J401" s="8" t="n">
        <v>0</v>
      </c>
      <c r="K401" s="8" t="n">
        <v>1</v>
      </c>
      <c r="L401" s="8" t="n">
        <v>0</v>
      </c>
      <c r="M401" s="8" t="n">
        <v>0</v>
      </c>
      <c r="N401" s="8" t="n">
        <v>0</v>
      </c>
      <c r="O401" s="8" t="n">
        <v>1</v>
      </c>
      <c r="P401" s="8" t="n">
        <v>0</v>
      </c>
      <c r="Q401" s="8" t="n">
        <v>1</v>
      </c>
      <c r="R401" s="8" t="n">
        <v>0</v>
      </c>
      <c r="S401" s="8" t="n">
        <v>2</v>
      </c>
      <c r="T401" s="8" t="n">
        <v>0</v>
      </c>
      <c r="U401" s="8" t="n">
        <v>0</v>
      </c>
      <c r="V401" s="8" t="n">
        <v>0</v>
      </c>
      <c r="W401" s="8" t="n">
        <v>0</v>
      </c>
      <c r="X401" s="8" t="n">
        <v>0</v>
      </c>
      <c r="Y401" s="8" t="inlineStr">
        <is>
          <t>3B play#14 (B2, RBI: A Devito scores); stranded at 3B end of B2; K_S play#30 (Seq#30 Strike3 swinging — M Kirk pitcher); FO play#45 (B5, RBI: N Brown scores on tag-up — productive out per rules, not designated SAC, Flag#4)</t>
        </is>
      </c>
    </row>
    <row r="402" ht="15.75" customHeight="1" s="35">
      <c r="A402" s="8" t="inlineStr">
        <is>
          <t>2026-03-21_GLNL_at_MRRT</t>
        </is>
      </c>
      <c r="B402" s="2" t="n">
        <v>46102</v>
      </c>
      <c r="C402" s="8" t="inlineStr">
        <is>
          <t>GLNL</t>
        </is>
      </c>
      <c r="D402" s="8" t="inlineStr">
        <is>
          <t>MRRT</t>
        </is>
      </c>
      <c r="E402" s="8" t="inlineStr">
        <is>
          <t>S Thomas</t>
        </is>
      </c>
      <c r="F402" s="8" t="n">
        <v>2</v>
      </c>
      <c r="G402" s="8" t="n">
        <v>2</v>
      </c>
      <c r="H402" s="8" t="n">
        <v>0</v>
      </c>
      <c r="I402" s="8" t="n">
        <v>0</v>
      </c>
      <c r="J402" s="8" t="n">
        <v>0</v>
      </c>
      <c r="K402" s="8" t="n">
        <v>0</v>
      </c>
      <c r="L402" s="8" t="n">
        <v>0</v>
      </c>
      <c r="M402" s="8" t="n">
        <v>0</v>
      </c>
      <c r="N402" s="8" t="n">
        <v>0</v>
      </c>
      <c r="O402" s="8" t="n">
        <v>1</v>
      </c>
      <c r="P402" s="8" t="n">
        <v>0</v>
      </c>
      <c r="Q402" s="8" t="n">
        <v>1</v>
      </c>
      <c r="R402" s="8" t="n">
        <v>0</v>
      </c>
      <c r="S402" s="8" t="n">
        <v>0</v>
      </c>
      <c r="T402" s="8" t="n">
        <v>0</v>
      </c>
      <c r="U402" s="8" t="n">
        <v>0</v>
      </c>
      <c r="V402" s="8" t="n">
        <v>0</v>
      </c>
      <c r="W402" s="8" t="n">
        <v>0</v>
      </c>
      <c r="X402" s="8" t="n">
        <v>0</v>
      </c>
      <c r="Y402" s="8" t="inlineStr">
        <is>
          <t>K_S play#31 (Seq#31 Strike3 swinging — M Kirk pitcher); also MRRT pitcher T1 mid-AB through T5 G Knauss walk (documented play#1 seq); replaced by J Yeich (play#46, B5)</t>
        </is>
      </c>
    </row>
    <row r="403" ht="15.75" customHeight="1" s="35">
      <c r="A403" s="8" t="inlineStr">
        <is>
          <t>2026-03-21_GLNL_at_MRRT</t>
        </is>
      </c>
      <c r="B403" s="2" t="n">
        <v>46102</v>
      </c>
      <c r="C403" s="8" t="inlineStr">
        <is>
          <t>GLNL</t>
        </is>
      </c>
      <c r="D403" s="8" t="inlineStr">
        <is>
          <t>MRRT</t>
        </is>
      </c>
      <c r="E403" s="8" t="inlineStr">
        <is>
          <t>M Delmonte</t>
        </is>
      </c>
      <c r="F403" s="8" t="n">
        <v>3</v>
      </c>
      <c r="G403" s="8" t="n">
        <v>2</v>
      </c>
      <c r="H403" s="8" t="n">
        <v>2</v>
      </c>
      <c r="I403" s="8" t="n">
        <v>1</v>
      </c>
      <c r="J403" s="8" t="n">
        <v>0</v>
      </c>
      <c r="K403" s="8" t="n">
        <v>1</v>
      </c>
      <c r="L403" s="8" t="n">
        <v>0</v>
      </c>
      <c r="M403" s="8" t="n">
        <v>1</v>
      </c>
      <c r="N403" s="8" t="n">
        <v>0</v>
      </c>
      <c r="O403" s="8" t="n">
        <v>0</v>
      </c>
      <c r="P403" s="8" t="n">
        <v>0</v>
      </c>
      <c r="Q403" s="8" t="n">
        <v>0</v>
      </c>
      <c r="R403" s="8" t="n">
        <v>1</v>
      </c>
      <c r="S403" s="8" t="n">
        <v>3</v>
      </c>
      <c r="T403" s="8" t="n">
        <v>1</v>
      </c>
      <c r="U403" s="8" t="n">
        <v>0</v>
      </c>
      <c r="V403" s="8" t="n">
        <v>0</v>
      </c>
      <c r="W403" s="8" t="n">
        <v>0</v>
      </c>
      <c r="X403" s="8" t="n">
        <v>0</v>
      </c>
      <c r="Y403" s="8" t="inlineStr">
        <is>
          <t>BB play#19 (B3); out at 2B as runner on O Snow FC (play#20 — not M Delmonte's PA); 1B play#32 (B4); SB play#33 embedded (M Delmonte steals 2nd, B4); adv 3B on E by catcher G Melhuish (play#33 embedded, Flag#5); stranded B4; 3B play#47 (B5, RBI x3: A Devito+Z Magee+J Yeich score — C Starcher pitcher per mid-AB rule); scored on WP (play#48 embedded, C Starcher WP)</t>
        </is>
      </c>
    </row>
    <row r="404" ht="15.75" customHeight="1" s="35">
      <c r="A404" s="8" t="inlineStr">
        <is>
          <t>2026-03-21_GLNL_at_MRRT</t>
        </is>
      </c>
      <c r="B404" s="2" t="n">
        <v>46102</v>
      </c>
      <c r="C404" s="8" t="inlineStr">
        <is>
          <t>GLNL</t>
        </is>
      </c>
      <c r="D404" s="8" t="inlineStr">
        <is>
          <t>MRRT</t>
        </is>
      </c>
      <c r="E404" s="8" t="inlineStr">
        <is>
          <t>J Yeich</t>
        </is>
      </c>
      <c r="F404" s="8" t="n">
        <v>1</v>
      </c>
      <c r="G404" s="8" t="n">
        <v>0</v>
      </c>
      <c r="H404" s="8" t="n">
        <v>0</v>
      </c>
      <c r="I404" s="8" t="n">
        <v>0</v>
      </c>
      <c r="J404" s="8" t="n">
        <v>0</v>
      </c>
      <c r="K404" s="8" t="n">
        <v>0</v>
      </c>
      <c r="L404" s="8" t="n">
        <v>0</v>
      </c>
      <c r="M404" s="8" t="n">
        <v>1</v>
      </c>
      <c r="N404" s="8" t="n">
        <v>0</v>
      </c>
      <c r="O404" s="8" t="n">
        <v>0</v>
      </c>
      <c r="P404" s="8" t="n">
        <v>0</v>
      </c>
      <c r="Q404" s="8" t="n">
        <v>0</v>
      </c>
      <c r="R404" s="8" t="n">
        <v>1</v>
      </c>
      <c r="S404" s="8" t="n">
        <v>0</v>
      </c>
      <c r="T404" s="8" t="n">
        <v>0</v>
      </c>
      <c r="U404" s="8" t="n">
        <v>0</v>
      </c>
      <c r="V404" s="8" t="n">
        <v>0</v>
      </c>
      <c r="W404" s="8" t="n">
        <v>0</v>
      </c>
      <c r="X404" s="8" t="n">
        <v>0</v>
      </c>
      <c r="Y404" s="8" t="inlineStr">
        <is>
          <t>BB play#46 (B5, entered for batter S Thomas); A Devito adv 3B during AB (Flag#6); scored on M Delmonte 3B (play#47, B5); also MRRT pitcher T5 from A Baker mid-AB onward (documented play#38 seq); Flag#7</t>
        </is>
      </c>
    </row>
    <row r="405" ht="15.75" customHeight="1" s="35">
      <c r="A405" s="8" t="inlineStr">
        <is>
          <t>2026-03-23_GLNL_at_HWRD</t>
        </is>
      </c>
      <c r="B405" s="2" t="n">
        <v>46104</v>
      </c>
      <c r="C405" s="8" t="inlineStr">
        <is>
          <t>HWRD</t>
        </is>
      </c>
      <c r="D405" s="8" t="inlineStr">
        <is>
          <t>GLNL</t>
        </is>
      </c>
      <c r="E405" s="8" t="inlineStr">
        <is>
          <t>M Melhuish</t>
        </is>
      </c>
      <c r="F405" s="8" t="n">
        <v>3</v>
      </c>
      <c r="G405" s="8" t="n">
        <v>2</v>
      </c>
      <c r="H405" s="8" t="n">
        <v>1</v>
      </c>
      <c r="I405" s="8" t="n">
        <v>0</v>
      </c>
      <c r="J405" s="8" t="n">
        <v>1</v>
      </c>
      <c r="K405" s="8" t="n">
        <v>0</v>
      </c>
      <c r="L405" s="8" t="n">
        <v>0</v>
      </c>
      <c r="M405" s="8" t="n">
        <v>0</v>
      </c>
      <c r="N405" s="8" t="n">
        <v>1</v>
      </c>
      <c r="O405" s="8" t="n">
        <v>0</v>
      </c>
      <c r="P405" s="8" t="n">
        <v>0</v>
      </c>
      <c r="Q405" s="8" t="n">
        <v>0</v>
      </c>
      <c r="R405" s="8" t="n">
        <v>2</v>
      </c>
      <c r="S405" s="8" t="n">
        <v>2</v>
      </c>
      <c r="T405" s="8" t="n">
        <v>2</v>
      </c>
      <c r="U405" s="8" t="n">
        <v>0</v>
      </c>
      <c r="V405" s="8" t="n">
        <v>0</v>
      </c>
      <c r="W405" s="8" t="n">
        <v>0</v>
      </c>
      <c r="X405" s="8" t="n">
        <v>1</v>
      </c>
      <c r="Y405" s="8" t="inlineStr">
        <is>
          <t>HBP play#1 (T1); SB 2nd + SB 3rd (play#2 embedded, A Baker AB); scored on A Baker E reach (play#2, T1); FC play#13 (T2, RBI: G Knauss scores); 2B play#26 (T3, RBI: C Brown scores); scored on A Baker 3B (play#27, T3); also pitcher in prior games — no pitching role this game</t>
        </is>
      </c>
    </row>
    <row r="406" ht="15.75" customHeight="1" s="35">
      <c r="A406" s="8" t="inlineStr">
        <is>
          <t>2026-03-23_GLNL_at_HWRD</t>
        </is>
      </c>
      <c r="B406" s="2" t="n">
        <v>46104</v>
      </c>
      <c r="C406" s="8" t="inlineStr">
        <is>
          <t>HWRD</t>
        </is>
      </c>
      <c r="D406" s="8" t="inlineStr">
        <is>
          <t>GLNL</t>
        </is>
      </c>
      <c r="E406" s="8" t="inlineStr">
        <is>
          <t>A Baker</t>
        </is>
      </c>
      <c r="F406" s="8" t="n">
        <v>3</v>
      </c>
      <c r="G406" s="8" t="n">
        <v>3</v>
      </c>
      <c r="H406" s="8" t="n">
        <v>1</v>
      </c>
      <c r="I406" s="8" t="n">
        <v>0</v>
      </c>
      <c r="J406" s="8" t="n">
        <v>0</v>
      </c>
      <c r="K406" s="8" t="n">
        <v>1</v>
      </c>
      <c r="L406" s="8" t="n">
        <v>0</v>
      </c>
      <c r="M406" s="8" t="n">
        <v>0</v>
      </c>
      <c r="N406" s="8" t="n">
        <v>0</v>
      </c>
      <c r="O406" s="8" t="n">
        <v>0</v>
      </c>
      <c r="P406" s="8" t="n">
        <v>0</v>
      </c>
      <c r="Q406" s="8" t="n">
        <v>0</v>
      </c>
      <c r="R406" s="8" t="n">
        <v>1</v>
      </c>
      <c r="S406" s="8" t="n">
        <v>1</v>
      </c>
      <c r="T406" s="8" t="n">
        <v>0</v>
      </c>
      <c r="U406" s="8" t="n">
        <v>0</v>
      </c>
      <c r="V406" s="8" t="n">
        <v>0</v>
      </c>
      <c r="W406" s="8" t="n">
        <v>0</v>
      </c>
      <c r="X406" s="8" t="n">
        <v>0</v>
      </c>
      <c r="Y406" s="8" t="inlineStr">
        <is>
          <t>E reach play#2 (T1) — 2 errors on 1 AB: C Gerber-Lombardi E (reaches) + D Heim E (adv to 2B); not a H; Flag#5; 3B play#27 (T3, RBI: M Melhuish scores); scored on C Lease 1B (play#28, T3); replaced by S Tong (play#48, T5)</t>
        </is>
      </c>
    </row>
    <row r="407" ht="15.75" customHeight="1" s="35">
      <c r="A407" s="8" t="inlineStr">
        <is>
          <t>2026-03-23_GLNL_at_HWRD</t>
        </is>
      </c>
      <c r="B407" s="2" t="n">
        <v>46104</v>
      </c>
      <c r="C407" s="8" t="inlineStr">
        <is>
          <t>HWRD</t>
        </is>
      </c>
      <c r="D407" s="8" t="inlineStr">
        <is>
          <t>GLNL</t>
        </is>
      </c>
      <c r="E407" s="8" t="inlineStr">
        <is>
          <t>C Lease</t>
        </is>
      </c>
      <c r="F407" s="8" t="n">
        <v>3</v>
      </c>
      <c r="G407" s="8" t="n">
        <v>2</v>
      </c>
      <c r="H407" s="8" t="n">
        <v>1</v>
      </c>
      <c r="I407" s="8" t="n">
        <v>1</v>
      </c>
      <c r="J407" s="8" t="n">
        <v>0</v>
      </c>
      <c r="K407" s="8" t="n">
        <v>0</v>
      </c>
      <c r="L407" s="8" t="n">
        <v>0</v>
      </c>
      <c r="M407" s="8" t="n">
        <v>1</v>
      </c>
      <c r="N407" s="8" t="n">
        <v>0</v>
      </c>
      <c r="O407" s="8" t="n">
        <v>0</v>
      </c>
      <c r="P407" s="8" t="n">
        <v>0</v>
      </c>
      <c r="Q407" s="8" t="n">
        <v>0</v>
      </c>
      <c r="R407" s="8" t="n">
        <v>1</v>
      </c>
      <c r="S407" s="8" t="n">
        <v>1</v>
      </c>
      <c r="T407" s="8" t="n">
        <v>0</v>
      </c>
      <c r="U407" s="8" t="n">
        <v>0</v>
      </c>
      <c r="V407" s="8" t="n">
        <v>0</v>
      </c>
      <c r="W407" s="8" t="n">
        <v>0</v>
      </c>
      <c r="X407" s="8" t="n">
        <v>0</v>
      </c>
      <c r="Y407" s="8" t="inlineStr">
        <is>
          <t>BB play#19 (T3); scored on A Nazelrod 1B (play#22, T3); 1B play#28 (T3, RBI: A Baker scores); replaced by G Melhuish mid-AB (play#49 seq, T5); Flag#6 (C Lease credited as catcher B5 play#51 despite substitution)</t>
        </is>
      </c>
    </row>
    <row r="408" ht="15.75" customHeight="1" s="35">
      <c r="A408" s="8" t="inlineStr">
        <is>
          <t>2026-03-23_GLNL_at_HWRD</t>
        </is>
      </c>
      <c r="B408" s="2" t="n">
        <v>46104</v>
      </c>
      <c r="C408" s="8" t="inlineStr">
        <is>
          <t>HWRD</t>
        </is>
      </c>
      <c r="D408" s="8" t="inlineStr">
        <is>
          <t>GLNL</t>
        </is>
      </c>
      <c r="E408" s="8" t="inlineStr">
        <is>
          <t>B Conlon</t>
        </is>
      </c>
      <c r="F408" s="8" t="n">
        <v>3</v>
      </c>
      <c r="G408" s="8" t="n">
        <v>3</v>
      </c>
      <c r="H408" s="8" t="n">
        <v>0</v>
      </c>
      <c r="I408" s="8" t="n">
        <v>0</v>
      </c>
      <c r="J408" s="8" t="n">
        <v>0</v>
      </c>
      <c r="K408" s="8" t="n">
        <v>0</v>
      </c>
      <c r="L408" s="8" t="n">
        <v>0</v>
      </c>
      <c r="M408" s="8" t="n">
        <v>0</v>
      </c>
      <c r="N408" s="8" t="n">
        <v>0</v>
      </c>
      <c r="O408" s="8" t="n">
        <v>0</v>
      </c>
      <c r="P408" s="8" t="n">
        <v>0</v>
      </c>
      <c r="Q408" s="8" t="n">
        <v>0</v>
      </c>
      <c r="R408" s="8" t="n">
        <v>1</v>
      </c>
      <c r="S408" s="8" t="n">
        <v>0</v>
      </c>
      <c r="T408" s="8" t="n">
        <v>0</v>
      </c>
      <c r="U408" s="8" t="n">
        <v>0</v>
      </c>
      <c r="V408" s="8" t="n">
        <v>0</v>
      </c>
      <c r="W408" s="8" t="n">
        <v>0</v>
      </c>
      <c r="X408" s="8" t="n">
        <v>0</v>
      </c>
      <c r="Y408" s="8" t="inlineStr">
        <is>
          <t>LO play#4 (T1); E reach play#20 (T3) — not a H; CR J Jones in for B Conlon at 3B (play#23 seq, T3, '(Play Edit)' Flag#3); J Jones scores on G Knauss HBP (play#23); R credited to B Conlon per CR convention; B Conlon continues batting (play#29 GO confirms); replaced by J Jones in batting slot from T5; also GLNL starting pitcher B1-B4 (undocumented, Flag#1)</t>
        </is>
      </c>
    </row>
    <row r="409" ht="15.75" customHeight="1" s="35">
      <c r="A409" s="8" t="inlineStr">
        <is>
          <t>2026-03-23_GLNL_at_HWRD</t>
        </is>
      </c>
      <c r="B409" s="2" t="n">
        <v>46104</v>
      </c>
      <c r="C409" s="8" t="inlineStr">
        <is>
          <t>HWRD</t>
        </is>
      </c>
      <c r="D409" s="8" t="inlineStr">
        <is>
          <t>GLNL</t>
        </is>
      </c>
      <c r="E409" s="8" t="inlineStr">
        <is>
          <t>J Miles</t>
        </is>
      </c>
      <c r="F409" s="8" t="n">
        <v>3</v>
      </c>
      <c r="G409" s="8" t="n">
        <v>3</v>
      </c>
      <c r="H409" s="8" t="n">
        <v>1</v>
      </c>
      <c r="I409" s="8" t="n">
        <v>1</v>
      </c>
      <c r="J409" s="8" t="n">
        <v>0</v>
      </c>
      <c r="K409" s="8" t="n">
        <v>0</v>
      </c>
      <c r="L409" s="8" t="n">
        <v>0</v>
      </c>
      <c r="M409" s="8" t="n">
        <v>0</v>
      </c>
      <c r="N409" s="8" t="n">
        <v>0</v>
      </c>
      <c r="O409" s="8" t="n">
        <v>1</v>
      </c>
      <c r="P409" s="8" t="n">
        <v>1</v>
      </c>
      <c r="Q409" s="8" t="n">
        <v>0</v>
      </c>
      <c r="R409" s="8" t="n">
        <v>0</v>
      </c>
      <c r="S409" s="8" t="n">
        <v>0</v>
      </c>
      <c r="T409" s="8" t="n">
        <v>0</v>
      </c>
      <c r="U409" s="8" t="n">
        <v>0</v>
      </c>
      <c r="V409" s="8" t="n">
        <v>0</v>
      </c>
      <c r="W409" s="8" t="n">
        <v>0</v>
      </c>
      <c r="X409" s="8" t="n">
        <v>0</v>
      </c>
      <c r="Y409" s="8" t="inlineStr">
        <is>
          <t>K_L play#5 (Seq#5 Strike3 looking); 1B play#21 (T3); out at 3B in E Laprise DP (play#24) — J Miles counted as 1 of 2 DP outs; Flag#9 (logged as 'out advancing to 3rd' though J Miles was at 3B)</t>
        </is>
      </c>
    </row>
    <row r="410" ht="15.75" customHeight="1" s="35">
      <c r="A410" s="8" t="inlineStr">
        <is>
          <t>2026-03-23_GLNL_at_HWRD</t>
        </is>
      </c>
      <c r="B410" s="2" t="n">
        <v>46104</v>
      </c>
      <c r="C410" s="8" t="inlineStr">
        <is>
          <t>HWRD</t>
        </is>
      </c>
      <c r="D410" s="8" t="inlineStr">
        <is>
          <t>GLNL</t>
        </is>
      </c>
      <c r="E410" s="8" t="inlineStr">
        <is>
          <t>A Nazelrod</t>
        </is>
      </c>
      <c r="F410" s="8" t="n">
        <v>3</v>
      </c>
      <c r="G410" s="8" t="n">
        <v>3</v>
      </c>
      <c r="H410" s="8" t="n">
        <v>2</v>
      </c>
      <c r="I410" s="8" t="n">
        <v>2</v>
      </c>
      <c r="J410" s="8" t="n">
        <v>0</v>
      </c>
      <c r="K410" s="8" t="n">
        <v>0</v>
      </c>
      <c r="L410" s="8" t="n">
        <v>0</v>
      </c>
      <c r="M410" s="8" t="n">
        <v>0</v>
      </c>
      <c r="N410" s="8" t="n">
        <v>0</v>
      </c>
      <c r="O410" s="8" t="n">
        <v>0</v>
      </c>
      <c r="P410" s="8" t="n">
        <v>0</v>
      </c>
      <c r="Q410" s="8" t="n">
        <v>0</v>
      </c>
      <c r="R410" s="8" t="n">
        <v>2</v>
      </c>
      <c r="S410" s="8" t="n">
        <v>1</v>
      </c>
      <c r="T410" s="8" t="n">
        <v>0</v>
      </c>
      <c r="U410" s="8" t="n">
        <v>0</v>
      </c>
      <c r="V410" s="8" t="n">
        <v>0</v>
      </c>
      <c r="W410" s="8" t="n">
        <v>0</v>
      </c>
      <c r="X410" s="8" t="n">
        <v>0</v>
      </c>
      <c r="Y410" s="8" t="inlineStr">
        <is>
          <t>1B play#22 (T3, RBI: C Lease scores); adv 2B on G Knauss HBP (play#23); adv 2B on PB (play#37 embedded, M Beares AB); adv 3B on PB (play#37 embedded); scored on M Beares GO (play#37, T4); 1B play#36 (T4); Flag#7 (PBs embedded)</t>
        </is>
      </c>
    </row>
    <row r="411" ht="15.75" customHeight="1" s="35">
      <c r="A411" s="8" t="inlineStr">
        <is>
          <t>2026-03-23_GLNL_at_HWRD</t>
        </is>
      </c>
      <c r="B411" s="2" t="n">
        <v>46104</v>
      </c>
      <c r="C411" s="8" t="inlineStr">
        <is>
          <t>HWRD</t>
        </is>
      </c>
      <c r="D411" s="8" t="inlineStr">
        <is>
          <t>GLNL</t>
        </is>
      </c>
      <c r="E411" s="8" t="inlineStr">
        <is>
          <t>G Knauss</t>
        </is>
      </c>
      <c r="F411" s="8" t="n">
        <v>2</v>
      </c>
      <c r="G411" s="8" t="n">
        <v>1</v>
      </c>
      <c r="H411" s="8" t="n">
        <v>1</v>
      </c>
      <c r="I411" s="8" t="n">
        <v>0</v>
      </c>
      <c r="J411" s="8" t="n">
        <v>1</v>
      </c>
      <c r="K411" s="8" t="n">
        <v>0</v>
      </c>
      <c r="L411" s="8" t="n">
        <v>0</v>
      </c>
      <c r="M411" s="8" t="n">
        <v>0</v>
      </c>
      <c r="N411" s="8" t="n">
        <v>1</v>
      </c>
      <c r="O411" s="8" t="n">
        <v>0</v>
      </c>
      <c r="P411" s="8" t="n">
        <v>0</v>
      </c>
      <c r="Q411" s="8" t="n">
        <v>0</v>
      </c>
      <c r="R411" s="8" t="n">
        <v>2</v>
      </c>
      <c r="S411" s="8" t="n">
        <v>1</v>
      </c>
      <c r="T411" s="8" t="n">
        <v>0</v>
      </c>
      <c r="U411" s="8" t="n">
        <v>0</v>
      </c>
      <c r="V411" s="8" t="n">
        <v>0</v>
      </c>
      <c r="W411" s="8" t="n">
        <v>0</v>
      </c>
      <c r="X411" s="8" t="n">
        <v>0</v>
      </c>
      <c r="Y411" s="8" t="inlineStr">
        <is>
          <t>2B play#10 (T2); scored on M Melhuish FC (play#13, T2); HBP play#23 (T3, bases loaded — RBI: J Jones/B Conlon scores as forced run); CR C Starcher in for G Knauss (play#24 seq); C Starcher scores on C Brown 2B (play#25); R credited to G Knauss per CR convention; replaced by M Beares in batting slot T4 (no lineup note, Flag#11)</t>
        </is>
      </c>
    </row>
    <row r="412" ht="15.75" customHeight="1" s="35">
      <c r="A412" s="8" t="inlineStr">
        <is>
          <t>2026-03-23_GLNL_at_HWRD</t>
        </is>
      </c>
      <c r="B412" s="2" t="n">
        <v>46104</v>
      </c>
      <c r="C412" s="8" t="inlineStr">
        <is>
          <t>HWRD</t>
        </is>
      </c>
      <c r="D412" s="8" t="inlineStr">
        <is>
          <t>GLNL</t>
        </is>
      </c>
      <c r="E412" s="8" t="inlineStr">
        <is>
          <t>E Laprise</t>
        </is>
      </c>
      <c r="F412" s="8" t="n">
        <v>3</v>
      </c>
      <c r="G412" s="8" t="n">
        <v>2</v>
      </c>
      <c r="H412" s="8" t="n">
        <v>1</v>
      </c>
      <c r="I412" s="8" t="n">
        <v>1</v>
      </c>
      <c r="J412" s="8" t="n">
        <v>0</v>
      </c>
      <c r="K412" s="8" t="n">
        <v>0</v>
      </c>
      <c r="L412" s="8" t="n">
        <v>0</v>
      </c>
      <c r="M412" s="8" t="n">
        <v>0</v>
      </c>
      <c r="N412" s="8" t="n">
        <v>1</v>
      </c>
      <c r="O412" s="8" t="n">
        <v>0</v>
      </c>
      <c r="P412" s="8" t="n">
        <v>0</v>
      </c>
      <c r="Q412" s="8" t="n">
        <v>0</v>
      </c>
      <c r="R412" s="8" t="n">
        <v>0</v>
      </c>
      <c r="S412" s="8" t="n">
        <v>0</v>
      </c>
      <c r="T412" s="8" t="n">
        <v>0</v>
      </c>
      <c r="U412" s="8" t="n">
        <v>0</v>
      </c>
      <c r="V412" s="8" t="n">
        <v>1</v>
      </c>
      <c r="W412" s="8" t="n">
        <v>0</v>
      </c>
      <c r="X412" s="8" t="n">
        <v>0</v>
      </c>
      <c r="Y412" s="8" t="inlineStr">
        <is>
          <t>HBP play#11 (T2); DP play#24 (T3) — GDP for E Laprise; 1B play#38 (T4); stranded</t>
        </is>
      </c>
    </row>
    <row r="413" ht="15.75" customHeight="1" s="35">
      <c r="A413" s="8" t="inlineStr">
        <is>
          <t>2026-03-23_GLNL_at_HWRD</t>
        </is>
      </c>
      <c r="B413" s="2" t="n">
        <v>46104</v>
      </c>
      <c r="C413" s="8" t="inlineStr">
        <is>
          <t>HWRD</t>
        </is>
      </c>
      <c r="D413" s="8" t="inlineStr">
        <is>
          <t>GLNL</t>
        </is>
      </c>
      <c r="E413" s="8" t="inlineStr">
        <is>
          <t>C Brown</t>
        </is>
      </c>
      <c r="F413" s="8" t="n">
        <v>3</v>
      </c>
      <c r="G413" s="8" t="n">
        <v>3</v>
      </c>
      <c r="H413" s="8" t="n">
        <v>2</v>
      </c>
      <c r="I413" s="8" t="n">
        <v>1</v>
      </c>
      <c r="J413" s="8" t="n">
        <v>1</v>
      </c>
      <c r="K413" s="8" t="n">
        <v>0</v>
      </c>
      <c r="L413" s="8" t="n">
        <v>0</v>
      </c>
      <c r="M413" s="8" t="n">
        <v>0</v>
      </c>
      <c r="N413" s="8" t="n">
        <v>0</v>
      </c>
      <c r="O413" s="8" t="n">
        <v>0</v>
      </c>
      <c r="P413" s="8" t="n">
        <v>0</v>
      </c>
      <c r="Q413" s="8" t="n">
        <v>0</v>
      </c>
      <c r="R413" s="8" t="n">
        <v>1</v>
      </c>
      <c r="S413" s="8" t="n">
        <v>2</v>
      </c>
      <c r="T413" s="8" t="n">
        <v>0</v>
      </c>
      <c r="U413" s="8" t="n">
        <v>0</v>
      </c>
      <c r="V413" s="8" t="n">
        <v>0</v>
      </c>
      <c r="W413" s="8" t="n">
        <v>0</v>
      </c>
      <c r="X413" s="8" t="n">
        <v>0</v>
      </c>
      <c r="Y413" s="8" t="inlineStr">
        <is>
          <t>1B play#12 (T2); out advancing on M Melhuish FC (play#13) — C Brown is the runner put out; 2B play#25 (T3, RBI x2: C Starcher/G Knauss + A Nazelrod score; Flag#10: C Starcher scores from 1B on the throw); scored on M Melhuish 2B (play#26, T3)</t>
        </is>
      </c>
    </row>
    <row r="414" ht="15.75" customHeight="1" s="35">
      <c r="A414" s="8" t="inlineStr">
        <is>
          <t>2026-03-23_GLNL_at_HWRD</t>
        </is>
      </c>
      <c r="B414" s="2" t="n">
        <v>46104</v>
      </c>
      <c r="C414" s="8" t="inlineStr">
        <is>
          <t>HWRD</t>
        </is>
      </c>
      <c r="D414" s="8" t="inlineStr">
        <is>
          <t>GLNL</t>
        </is>
      </c>
      <c r="E414" s="8" t="inlineStr">
        <is>
          <t>J Jones</t>
        </is>
      </c>
      <c r="F414" s="8" t="n">
        <v>1</v>
      </c>
      <c r="G414" s="8" t="n">
        <v>1</v>
      </c>
      <c r="H414" s="8" t="n">
        <v>0</v>
      </c>
      <c r="I414" s="8" t="n">
        <v>0</v>
      </c>
      <c r="J414" s="8" t="n">
        <v>0</v>
      </c>
      <c r="K414" s="8" t="n">
        <v>0</v>
      </c>
      <c r="L414" s="8" t="n">
        <v>0</v>
      </c>
      <c r="M414" s="8" t="n">
        <v>0</v>
      </c>
      <c r="N414" s="8" t="n">
        <v>0</v>
      </c>
      <c r="O414" s="8" t="n">
        <v>1</v>
      </c>
      <c r="P414" s="8" t="n">
        <v>1</v>
      </c>
      <c r="Q414" s="8" t="n">
        <v>0</v>
      </c>
      <c r="R414" s="8" t="n">
        <v>0</v>
      </c>
      <c r="S414" s="8" t="n">
        <v>0</v>
      </c>
      <c r="T414" s="8" t="n">
        <v>0</v>
      </c>
      <c r="U414" s="8" t="n">
        <v>0</v>
      </c>
      <c r="V414" s="8" t="n">
        <v>0</v>
      </c>
      <c r="W414" s="8" t="n">
        <v>0</v>
      </c>
      <c r="X414" s="8" t="n">
        <v>0</v>
      </c>
      <c r="Y414" s="8" t="inlineStr">
        <is>
          <t>CR for B Conlon at 3B T3 (play#23 seq) — no batting stats from CR role; R from CR role credited to B Conlon; took over B Conlon's batting slot T5; K_L play#50 (Seq#50 Strike3 looking — C Hudson pitching)</t>
        </is>
      </c>
    </row>
    <row r="415" ht="15.75" customHeight="1" s="35">
      <c r="A415" s="8" t="inlineStr">
        <is>
          <t>2026-03-23_GLNL_at_HWRD</t>
        </is>
      </c>
      <c r="B415" s="2" t="n">
        <v>46104</v>
      </c>
      <c r="C415" s="8" t="inlineStr">
        <is>
          <t>HWRD</t>
        </is>
      </c>
      <c r="D415" s="8" t="inlineStr">
        <is>
          <t>GLNL</t>
        </is>
      </c>
      <c r="E415" s="8" t="inlineStr">
        <is>
          <t>M Beares</t>
        </is>
      </c>
      <c r="F415" s="8" t="n">
        <v>1</v>
      </c>
      <c r="G415" s="8" t="n">
        <v>1</v>
      </c>
      <c r="H415" s="8" t="n">
        <v>0</v>
      </c>
      <c r="I415" s="8" t="n">
        <v>0</v>
      </c>
      <c r="J415" s="8" t="n">
        <v>0</v>
      </c>
      <c r="K415" s="8" t="n">
        <v>0</v>
      </c>
      <c r="L415" s="8" t="n">
        <v>0</v>
      </c>
      <c r="M415" s="8" t="n">
        <v>0</v>
      </c>
      <c r="N415" s="8" t="n">
        <v>0</v>
      </c>
      <c r="O415" s="8" t="n">
        <v>0</v>
      </c>
      <c r="P415" s="8" t="n">
        <v>0</v>
      </c>
      <c r="Q415" s="8" t="n">
        <v>0</v>
      </c>
      <c r="R415" s="8" t="n">
        <v>0</v>
      </c>
      <c r="S415" s="8" t="n">
        <v>1</v>
      </c>
      <c r="T415" s="8" t="n">
        <v>0</v>
      </c>
      <c r="U415" s="8" t="n">
        <v>0</v>
      </c>
      <c r="V415" s="8" t="n">
        <v>0</v>
      </c>
      <c r="W415" s="8" t="n">
        <v>0</v>
      </c>
      <c r="X415" s="8" t="n">
        <v>0</v>
      </c>
      <c r="Y415" s="8" t="inlineStr">
        <is>
          <t>Entered T4 batting slot (G Knauss slot) without lineup note (Flag#11); GO play#37 (T4, RBI: A Nazelrod scores from 3B); 2 PBs embedded during AB (Flag#7)</t>
        </is>
      </c>
    </row>
    <row r="416" ht="15.75" customHeight="1" s="35">
      <c r="A416" s="8" t="inlineStr">
        <is>
          <t>2026-03-23_GLNL_at_HWRD</t>
        </is>
      </c>
      <c r="B416" s="2" t="n">
        <v>46104</v>
      </c>
      <c r="C416" s="8" t="inlineStr">
        <is>
          <t>HWRD</t>
        </is>
      </c>
      <c r="D416" s="8" t="inlineStr">
        <is>
          <t>GLNL</t>
        </is>
      </c>
      <c r="E416" s="8" t="inlineStr">
        <is>
          <t>B Harms</t>
        </is>
      </c>
      <c r="F416" s="8" t="n">
        <v>1</v>
      </c>
      <c r="G416" s="8" t="n">
        <v>1</v>
      </c>
      <c r="H416" s="8" t="n">
        <v>0</v>
      </c>
      <c r="I416" s="8" t="n">
        <v>0</v>
      </c>
      <c r="J416" s="8" t="n">
        <v>0</v>
      </c>
      <c r="K416" s="8" t="n">
        <v>0</v>
      </c>
      <c r="L416" s="8" t="n">
        <v>0</v>
      </c>
      <c r="M416" s="8" t="n">
        <v>0</v>
      </c>
      <c r="N416" s="8" t="n">
        <v>0</v>
      </c>
      <c r="O416" s="8" t="n">
        <v>0</v>
      </c>
      <c r="P416" s="8" t="n">
        <v>0</v>
      </c>
      <c r="Q416" s="8" t="n">
        <v>0</v>
      </c>
      <c r="R416" s="8" t="n">
        <v>0</v>
      </c>
      <c r="S416" s="8" t="n">
        <v>0</v>
      </c>
      <c r="T416" s="8" t="n">
        <v>0</v>
      </c>
      <c r="U416" s="8" t="n">
        <v>0</v>
      </c>
      <c r="V416" s="8" t="n">
        <v>0</v>
      </c>
      <c r="W416" s="8" t="n">
        <v>0</v>
      </c>
      <c r="X416" s="8" t="n">
        <v>0</v>
      </c>
      <c r="Y416" s="8" t="inlineStr">
        <is>
          <t>Entered for batter M Melhuish (play#47, T5)</t>
        </is>
      </c>
    </row>
    <row r="417" ht="15.75" customHeight="1" s="35">
      <c r="A417" s="8" t="inlineStr">
        <is>
          <t>2026-03-23_GLNL_at_HWRD</t>
        </is>
      </c>
      <c r="B417" s="2" t="n">
        <v>46104</v>
      </c>
      <c r="C417" s="8" t="inlineStr">
        <is>
          <t>HWRD</t>
        </is>
      </c>
      <c r="D417" s="8" t="inlineStr">
        <is>
          <t>GLNL</t>
        </is>
      </c>
      <c r="E417" s="8" t="inlineStr">
        <is>
          <t>S Tong</t>
        </is>
      </c>
      <c r="F417" s="8" t="n">
        <v>1</v>
      </c>
      <c r="G417" s="8" t="n">
        <v>1</v>
      </c>
      <c r="H417" s="8" t="n">
        <v>0</v>
      </c>
      <c r="I417" s="8" t="n">
        <v>0</v>
      </c>
      <c r="J417" s="8" t="n">
        <v>0</v>
      </c>
      <c r="K417" s="8" t="n">
        <v>0</v>
      </c>
      <c r="L417" s="8" t="n">
        <v>0</v>
      </c>
      <c r="M417" s="8" t="n">
        <v>0</v>
      </c>
      <c r="N417" s="8" t="n">
        <v>0</v>
      </c>
      <c r="O417" s="8" t="n">
        <v>0</v>
      </c>
      <c r="P417" s="8" t="n">
        <v>0</v>
      </c>
      <c r="Q417" s="8" t="n">
        <v>0</v>
      </c>
      <c r="R417" s="8" t="n">
        <v>0</v>
      </c>
      <c r="S417" s="8" t="n">
        <v>0</v>
      </c>
      <c r="T417" s="8" t="n">
        <v>0</v>
      </c>
      <c r="U417" s="8" t="n">
        <v>0</v>
      </c>
      <c r="V417" s="8" t="n">
        <v>0</v>
      </c>
      <c r="W417" s="8" t="n">
        <v>0</v>
      </c>
      <c r="X417" s="8" t="n">
        <v>0</v>
      </c>
      <c r="Y417" s="8" t="inlineStr">
        <is>
          <t>Entered for batter A Baker (play#48, T5)</t>
        </is>
      </c>
    </row>
    <row r="418" ht="15.75" customHeight="1" s="35">
      <c r="A418" s="8" t="inlineStr">
        <is>
          <t>2026-03-23_GLNL_at_HWRD</t>
        </is>
      </c>
      <c r="B418" s="2" t="n">
        <v>46104</v>
      </c>
      <c r="C418" s="8" t="inlineStr">
        <is>
          <t>HWRD</t>
        </is>
      </c>
      <c r="D418" s="8" t="inlineStr">
        <is>
          <t>GLNL</t>
        </is>
      </c>
      <c r="E418" s="8" t="inlineStr">
        <is>
          <t>G Melhuish</t>
        </is>
      </c>
      <c r="F418" s="8" t="n">
        <v>1</v>
      </c>
      <c r="G418" s="8" t="n">
        <v>1</v>
      </c>
      <c r="H418" s="8" t="n">
        <v>1</v>
      </c>
      <c r="I418" s="8" t="n">
        <v>0</v>
      </c>
      <c r="J418" s="8" t="n">
        <v>1</v>
      </c>
      <c r="K418" s="8" t="n">
        <v>0</v>
      </c>
      <c r="L418" s="8" t="n">
        <v>0</v>
      </c>
      <c r="M418" s="8" t="n">
        <v>0</v>
      </c>
      <c r="N418" s="8" t="n">
        <v>0</v>
      </c>
      <c r="O418" s="8" t="n">
        <v>0</v>
      </c>
      <c r="P418" s="8" t="n">
        <v>0</v>
      </c>
      <c r="Q418" s="8" t="n">
        <v>0</v>
      </c>
      <c r="R418" s="8" t="n">
        <v>0</v>
      </c>
      <c r="S418" s="8" t="n">
        <v>0</v>
      </c>
      <c r="T418" s="8" t="n">
        <v>0</v>
      </c>
      <c r="U418" s="8" t="n">
        <v>0</v>
      </c>
      <c r="V418" s="8" t="n">
        <v>0</v>
      </c>
      <c r="W418" s="8" t="n">
        <v>0</v>
      </c>
      <c r="X418" s="8" t="n">
        <v>0</v>
      </c>
      <c r="Y418" s="8" t="inlineStr">
        <is>
          <t>Mid-AB entry for batter C Lease (play#49 seq, T5); 2B play#49 (credited to G Melhuish per mid-AB rule); stranded (J Jones K ends inning); Flag#6 (C Lease credited as catcher B5 despite this substitution)</t>
        </is>
      </c>
    </row>
    <row r="419" ht="15.75" customHeight="1" s="35">
      <c r="A419" s="8" t="inlineStr">
        <is>
          <t>2026-03-23_GLNL_at_HWRD</t>
        </is>
      </c>
      <c r="B419" s="2" t="n">
        <v>46104</v>
      </c>
      <c r="C419" s="8" t="inlineStr">
        <is>
          <t>GLNL</t>
        </is>
      </c>
      <c r="D419" s="8" t="inlineStr">
        <is>
          <t>HWRD</t>
        </is>
      </c>
      <c r="E419" s="8" t="inlineStr">
        <is>
          <t>B Giangrasso</t>
        </is>
      </c>
      <c r="F419" s="8" t="n">
        <v>3</v>
      </c>
      <c r="G419" s="8" t="n">
        <v>2</v>
      </c>
      <c r="H419" s="8" t="n">
        <v>0</v>
      </c>
      <c r="I419" s="8" t="n">
        <v>0</v>
      </c>
      <c r="J419" s="8" t="n">
        <v>0</v>
      </c>
      <c r="K419" s="8" t="n">
        <v>0</v>
      </c>
      <c r="L419" s="8" t="n">
        <v>0</v>
      </c>
      <c r="M419" s="8" t="n">
        <v>1</v>
      </c>
      <c r="N419" s="8" t="n">
        <v>0</v>
      </c>
      <c r="O419" s="8" t="n">
        <v>0</v>
      </c>
      <c r="P419" s="8" t="n">
        <v>0</v>
      </c>
      <c r="Q419" s="8" t="n">
        <v>0</v>
      </c>
      <c r="R419" s="8" t="n">
        <v>0</v>
      </c>
      <c r="S419" s="8" t="n">
        <v>0</v>
      </c>
      <c r="T419" s="8" t="n">
        <v>0</v>
      </c>
      <c r="U419" s="8" t="n">
        <v>0</v>
      </c>
      <c r="V419" s="8" t="n">
        <v>0</v>
      </c>
      <c r="W419" s="8" t="n">
        <v>0</v>
      </c>
      <c r="X419" s="8" t="n">
        <v>1</v>
      </c>
      <c r="Y419" s="8" t="inlineStr">
        <is>
          <t>BB play#32 (B3); adv 2B on G Nystrom HBP (play#33); stranded; FC play#46 (B4 — B Sawyer out at home on force; catcher unnamed, Flag#13); also 1B defensively throughout</t>
        </is>
      </c>
    </row>
    <row r="420" ht="15.75" customHeight="1" s="35">
      <c r="A420" s="8" t="inlineStr">
        <is>
          <t>2026-03-23_GLNL_at_HWRD</t>
        </is>
      </c>
      <c r="B420" s="2" t="n">
        <v>46104</v>
      </c>
      <c r="C420" s="8" t="inlineStr">
        <is>
          <t>GLNL</t>
        </is>
      </c>
      <c r="D420" s="8" t="inlineStr">
        <is>
          <t>HWRD</t>
        </is>
      </c>
      <c r="E420" s="8" t="inlineStr">
        <is>
          <t>G Nystrom</t>
        </is>
      </c>
      <c r="F420" s="8" t="n">
        <v>3</v>
      </c>
      <c r="G420" s="8" t="n">
        <v>2</v>
      </c>
      <c r="H420" s="8" t="n">
        <v>0</v>
      </c>
      <c r="I420" s="8" t="n">
        <v>0</v>
      </c>
      <c r="J420" s="8" t="n">
        <v>0</v>
      </c>
      <c r="K420" s="8" t="n">
        <v>0</v>
      </c>
      <c r="L420" s="8" t="n">
        <v>0</v>
      </c>
      <c r="M420" s="8" t="n">
        <v>0</v>
      </c>
      <c r="N420" s="8" t="n">
        <v>1</v>
      </c>
      <c r="O420" s="8" t="n">
        <v>0</v>
      </c>
      <c r="P420" s="8" t="n">
        <v>0</v>
      </c>
      <c r="Q420" s="8" t="n">
        <v>0</v>
      </c>
      <c r="R420" s="8" t="n">
        <v>0</v>
      </c>
      <c r="S420" s="8" t="n">
        <v>0</v>
      </c>
      <c r="T420" s="8" t="n">
        <v>0</v>
      </c>
      <c r="U420" s="8" t="n">
        <v>0</v>
      </c>
      <c r="V420" s="8" t="n">
        <v>0</v>
      </c>
      <c r="W420" s="8" t="n">
        <v>0</v>
      </c>
      <c r="X420" s="8" t="n">
        <v>0</v>
      </c>
      <c r="Y420" s="8" t="inlineStr">
        <is>
          <t>HBP play#33 (B3); GO play#51 (B5 — description anomaly re Z Blair advancement before Z Blair enters, play#51 note)</t>
        </is>
      </c>
    </row>
    <row r="421" ht="15.75" customHeight="1" s="35">
      <c r="A421" s="8" t="inlineStr">
        <is>
          <t>2026-03-23_GLNL_at_HWRD</t>
        </is>
      </c>
      <c r="B421" s="2" t="n">
        <v>46104</v>
      </c>
      <c r="C421" s="8" t="inlineStr">
        <is>
          <t>GLNL</t>
        </is>
      </c>
      <c r="D421" s="8" t="inlineStr">
        <is>
          <t>HWRD</t>
        </is>
      </c>
      <c r="E421" s="8" t="inlineStr">
        <is>
          <t>A Proescher</t>
        </is>
      </c>
      <c r="F421" s="8" t="n">
        <v>2</v>
      </c>
      <c r="G421" s="8" t="n">
        <v>2</v>
      </c>
      <c r="H421" s="8" t="n">
        <v>0</v>
      </c>
      <c r="I421" s="8" t="n">
        <v>0</v>
      </c>
      <c r="J421" s="8" t="n">
        <v>0</v>
      </c>
      <c r="K421" s="8" t="n">
        <v>0</v>
      </c>
      <c r="L421" s="8" t="n">
        <v>0</v>
      </c>
      <c r="M421" s="8" t="n">
        <v>0</v>
      </c>
      <c r="N421" s="8" t="n">
        <v>0</v>
      </c>
      <c r="O421" s="8" t="n">
        <v>0</v>
      </c>
      <c r="P421" s="8" t="n">
        <v>0</v>
      </c>
      <c r="Q421" s="8" t="n">
        <v>0</v>
      </c>
      <c r="R421" s="8" t="n">
        <v>0</v>
      </c>
      <c r="S421" s="8" t="n">
        <v>0</v>
      </c>
      <c r="T421" s="8" t="n">
        <v>0</v>
      </c>
      <c r="U421" s="8" t="n">
        <v>0</v>
      </c>
      <c r="V421" s="8" t="n">
        <v>0</v>
      </c>
      <c r="W421" s="8" t="n">
        <v>0</v>
      </c>
      <c r="X421" s="8" t="n">
        <v>0</v>
      </c>
      <c r="Y421" s="8" t="inlineStr">
        <is>
          <t>Replaced mid-AB by Z Blair (play#52, B5) after 3 pitches (Strike 1, Ball 1, Strike 2 swinging); AB outcome credited to Z Blair per mid-AB rule; Flag#15</t>
        </is>
      </c>
    </row>
    <row r="422" ht="15.75" customHeight="1" s="35">
      <c r="A422" s="8" t="inlineStr">
        <is>
          <t>2026-03-23_GLNL_at_HWRD</t>
        </is>
      </c>
      <c r="B422" s="2" t="n">
        <v>46104</v>
      </c>
      <c r="C422" s="8" t="inlineStr">
        <is>
          <t>GLNL</t>
        </is>
      </c>
      <c r="D422" s="8" t="inlineStr">
        <is>
          <t>HWRD</t>
        </is>
      </c>
      <c r="E422" s="8" t="inlineStr">
        <is>
          <t>D Heim</t>
        </is>
      </c>
      <c r="F422" s="8" t="n">
        <v>3</v>
      </c>
      <c r="G422" s="8" t="n">
        <v>3</v>
      </c>
      <c r="H422" s="8" t="n">
        <v>0</v>
      </c>
      <c r="I422" s="8" t="n">
        <v>0</v>
      </c>
      <c r="J422" s="8" t="n">
        <v>0</v>
      </c>
      <c r="K422" s="8" t="n">
        <v>0</v>
      </c>
      <c r="L422" s="8" t="n">
        <v>0</v>
      </c>
      <c r="M422" s="8" t="n">
        <v>0</v>
      </c>
      <c r="N422" s="8" t="n">
        <v>0</v>
      </c>
      <c r="O422" s="8" t="n">
        <v>2</v>
      </c>
      <c r="P422" s="8" t="n">
        <v>0</v>
      </c>
      <c r="Q422" s="8" t="n">
        <v>2</v>
      </c>
      <c r="R422" s="8" t="n">
        <v>0</v>
      </c>
      <c r="S422" s="8" t="n">
        <v>0</v>
      </c>
      <c r="T422" s="8" t="n">
        <v>0</v>
      </c>
      <c r="U422" s="8" t="n">
        <v>0</v>
      </c>
      <c r="V422" s="8" t="n">
        <v>0</v>
      </c>
      <c r="W422" s="8" t="n">
        <v>0</v>
      </c>
      <c r="X422" s="8" t="n">
        <v>0</v>
      </c>
      <c r="Y422" s="8" t="inlineStr">
        <is>
          <t>K_S play#15 (Seq#15 Strike3 swinging); K_S play#40 (Seq#40 Strike3 swinging); also HWRD starting pitcher T1-T3 (documented play#1 seq); transitions to 3B in T4 (play#35, Flag#4); two-way player</t>
        </is>
      </c>
    </row>
    <row r="423" ht="15.75" customHeight="1" s="35">
      <c r="A423" s="8" t="inlineStr">
        <is>
          <t>2026-03-23_GLNL_at_HWRD</t>
        </is>
      </c>
      <c r="B423" s="2" t="n">
        <v>46104</v>
      </c>
      <c r="C423" s="8" t="inlineStr">
        <is>
          <t>GLNL</t>
        </is>
      </c>
      <c r="D423" s="8" t="inlineStr">
        <is>
          <t>HWRD</t>
        </is>
      </c>
      <c r="E423" s="8" t="inlineStr">
        <is>
          <t>C Hudson</t>
        </is>
      </c>
      <c r="F423" s="8" t="n">
        <v>3</v>
      </c>
      <c r="G423" s="8" t="n">
        <v>3</v>
      </c>
      <c r="H423" s="8" t="n">
        <v>1</v>
      </c>
      <c r="I423" s="8" t="n">
        <v>0</v>
      </c>
      <c r="J423" s="8" t="n">
        <v>1</v>
      </c>
      <c r="K423" s="8" t="n">
        <v>0</v>
      </c>
      <c r="L423" s="8" t="n">
        <v>0</v>
      </c>
      <c r="M423" s="8" t="n">
        <v>0</v>
      </c>
      <c r="N423" s="8" t="n">
        <v>0</v>
      </c>
      <c r="O423" s="8" t="n">
        <v>2</v>
      </c>
      <c r="P423" s="8" t="n">
        <v>2</v>
      </c>
      <c r="Q423" s="8" t="n">
        <v>0</v>
      </c>
      <c r="R423" s="8" t="n">
        <v>1</v>
      </c>
      <c r="S423" s="8" t="n">
        <v>0</v>
      </c>
      <c r="T423" s="8" t="n">
        <v>0</v>
      </c>
      <c r="U423" s="8" t="n">
        <v>0</v>
      </c>
      <c r="V423" s="8" t="n">
        <v>0</v>
      </c>
      <c r="W423" s="8" t="n">
        <v>0</v>
      </c>
      <c r="X423" s="8" t="n">
        <v>0</v>
      </c>
      <c r="Y423" s="8" t="inlineStr">
        <is>
          <t>K_L play#16 (Seq#16 Strike3 looking); 2B play#41 (B4); adv 3B on D Alves walk (play#43); scored on N Hegedus 1B (play#44, B4); K_L play#54 (Seq#54 Strike3 looking — N Cohen pitching); also HWRD pitcher T4-T5 (T4 inferred Flag#4, T5 confirmed play#47/50); two-way player</t>
        </is>
      </c>
    </row>
    <row r="424" ht="15.75" customHeight="1" s="35">
      <c r="A424" s="8" t="inlineStr">
        <is>
          <t>2026-03-23_GLNL_at_HWRD</t>
        </is>
      </c>
      <c r="B424" s="2" t="n">
        <v>46104</v>
      </c>
      <c r="C424" s="8" t="inlineStr">
        <is>
          <t>GLNL</t>
        </is>
      </c>
      <c r="D424" s="8" t="inlineStr">
        <is>
          <t>HWRD</t>
        </is>
      </c>
      <c r="E424" s="8" t="inlineStr">
        <is>
          <t>B Sawyer</t>
        </is>
      </c>
      <c r="F424" s="8" t="n">
        <v>2</v>
      </c>
      <c r="G424" s="8" t="n">
        <v>1</v>
      </c>
      <c r="H424" s="8" t="n">
        <v>1</v>
      </c>
      <c r="I424" s="8" t="n">
        <v>1</v>
      </c>
      <c r="J424" s="8" t="n">
        <v>0</v>
      </c>
      <c r="K424" s="8" t="n">
        <v>0</v>
      </c>
      <c r="L424" s="8" t="n">
        <v>0</v>
      </c>
      <c r="M424" s="8" t="n">
        <v>1</v>
      </c>
      <c r="N424" s="8" t="n">
        <v>0</v>
      </c>
      <c r="O424" s="8" t="n">
        <v>0</v>
      </c>
      <c r="P424" s="8" t="n">
        <v>0</v>
      </c>
      <c r="Q424" s="8" t="n">
        <v>0</v>
      </c>
      <c r="R424" s="8" t="n">
        <v>0</v>
      </c>
      <c r="S424" s="8" t="n">
        <v>0</v>
      </c>
      <c r="T424" s="8" t="n">
        <v>0</v>
      </c>
      <c r="U424" s="8" t="n">
        <v>0</v>
      </c>
      <c r="V424" s="8" t="n">
        <v>0</v>
      </c>
      <c r="W424" s="8" t="n">
        <v>0</v>
      </c>
      <c r="X424" s="8" t="n">
        <v>0</v>
      </c>
      <c r="Y424" s="8" t="inlineStr">
        <is>
          <t>1B play#17 (B2); BB play#42 (B4); pickoff attempt at 2nd embedded play#42 (Flag#12); adv 3B on N Hegedus 1B (play#44); out at home on B Giangrasso FC (play#46) — B Sawyer does not score</t>
        </is>
      </c>
    </row>
    <row r="425" ht="15.75" customHeight="1" s="35">
      <c r="A425" s="8" t="inlineStr">
        <is>
          <t>2026-03-23_GLNL_at_HWRD</t>
        </is>
      </c>
      <c r="B425" s="2" t="n">
        <v>46104</v>
      </c>
      <c r="C425" s="8" t="inlineStr">
        <is>
          <t>GLNL</t>
        </is>
      </c>
      <c r="D425" s="8" t="inlineStr">
        <is>
          <t>HWRD</t>
        </is>
      </c>
      <c r="E425" s="8" t="inlineStr">
        <is>
          <t>D Alves</t>
        </is>
      </c>
      <c r="F425" s="8" t="n">
        <v>2</v>
      </c>
      <c r="G425" s="8" t="n">
        <v>1</v>
      </c>
      <c r="H425" s="8" t="n">
        <v>0</v>
      </c>
      <c r="I425" s="8" t="n">
        <v>0</v>
      </c>
      <c r="J425" s="8" t="n">
        <v>0</v>
      </c>
      <c r="K425" s="8" t="n">
        <v>0</v>
      </c>
      <c r="L425" s="8" t="n">
        <v>0</v>
      </c>
      <c r="M425" s="8" t="n">
        <v>1</v>
      </c>
      <c r="N425" s="8" t="n">
        <v>0</v>
      </c>
      <c r="O425" s="8" t="n">
        <v>1</v>
      </c>
      <c r="P425" s="8" t="n">
        <v>0</v>
      </c>
      <c r="Q425" s="8" t="n">
        <v>1</v>
      </c>
      <c r="R425" s="8" t="n">
        <v>0</v>
      </c>
      <c r="S425" s="8" t="n">
        <v>0</v>
      </c>
      <c r="T425" s="8" t="n">
        <v>0</v>
      </c>
      <c r="U425" s="8" t="n">
        <v>0</v>
      </c>
      <c r="V425" s="8" t="n">
        <v>0</v>
      </c>
      <c r="W425" s="8" t="n">
        <v>0</v>
      </c>
      <c r="X425" s="8" t="n">
        <v>0</v>
      </c>
      <c r="Y425" s="8" t="inlineStr">
        <is>
          <t>K_S play#18 (Seq#18 Strike3 swinging); BB play#43 (B4); stranded</t>
        </is>
      </c>
    </row>
    <row r="426" ht="15.75" customHeight="1" s="35">
      <c r="A426" s="8" t="inlineStr">
        <is>
          <t>2026-03-23_GLNL_at_HWRD</t>
        </is>
      </c>
      <c r="B426" s="2" t="n">
        <v>46104</v>
      </c>
      <c r="C426" s="8" t="inlineStr">
        <is>
          <t>GLNL</t>
        </is>
      </c>
      <c r="D426" s="8" t="inlineStr">
        <is>
          <t>HWRD</t>
        </is>
      </c>
      <c r="E426" s="8" t="inlineStr">
        <is>
          <t>N Hegedus</t>
        </is>
      </c>
      <c r="F426" s="8" t="n">
        <v>2</v>
      </c>
      <c r="G426" s="8" t="n">
        <v>2</v>
      </c>
      <c r="H426" s="8" t="n">
        <v>1</v>
      </c>
      <c r="I426" s="8" t="n">
        <v>1</v>
      </c>
      <c r="J426" s="8" t="n">
        <v>0</v>
      </c>
      <c r="K426" s="8" t="n">
        <v>0</v>
      </c>
      <c r="L426" s="8" t="n">
        <v>0</v>
      </c>
      <c r="M426" s="8" t="n">
        <v>0</v>
      </c>
      <c r="N426" s="8" t="n">
        <v>0</v>
      </c>
      <c r="O426" s="8" t="n">
        <v>1</v>
      </c>
      <c r="P426" s="8" t="n">
        <v>1</v>
      </c>
      <c r="Q426" s="8" t="n">
        <v>0</v>
      </c>
      <c r="R426" s="8" t="n">
        <v>0</v>
      </c>
      <c r="S426" s="8" t="n">
        <v>1</v>
      </c>
      <c r="T426" s="8" t="n">
        <v>0</v>
      </c>
      <c r="U426" s="8" t="n">
        <v>0</v>
      </c>
      <c r="V426" s="8" t="n">
        <v>0</v>
      </c>
      <c r="W426" s="8" t="n">
        <v>0</v>
      </c>
      <c r="X426" s="8" t="n">
        <v>0</v>
      </c>
      <c r="Y426" s="8" t="inlineStr">
        <is>
          <t>K_L play#30 (Seq#30 Strike3 looking); 1B play#44 (B4, RBI: C Hudson scores); adv 2B on B Giangrasso FC (play#46); stranded</t>
        </is>
      </c>
    </row>
    <row r="427" ht="15.75" customHeight="1" s="35">
      <c r="A427" s="8" t="inlineStr">
        <is>
          <t>2026-03-23_GLNL_at_HWRD</t>
        </is>
      </c>
      <c r="B427" s="2" t="n">
        <v>46104</v>
      </c>
      <c r="C427" s="8" t="inlineStr">
        <is>
          <t>GLNL</t>
        </is>
      </c>
      <c r="D427" s="8" t="inlineStr">
        <is>
          <t>HWRD</t>
        </is>
      </c>
      <c r="E427" s="8" t="inlineStr">
        <is>
          <t>C Parise</t>
        </is>
      </c>
      <c r="F427" s="8" t="n">
        <v>2</v>
      </c>
      <c r="G427" s="8" t="n">
        <v>2</v>
      </c>
      <c r="H427" s="8" t="n">
        <v>0</v>
      </c>
      <c r="I427" s="8" t="n">
        <v>0</v>
      </c>
      <c r="J427" s="8" t="n">
        <v>0</v>
      </c>
      <c r="K427" s="8" t="n">
        <v>0</v>
      </c>
      <c r="L427" s="8" t="n">
        <v>0</v>
      </c>
      <c r="M427" s="8" t="n">
        <v>0</v>
      </c>
      <c r="N427" s="8" t="n">
        <v>0</v>
      </c>
      <c r="O427" s="8" t="n">
        <v>1</v>
      </c>
      <c r="P427" s="8" t="n">
        <v>0</v>
      </c>
      <c r="Q427" s="8" t="n">
        <v>1</v>
      </c>
      <c r="R427" s="8" t="n">
        <v>0</v>
      </c>
      <c r="S427" s="8" t="n">
        <v>0</v>
      </c>
      <c r="T427" s="8" t="n">
        <v>0</v>
      </c>
      <c r="U427" s="8" t="n">
        <v>0</v>
      </c>
      <c r="V427" s="8" t="n">
        <v>0</v>
      </c>
      <c r="W427" s="8" t="n">
        <v>0</v>
      </c>
      <c r="X427" s="8" t="n">
        <v>0</v>
      </c>
      <c r="Y427" s="8" t="inlineStr">
        <is>
          <t>K_S play#45 (Seq#45 Strike3 swinging — N Cohen pitcher)</t>
        </is>
      </c>
    </row>
    <row r="428" ht="15.75" customHeight="1" s="35">
      <c r="A428" s="8" t="inlineStr">
        <is>
          <t>2026-03-23_GLNL_at_HWRD</t>
        </is>
      </c>
      <c r="B428" s="2" t="n">
        <v>46104</v>
      </c>
      <c r="C428" s="8" t="inlineStr">
        <is>
          <t>GLNL</t>
        </is>
      </c>
      <c r="D428" s="8" t="inlineStr">
        <is>
          <t>HWRD</t>
        </is>
      </c>
      <c r="E428" s="8" t="inlineStr">
        <is>
          <t>Z Blair</t>
        </is>
      </c>
      <c r="F428" s="8" t="n">
        <v>1</v>
      </c>
      <c r="G428" s="8" t="n">
        <v>1</v>
      </c>
      <c r="H428" s="8" t="n">
        <v>0</v>
      </c>
      <c r="I428" s="8" t="n">
        <v>0</v>
      </c>
      <c r="J428" s="8" t="n">
        <v>0</v>
      </c>
      <c r="K428" s="8" t="n">
        <v>0</v>
      </c>
      <c r="L428" s="8" t="n">
        <v>0</v>
      </c>
      <c r="M428" s="8" t="n">
        <v>0</v>
      </c>
      <c r="N428" s="8" t="n">
        <v>0</v>
      </c>
      <c r="O428" s="8" t="n">
        <v>0</v>
      </c>
      <c r="P428" s="8" t="n">
        <v>0</v>
      </c>
      <c r="Q428" s="8" t="n">
        <v>0</v>
      </c>
      <c r="R428" s="8" t="n">
        <v>0</v>
      </c>
      <c r="S428" s="8" t="n">
        <v>0</v>
      </c>
      <c r="T428" s="8" t="n">
        <v>0</v>
      </c>
      <c r="U428" s="8" t="n">
        <v>0</v>
      </c>
      <c r="V428" s="8" t="n">
        <v>0</v>
      </c>
      <c r="W428" s="8" t="n">
        <v>0</v>
      </c>
      <c r="X428" s="8" t="n">
        <v>0</v>
      </c>
      <c r="Y428" s="8" t="inlineStr">
        <is>
          <t>Mid-AB sub for A Proescher (play#52, B5) after 3 pitches; E reach on B Burckhardt (GLNL 1B) — not a H; Flag#15</t>
        </is>
      </c>
    </row>
    <row r="429" ht="15.75" customHeight="1" s="35">
      <c r="A429" s="8" t="inlineStr">
        <is>
          <t>2026-03-30_SHRW_at_GLNL</t>
        </is>
      </c>
      <c r="B429" s="2" t="n">
        <v>46111</v>
      </c>
      <c r="C429" s="8" t="inlineStr">
        <is>
          <t>GLNL</t>
        </is>
      </c>
      <c r="D429" s="8" t="inlineStr">
        <is>
          <t>SHRW</t>
        </is>
      </c>
      <c r="E429" s="8" t="inlineStr">
        <is>
          <t>C Sweeney-Strawberry</t>
        </is>
      </c>
      <c r="F429" s="8" t="n">
        <v>4</v>
      </c>
      <c r="G429" s="8" t="n">
        <v>3</v>
      </c>
      <c r="H429" s="8" t="n">
        <v>1</v>
      </c>
      <c r="I429" s="8" t="n">
        <v>0</v>
      </c>
      <c r="J429" s="8" t="n">
        <v>1</v>
      </c>
      <c r="K429" s="8" t="n">
        <v>0</v>
      </c>
      <c r="L429" s="8" t="n">
        <v>0</v>
      </c>
      <c r="M429" s="8" t="n">
        <v>1</v>
      </c>
      <c r="N429" s="8" t="n">
        <v>0</v>
      </c>
      <c r="O429" s="8" t="n">
        <v>0</v>
      </c>
      <c r="P429" s="8" t="n">
        <v>0</v>
      </c>
      <c r="Q429" s="8" t="n">
        <v>0</v>
      </c>
      <c r="R429" s="8" t="n">
        <v>0</v>
      </c>
      <c r="S429" s="8" t="n">
        <v>0</v>
      </c>
      <c r="T429" s="8" t="n">
        <v>1</v>
      </c>
      <c r="U429" s="8" t="n">
        <v>0</v>
      </c>
      <c r="V429" s="8" t="n">
        <v>0</v>
      </c>
      <c r="W429" s="8" t="n">
        <v>0</v>
      </c>
      <c r="X429" s="8" t="n">
        <v>0</v>
      </c>
      <c r="Y429" s="8" t="inlineStr">
        <is>
          <t>2B play#18 (T3); BB play#49 (T7); SB play#50 embedded (during J Bender AB); adv 3B on PB play#50 embedded; stranded T7</t>
        </is>
      </c>
    </row>
    <row r="430" ht="15.75" customHeight="1" s="35">
      <c r="A430" s="8" t="inlineStr">
        <is>
          <t>2026-03-30_SHRW_at_GLNL</t>
        </is>
      </c>
      <c r="B430" s="2" t="n">
        <v>46111</v>
      </c>
      <c r="C430" s="8" t="inlineStr">
        <is>
          <t>GLNL</t>
        </is>
      </c>
      <c r="D430" s="8" t="inlineStr">
        <is>
          <t>SHRW</t>
        </is>
      </c>
      <c r="E430" s="8" t="inlineStr">
        <is>
          <t>J Bender</t>
        </is>
      </c>
      <c r="F430" s="8" t="n">
        <v>4</v>
      </c>
      <c r="G430" s="8" t="n">
        <v>3</v>
      </c>
      <c r="H430" s="8" t="n">
        <v>1</v>
      </c>
      <c r="I430" s="8" t="n">
        <v>1</v>
      </c>
      <c r="J430" s="8" t="n">
        <v>0</v>
      </c>
      <c r="K430" s="8" t="n">
        <v>0</v>
      </c>
      <c r="L430" s="8" t="n">
        <v>0</v>
      </c>
      <c r="M430" s="8" t="n">
        <v>1</v>
      </c>
      <c r="N430" s="8" t="n">
        <v>0</v>
      </c>
      <c r="O430" s="8" t="n">
        <v>2</v>
      </c>
      <c r="P430" s="8" t="n">
        <v>0</v>
      </c>
      <c r="Q430" s="8" t="n">
        <v>2</v>
      </c>
      <c r="R430" s="8" t="n">
        <v>1</v>
      </c>
      <c r="S430" s="8" t="n">
        <v>0</v>
      </c>
      <c r="T430" s="8" t="n">
        <v>2</v>
      </c>
      <c r="U430" s="8" t="n">
        <v>0</v>
      </c>
      <c r="V430" s="8" t="n">
        <v>0</v>
      </c>
      <c r="W430" s="8" t="n">
        <v>0</v>
      </c>
      <c r="X430" s="8" t="n">
        <v>0</v>
      </c>
      <c r="Y430" s="8" t="inlineStr">
        <is>
          <t>K_S play#2 (Seq Strike3 swinging); K_S play#19 — dropped 3rd strike reaches (PB, Flag#3; Seq Strike3 swinging); 1B play#37 (T6); SB 2nd play#38 embedded + SB 3rd play#38 embedded (2 SBs in one AB, Flag#6); scored on C Jagannathan 1B (play#39); BB play#50 (T7); adv 2B on DI (play#51 embedded); stranded T7</t>
        </is>
      </c>
    </row>
    <row r="431" ht="15.75" customHeight="1" s="35">
      <c r="A431" s="8" t="inlineStr">
        <is>
          <t>2026-03-30_SHRW_at_GLNL</t>
        </is>
      </c>
      <c r="B431" s="2" t="n">
        <v>46111</v>
      </c>
      <c r="C431" s="8" t="inlineStr">
        <is>
          <t>GLNL</t>
        </is>
      </c>
      <c r="D431" s="8" t="inlineStr">
        <is>
          <t>SHRW</t>
        </is>
      </c>
      <c r="E431" s="8" t="inlineStr">
        <is>
          <t>J Sarita</t>
        </is>
      </c>
      <c r="F431" s="8" t="n">
        <v>4</v>
      </c>
      <c r="G431" s="8" t="n">
        <v>3</v>
      </c>
      <c r="H431" s="8" t="n">
        <v>0</v>
      </c>
      <c r="I431" s="8" t="n">
        <v>0</v>
      </c>
      <c r="J431" s="8" t="n">
        <v>0</v>
      </c>
      <c r="K431" s="8" t="n">
        <v>0</v>
      </c>
      <c r="L431" s="8" t="n">
        <v>0</v>
      </c>
      <c r="M431" s="8" t="n">
        <v>0</v>
      </c>
      <c r="N431" s="8" t="n">
        <v>1</v>
      </c>
      <c r="O431" s="8" t="n">
        <v>2</v>
      </c>
      <c r="P431" s="8" t="n">
        <v>0</v>
      </c>
      <c r="Q431" s="8" t="n">
        <v>2</v>
      </c>
      <c r="R431" s="8" t="n">
        <v>0</v>
      </c>
      <c r="S431" s="8" t="n">
        <v>0</v>
      </c>
      <c r="T431" s="8" t="n">
        <v>0</v>
      </c>
      <c r="U431" s="8" t="n">
        <v>0</v>
      </c>
      <c r="V431" s="8" t="n">
        <v>0</v>
      </c>
      <c r="W431" s="8" t="n">
        <v>0</v>
      </c>
      <c r="X431" s="8" t="n">
        <v>0</v>
      </c>
      <c r="Y431" s="8" t="inlineStr">
        <is>
          <t>E reach play#3 (T1) — not a H; K_S play#20 (Seq Strike3 swinging); K_S play#38 — foul tip (Flag#4; Seq final pitch Foul tip); HBP play#51 (T7); PR M Cheng in for J Sarita (play#52 seq); M Cheng does not score</t>
        </is>
      </c>
    </row>
    <row r="432" ht="15.75" customHeight="1" s="35">
      <c r="A432" s="8" t="inlineStr">
        <is>
          <t>2026-03-30_SHRW_at_GLNL</t>
        </is>
      </c>
      <c r="B432" s="2" t="n">
        <v>46111</v>
      </c>
      <c r="C432" s="8" t="inlineStr">
        <is>
          <t>GLNL</t>
        </is>
      </c>
      <c r="D432" s="8" t="inlineStr">
        <is>
          <t>SHRW</t>
        </is>
      </c>
      <c r="E432" s="8" t="inlineStr">
        <is>
          <t>C Jagannathan</t>
        </is>
      </c>
      <c r="F432" s="8" t="n">
        <v>4</v>
      </c>
      <c r="G432" s="8" t="n">
        <v>4</v>
      </c>
      <c r="H432" s="8" t="n">
        <v>1</v>
      </c>
      <c r="I432" s="8" t="n">
        <v>1</v>
      </c>
      <c r="J432" s="8" t="n">
        <v>0</v>
      </c>
      <c r="K432" s="8" t="n">
        <v>0</v>
      </c>
      <c r="L432" s="8" t="n">
        <v>0</v>
      </c>
      <c r="M432" s="8" t="n">
        <v>0</v>
      </c>
      <c r="N432" s="8" t="n">
        <v>0</v>
      </c>
      <c r="O432" s="8" t="n">
        <v>0</v>
      </c>
      <c r="P432" s="8" t="n">
        <v>0</v>
      </c>
      <c r="Q432" s="8" t="n">
        <v>0</v>
      </c>
      <c r="R432" s="8" t="n">
        <v>1</v>
      </c>
      <c r="S432" s="8" t="n">
        <v>1</v>
      </c>
      <c r="T432" s="8" t="n">
        <v>0</v>
      </c>
      <c r="U432" s="8" t="n">
        <v>0</v>
      </c>
      <c r="V432" s="8" t="n">
        <v>0</v>
      </c>
      <c r="W432" s="8" t="n">
        <v>0</v>
      </c>
      <c r="X432" s="8" t="n">
        <v>0</v>
      </c>
      <c r="Y432" s="8" t="inlineStr">
        <is>
          <t>1B play#39 (T6, RBI: J Bender scores); CR J Hall in for C Jagannathan (play#40 seq); J Hall adv 2B on WP + SB 3rd + scores on J Berger 2B (play#40); R credited to C Jagannathan per CR convention; GO play#52 (T7)</t>
        </is>
      </c>
    </row>
    <row r="433" ht="15.75" customHeight="1" s="35">
      <c r="A433" s="8" t="inlineStr">
        <is>
          <t>2026-03-30_SHRW_at_GLNL</t>
        </is>
      </c>
      <c r="B433" s="2" t="n">
        <v>46111</v>
      </c>
      <c r="C433" s="8" t="inlineStr">
        <is>
          <t>GLNL</t>
        </is>
      </c>
      <c r="D433" s="8" t="inlineStr">
        <is>
          <t>SHRW</t>
        </is>
      </c>
      <c r="E433" s="8" t="inlineStr">
        <is>
          <t>J Berger</t>
        </is>
      </c>
      <c r="F433" s="8" t="n">
        <v>3</v>
      </c>
      <c r="G433" s="8" t="n">
        <v>3</v>
      </c>
      <c r="H433" s="8" t="n">
        <v>1</v>
      </c>
      <c r="I433" s="8" t="n">
        <v>0</v>
      </c>
      <c r="J433" s="8" t="n">
        <v>1</v>
      </c>
      <c r="K433" s="8" t="n">
        <v>0</v>
      </c>
      <c r="L433" s="8" t="n">
        <v>0</v>
      </c>
      <c r="M433" s="8" t="n">
        <v>0</v>
      </c>
      <c r="N433" s="8" t="n">
        <v>0</v>
      </c>
      <c r="O433" s="8" t="n">
        <v>1</v>
      </c>
      <c r="P433" s="8" t="n">
        <v>0</v>
      </c>
      <c r="Q433" s="8" t="n">
        <v>1</v>
      </c>
      <c r="R433" s="8" t="n">
        <v>0</v>
      </c>
      <c r="S433" s="8" t="n">
        <v>1</v>
      </c>
      <c r="T433" s="8" t="n">
        <v>0</v>
      </c>
      <c r="U433" s="8" t="n">
        <v>0</v>
      </c>
      <c r="V433" s="8" t="n">
        <v>0</v>
      </c>
      <c r="W433" s="8" t="n">
        <v>0</v>
      </c>
      <c r="X433" s="8" t="n">
        <v>0</v>
      </c>
      <c r="Y433" s="8" t="inlineStr">
        <is>
          <t>K_S play#25 — dropped 3rd strike out at 1B (Flag#3; Seq Strike3 swinging); 2B play#40 (T6, RBI: J Hall/C Jagannathan scores); play#58 (T8) no outcome — not counted as PA (Flag#2)</t>
        </is>
      </c>
    </row>
    <row r="434" ht="15.75" customHeight="1" s="35">
      <c r="A434" s="8" t="inlineStr">
        <is>
          <t>2026-03-30_SHRW_at_GLNL</t>
        </is>
      </c>
      <c r="B434" s="2" t="n">
        <v>46111</v>
      </c>
      <c r="C434" s="8" t="inlineStr">
        <is>
          <t>GLNL</t>
        </is>
      </c>
      <c r="D434" s="8" t="inlineStr">
        <is>
          <t>SHRW</t>
        </is>
      </c>
      <c r="E434" s="8" t="inlineStr">
        <is>
          <t>C Flickinger</t>
        </is>
      </c>
      <c r="F434" s="8" t="n">
        <v>3</v>
      </c>
      <c r="G434" s="8" t="n">
        <v>3</v>
      </c>
      <c r="H434" s="8" t="n">
        <v>0</v>
      </c>
      <c r="I434" s="8" t="n">
        <v>0</v>
      </c>
      <c r="J434" s="8" t="n">
        <v>0</v>
      </c>
      <c r="K434" s="8" t="n">
        <v>0</v>
      </c>
      <c r="L434" s="8" t="n">
        <v>0</v>
      </c>
      <c r="M434" s="8" t="n">
        <v>0</v>
      </c>
      <c r="N434" s="8" t="n">
        <v>0</v>
      </c>
      <c r="O434" s="8" t="n">
        <v>0</v>
      </c>
      <c r="P434" s="8" t="n">
        <v>0</v>
      </c>
      <c r="Q434" s="8" t="n">
        <v>0</v>
      </c>
      <c r="R434" s="8" t="n">
        <v>0</v>
      </c>
      <c r="S434" s="8" t="n">
        <v>0</v>
      </c>
      <c r="T434" s="8" t="n">
        <v>0</v>
      </c>
      <c r="U434" s="8" t="n">
        <v>0</v>
      </c>
      <c r="V434" s="8" t="n">
        <v>0</v>
      </c>
      <c r="W434" s="8" t="n">
        <v>0</v>
      </c>
      <c r="X434" s="8" t="n">
        <v>0</v>
      </c>
    </row>
    <row r="435" ht="15.75" customHeight="1" s="35">
      <c r="A435" s="8" t="inlineStr">
        <is>
          <t>2026-03-30_SHRW_at_GLNL</t>
        </is>
      </c>
      <c r="B435" s="2" t="n">
        <v>46111</v>
      </c>
      <c r="C435" s="8" t="inlineStr">
        <is>
          <t>GLNL</t>
        </is>
      </c>
      <c r="D435" s="8" t="inlineStr">
        <is>
          <t>SHRW</t>
        </is>
      </c>
      <c r="E435" s="8" t="inlineStr">
        <is>
          <t>C Calandro</t>
        </is>
      </c>
      <c r="F435" s="8" t="n">
        <v>3</v>
      </c>
      <c r="G435" s="8" t="n">
        <v>2</v>
      </c>
      <c r="H435" s="8" t="n">
        <v>0</v>
      </c>
      <c r="I435" s="8" t="n">
        <v>0</v>
      </c>
      <c r="J435" s="8" t="n">
        <v>0</v>
      </c>
      <c r="K435" s="8" t="n">
        <v>0</v>
      </c>
      <c r="L435" s="8" t="n">
        <v>0</v>
      </c>
      <c r="M435" s="8" t="n">
        <v>1</v>
      </c>
      <c r="N435" s="8" t="n">
        <v>0</v>
      </c>
      <c r="O435" s="8" t="n">
        <v>1</v>
      </c>
      <c r="P435" s="8" t="n">
        <v>0</v>
      </c>
      <c r="Q435" s="8" t="n">
        <v>1</v>
      </c>
      <c r="R435" s="8" t="n">
        <v>1</v>
      </c>
      <c r="S435" s="8" t="n">
        <v>0</v>
      </c>
      <c r="T435" s="8" t="n">
        <v>0</v>
      </c>
      <c r="U435" s="8" t="n">
        <v>0</v>
      </c>
      <c r="V435" s="8" t="n">
        <v>0</v>
      </c>
      <c r="W435" s="8" t="n">
        <v>0</v>
      </c>
      <c r="X435" s="8" t="n">
        <v>0</v>
      </c>
      <c r="Y435" s="8" t="inlineStr">
        <is>
          <t>BB play#30 (T5); adv 2B on A Jenkins bunt GO (play#31); adv 3B on K Blake GO (play#32); scored on WP (play#33 embedded, T5) — no RBI for C Sweeney-Strawberry; K_S play#42 — foul tip (Flag#4, B Conlon pitching, Flag#1; Seq final pitch Foul tip)</t>
        </is>
      </c>
    </row>
    <row r="436" ht="15.75" customHeight="1" s="35">
      <c r="A436" s="8" t="inlineStr">
        <is>
          <t>2026-03-30_SHRW_at_GLNL</t>
        </is>
      </c>
      <c r="B436" s="2" t="n">
        <v>46111</v>
      </c>
      <c r="C436" s="8" t="inlineStr">
        <is>
          <t>GLNL</t>
        </is>
      </c>
      <c r="D436" s="8" t="inlineStr">
        <is>
          <t>SHRW</t>
        </is>
      </c>
      <c r="E436" s="8" t="inlineStr">
        <is>
          <t>A Jenkins</t>
        </is>
      </c>
      <c r="F436" s="8" t="n">
        <v>3</v>
      </c>
      <c r="G436" s="8" t="n">
        <v>3</v>
      </c>
      <c r="H436" s="8" t="n">
        <v>0</v>
      </c>
      <c r="I436" s="8" t="n">
        <v>0</v>
      </c>
      <c r="J436" s="8" t="n">
        <v>0</v>
      </c>
      <c r="K436" s="8" t="n">
        <v>0</v>
      </c>
      <c r="L436" s="8" t="n">
        <v>0</v>
      </c>
      <c r="M436" s="8" t="n">
        <v>0</v>
      </c>
      <c r="N436" s="8" t="n">
        <v>0</v>
      </c>
      <c r="O436" s="8" t="n">
        <v>2</v>
      </c>
      <c r="P436" s="8" t="n">
        <v>1</v>
      </c>
      <c r="Q436" s="8" t="n">
        <v>1</v>
      </c>
      <c r="R436" s="8" t="n">
        <v>0</v>
      </c>
      <c r="S436" s="8" t="n">
        <v>0</v>
      </c>
      <c r="T436" s="8" t="n">
        <v>0</v>
      </c>
      <c r="U436" s="8" t="n">
        <v>0</v>
      </c>
      <c r="V436" s="8" t="n">
        <v>0</v>
      </c>
      <c r="W436" s="8" t="n">
        <v>0</v>
      </c>
      <c r="X436" s="8" t="n">
        <v>0</v>
      </c>
      <c r="Y436" s="8" t="inlineStr">
        <is>
          <t>K_L play#16 (Seq all looking); bunt GO play#31 (Flag#5 — logged as 'Ground Out' not SAC; SAC=0 per rules; C Calandro adv 2B); K_S play#47 (Seq Strike3 swinging — M Shriner pitcher)</t>
        </is>
      </c>
    </row>
    <row r="437" ht="15.75" customHeight="1" s="35">
      <c r="A437" s="8" t="inlineStr">
        <is>
          <t>2026-03-30_SHRW_at_GLNL</t>
        </is>
      </c>
      <c r="B437" s="2" t="n">
        <v>46111</v>
      </c>
      <c r="C437" s="8" t="inlineStr">
        <is>
          <t>GLNL</t>
        </is>
      </c>
      <c r="D437" s="8" t="inlineStr">
        <is>
          <t>SHRW</t>
        </is>
      </c>
      <c r="E437" s="8" t="inlineStr">
        <is>
          <t>K Blake</t>
        </is>
      </c>
      <c r="F437" s="8" t="n">
        <v>3</v>
      </c>
      <c r="G437" s="8" t="n">
        <v>3</v>
      </c>
      <c r="H437" s="8" t="n">
        <v>0</v>
      </c>
      <c r="I437" s="8" t="n">
        <v>0</v>
      </c>
      <c r="J437" s="8" t="n">
        <v>0</v>
      </c>
      <c r="K437" s="8" t="n">
        <v>0</v>
      </c>
      <c r="L437" s="8" t="n">
        <v>0</v>
      </c>
      <c r="M437" s="8" t="n">
        <v>0</v>
      </c>
      <c r="N437" s="8" t="n">
        <v>0</v>
      </c>
      <c r="O437" s="8" t="n">
        <v>2</v>
      </c>
      <c r="P437" s="8" t="n">
        <v>1</v>
      </c>
      <c r="Q437" s="8" t="n">
        <v>1</v>
      </c>
      <c r="R437" s="8" t="n">
        <v>0</v>
      </c>
      <c r="S437" s="8" t="n">
        <v>0</v>
      </c>
      <c r="T437" s="8" t="n">
        <v>0</v>
      </c>
      <c r="U437" s="8" t="n">
        <v>0</v>
      </c>
      <c r="V437" s="8" t="n">
        <v>0</v>
      </c>
      <c r="W437" s="8" t="n">
        <v>0</v>
      </c>
      <c r="X437" s="8" t="n">
        <v>0</v>
      </c>
      <c r="Y437" s="8" t="inlineStr">
        <is>
          <t>K_S play#17 (Seq Strike3 swinging); K_L play#48 (Seq Strike3 looking — M Shriner pitcher)</t>
        </is>
      </c>
    </row>
    <row r="438" ht="15.75" customHeight="1" s="35">
      <c r="A438" s="8" t="inlineStr">
        <is>
          <t>2026-03-30_SHRW_at_GLNL</t>
        </is>
      </c>
      <c r="B438" s="2" t="n">
        <v>46111</v>
      </c>
      <c r="C438" s="8" t="inlineStr">
        <is>
          <t>SHRW</t>
        </is>
      </c>
      <c r="D438" s="8" t="inlineStr">
        <is>
          <t>GLNL</t>
        </is>
      </c>
      <c r="E438" s="8" t="inlineStr">
        <is>
          <t>C Lease</t>
        </is>
      </c>
      <c r="F438" s="8" t="n">
        <v>3</v>
      </c>
      <c r="G438" s="8" t="n">
        <v>2</v>
      </c>
      <c r="H438" s="8" t="n">
        <v>1</v>
      </c>
      <c r="I438" s="8" t="n">
        <v>1</v>
      </c>
      <c r="J438" s="8" t="n">
        <v>0</v>
      </c>
      <c r="K438" s="8" t="n">
        <v>0</v>
      </c>
      <c r="L438" s="8" t="n">
        <v>0</v>
      </c>
      <c r="M438" s="8" t="n">
        <v>0</v>
      </c>
      <c r="N438" s="8" t="n">
        <v>1</v>
      </c>
      <c r="O438" s="8" t="n">
        <v>0</v>
      </c>
      <c r="P438" s="8" t="n">
        <v>0</v>
      </c>
      <c r="Q438" s="8" t="n">
        <v>0</v>
      </c>
      <c r="R438" s="8" t="n">
        <v>0</v>
      </c>
      <c r="S438" s="8" t="n">
        <v>0</v>
      </c>
      <c r="T438" s="8" t="n">
        <v>0</v>
      </c>
      <c r="U438" s="8" t="n">
        <v>0</v>
      </c>
      <c r="V438" s="8" t="n">
        <v>0</v>
      </c>
      <c r="W438" s="8" t="n">
        <v>0</v>
      </c>
      <c r="X438" s="8" t="n">
        <v>0</v>
      </c>
      <c r="Y438" s="8" t="inlineStr">
        <is>
          <t>HBP play#5 (B1); 1B play#44 (B6); stranded both times</t>
        </is>
      </c>
    </row>
    <row r="439" ht="15.75" customHeight="1" s="35">
      <c r="A439" s="8" t="inlineStr">
        <is>
          <t>2026-03-30_SHRW_at_GLNL</t>
        </is>
      </c>
      <c r="B439" s="2" t="n">
        <v>46111</v>
      </c>
      <c r="C439" s="8" t="inlineStr">
        <is>
          <t>SHRW</t>
        </is>
      </c>
      <c r="D439" s="8" t="inlineStr">
        <is>
          <t>GLNL</t>
        </is>
      </c>
      <c r="E439" s="8" t="inlineStr">
        <is>
          <t>T Blayman</t>
        </is>
      </c>
      <c r="F439" s="8" t="n">
        <v>3</v>
      </c>
      <c r="G439" s="8" t="n">
        <v>2</v>
      </c>
      <c r="H439" s="8" t="n">
        <v>0</v>
      </c>
      <c r="I439" s="8" t="n">
        <v>0</v>
      </c>
      <c r="J439" s="8" t="n">
        <v>0</v>
      </c>
      <c r="K439" s="8" t="n">
        <v>0</v>
      </c>
      <c r="L439" s="8" t="n">
        <v>0</v>
      </c>
      <c r="M439" s="8" t="n">
        <v>0</v>
      </c>
      <c r="N439" s="8" t="n">
        <v>0</v>
      </c>
      <c r="O439" s="8" t="n">
        <v>1</v>
      </c>
      <c r="P439" s="8" t="n">
        <v>1</v>
      </c>
      <c r="Q439" s="8" t="n">
        <v>0</v>
      </c>
      <c r="R439" s="8" t="n">
        <v>0</v>
      </c>
      <c r="S439" s="8" t="n">
        <v>0</v>
      </c>
      <c r="T439" s="8" t="n">
        <v>0</v>
      </c>
      <c r="U439" s="8" t="n">
        <v>0</v>
      </c>
      <c r="V439" s="8" t="n">
        <v>0</v>
      </c>
      <c r="W439" s="8" t="n">
        <v>1</v>
      </c>
      <c r="X439" s="8" t="n">
        <v>0</v>
      </c>
      <c r="Y439" s="8" t="inlineStr">
        <is>
          <t>SAC bunt play#6 (B1 — explicitly 'Sacrifice Bunt' in outcome; C Lease adv 2B); K_L play#45 (Seq Strike3 looking)</t>
        </is>
      </c>
    </row>
    <row r="440" ht="15.75" customHeight="1" s="35">
      <c r="A440" s="8" t="inlineStr">
        <is>
          <t>2026-03-30_SHRW_at_GLNL</t>
        </is>
      </c>
      <c r="B440" s="2" t="n">
        <v>46111</v>
      </c>
      <c r="C440" s="8" t="inlineStr">
        <is>
          <t>SHRW</t>
        </is>
      </c>
      <c r="D440" s="8" t="inlineStr">
        <is>
          <t>GLNL</t>
        </is>
      </c>
      <c r="E440" s="8" t="inlineStr">
        <is>
          <t>B Conlon</t>
        </is>
      </c>
      <c r="F440" s="8" t="n">
        <v>3</v>
      </c>
      <c r="G440" s="8" t="n">
        <v>3</v>
      </c>
      <c r="H440" s="8" t="n">
        <v>0</v>
      </c>
      <c r="I440" s="8" t="n">
        <v>0</v>
      </c>
      <c r="J440" s="8" t="n">
        <v>0</v>
      </c>
      <c r="K440" s="8" t="n">
        <v>0</v>
      </c>
      <c r="L440" s="8" t="n">
        <v>0</v>
      </c>
      <c r="M440" s="8" t="n">
        <v>0</v>
      </c>
      <c r="N440" s="8" t="n">
        <v>0</v>
      </c>
      <c r="O440" s="8" t="n">
        <v>1</v>
      </c>
      <c r="P440" s="8" t="n">
        <v>0</v>
      </c>
      <c r="Q440" s="8" t="n">
        <v>1</v>
      </c>
      <c r="R440" s="8" t="n">
        <v>0</v>
      </c>
      <c r="S440" s="8" t="n">
        <v>0</v>
      </c>
      <c r="T440" s="8" t="n">
        <v>0</v>
      </c>
      <c r="U440" s="8" t="n">
        <v>0</v>
      </c>
      <c r="V440" s="8" t="n">
        <v>0</v>
      </c>
      <c r="W440" s="8" t="n">
        <v>0</v>
      </c>
      <c r="X440" s="8" t="n">
        <v>0</v>
      </c>
      <c r="Y440" s="8" t="inlineStr">
        <is>
          <t>K_S play#27 (Seq Strike3 swinging); also GLNL pitcher T6 play#42 (undocumented entry from RF, Flag#1)</t>
        </is>
      </c>
    </row>
    <row r="441" ht="15.75" customHeight="1" s="35">
      <c r="A441" s="8" t="inlineStr">
        <is>
          <t>2026-03-30_SHRW_at_GLNL</t>
        </is>
      </c>
      <c r="B441" s="2" t="n">
        <v>46111</v>
      </c>
      <c r="C441" s="8" t="inlineStr">
        <is>
          <t>SHRW</t>
        </is>
      </c>
      <c r="D441" s="8" t="inlineStr">
        <is>
          <t>GLNL</t>
        </is>
      </c>
      <c r="E441" s="8" t="inlineStr">
        <is>
          <t>M Melhuish</t>
        </is>
      </c>
      <c r="F441" s="8" t="n">
        <v>3</v>
      </c>
      <c r="G441" s="8" t="n">
        <v>3</v>
      </c>
      <c r="H441" s="8" t="n">
        <v>0</v>
      </c>
      <c r="I441" s="8" t="n">
        <v>0</v>
      </c>
      <c r="J441" s="8" t="n">
        <v>0</v>
      </c>
      <c r="K441" s="8" t="n">
        <v>0</v>
      </c>
      <c r="L441" s="8" t="n">
        <v>0</v>
      </c>
      <c r="M441" s="8" t="n">
        <v>0</v>
      </c>
      <c r="N441" s="8" t="n">
        <v>0</v>
      </c>
      <c r="O441" s="8" t="n">
        <v>1</v>
      </c>
      <c r="P441" s="8" t="n">
        <v>0</v>
      </c>
      <c r="Q441" s="8" t="n">
        <v>1</v>
      </c>
      <c r="R441" s="8" t="n">
        <v>0</v>
      </c>
      <c r="S441" s="8" t="n">
        <v>0</v>
      </c>
      <c r="T441" s="8" t="n">
        <v>0</v>
      </c>
      <c r="U441" s="8" t="n">
        <v>0</v>
      </c>
      <c r="V441" s="8" t="n">
        <v>0</v>
      </c>
      <c r="W441" s="8" t="n">
        <v>0</v>
      </c>
      <c r="X441" s="8" t="n">
        <v>0</v>
      </c>
      <c r="Y441" s="8" t="inlineStr">
        <is>
          <t>K_S play#8 (Seq Strike3 swinging); E reach play#53 (B7) — not a H; stranded at 3B end of B7</t>
        </is>
      </c>
    </row>
    <row r="442" ht="15.75" customHeight="1" s="35">
      <c r="A442" s="8" t="inlineStr">
        <is>
          <t>2026-03-30_SHRW_at_GLNL</t>
        </is>
      </c>
      <c r="B442" s="2" t="n">
        <v>46111</v>
      </c>
      <c r="C442" s="8" t="inlineStr">
        <is>
          <t>SHRW</t>
        </is>
      </c>
      <c r="D442" s="8" t="inlineStr">
        <is>
          <t>GLNL</t>
        </is>
      </c>
      <c r="E442" s="8" t="inlineStr">
        <is>
          <t>A Baker</t>
        </is>
      </c>
      <c r="F442" s="8" t="n">
        <v>3</v>
      </c>
      <c r="G442" s="8" t="n">
        <v>3</v>
      </c>
      <c r="H442" s="8" t="n">
        <v>1</v>
      </c>
      <c r="I442" s="8" t="n">
        <v>0</v>
      </c>
      <c r="J442" s="8" t="n">
        <v>1</v>
      </c>
      <c r="K442" s="8" t="n">
        <v>0</v>
      </c>
      <c r="L442" s="8" t="n">
        <v>0</v>
      </c>
      <c r="M442" s="8" t="n">
        <v>0</v>
      </c>
      <c r="N442" s="8" t="n">
        <v>0</v>
      </c>
      <c r="O442" s="8" t="n">
        <v>2</v>
      </c>
      <c r="P442" s="8" t="n">
        <v>0</v>
      </c>
      <c r="Q442" s="8" t="n">
        <v>2</v>
      </c>
      <c r="R442" s="8" t="n">
        <v>0</v>
      </c>
      <c r="S442" s="8" t="n">
        <v>0</v>
      </c>
      <c r="T442" s="8" t="n">
        <v>0</v>
      </c>
      <c r="U442" s="8" t="n">
        <v>0</v>
      </c>
      <c r="V442" s="8" t="n">
        <v>0</v>
      </c>
      <c r="W442" s="8" t="n">
        <v>0</v>
      </c>
      <c r="X442" s="8" t="n">
        <v>0</v>
      </c>
      <c r="Y442" s="8" t="inlineStr">
        <is>
          <t>K_S play#12 (Seq Strike3 swinging); K_S play#29 — foul tip (Flag#4; Seq final pitch Foul tip); 2B play#54 (B7); stranded at 2B end of B7</t>
        </is>
      </c>
    </row>
    <row r="443" ht="15.75" customHeight="1" s="35">
      <c r="A443" s="8" t="inlineStr">
        <is>
          <t>2026-03-30_SHRW_at_GLNL</t>
        </is>
      </c>
      <c r="B443" s="2" t="n">
        <v>46111</v>
      </c>
      <c r="C443" s="8" t="inlineStr">
        <is>
          <t>SHRW</t>
        </is>
      </c>
      <c r="D443" s="8" t="inlineStr">
        <is>
          <t>GLNL</t>
        </is>
      </c>
      <c r="E443" s="8" t="inlineStr">
        <is>
          <t>S Tong</t>
        </is>
      </c>
      <c r="F443" s="8" t="n">
        <v>3</v>
      </c>
      <c r="G443" s="8" t="n">
        <v>3</v>
      </c>
      <c r="H443" s="8" t="n">
        <v>0</v>
      </c>
      <c r="I443" s="8" t="n">
        <v>0</v>
      </c>
      <c r="J443" s="8" t="n">
        <v>0</v>
      </c>
      <c r="K443" s="8" t="n">
        <v>0</v>
      </c>
      <c r="L443" s="8" t="n">
        <v>0</v>
      </c>
      <c r="M443" s="8" t="n">
        <v>0</v>
      </c>
      <c r="N443" s="8" t="n">
        <v>0</v>
      </c>
      <c r="O443" s="8" t="n">
        <v>1</v>
      </c>
      <c r="P443" s="8" t="n">
        <v>0</v>
      </c>
      <c r="Q443" s="8" t="n">
        <v>1</v>
      </c>
      <c r="R443" s="8" t="n">
        <v>0</v>
      </c>
      <c r="S443" s="8" t="n">
        <v>0</v>
      </c>
      <c r="T443" s="8" t="n">
        <v>0</v>
      </c>
      <c r="U443" s="8" t="n">
        <v>0</v>
      </c>
      <c r="V443" s="8" t="n">
        <v>0</v>
      </c>
      <c r="W443" s="8" t="n">
        <v>0</v>
      </c>
      <c r="X443" s="8" t="n">
        <v>0</v>
      </c>
      <c r="Y443" s="8" t="inlineStr">
        <is>
          <t>E reach play#13 (B2) — not a H; stranded; K_S play#55 (Seq Strike3 swinging)</t>
        </is>
      </c>
    </row>
    <row r="444" ht="15.75" customHeight="1" s="35">
      <c r="A444" s="8" t="inlineStr">
        <is>
          <t>2026-03-30_SHRW_at_GLNL</t>
        </is>
      </c>
      <c r="B444" s="2" t="n">
        <v>46111</v>
      </c>
      <c r="C444" s="8" t="inlineStr">
        <is>
          <t>SHRW</t>
        </is>
      </c>
      <c r="D444" s="8" t="inlineStr">
        <is>
          <t>GLNL</t>
        </is>
      </c>
      <c r="E444" s="8" t="inlineStr">
        <is>
          <t>J Miles</t>
        </is>
      </c>
      <c r="F444" s="8" t="n">
        <v>3</v>
      </c>
      <c r="G444" s="8" t="n">
        <v>3</v>
      </c>
      <c r="H444" s="8" t="n">
        <v>0</v>
      </c>
      <c r="I444" s="8" t="n">
        <v>0</v>
      </c>
      <c r="J444" s="8" t="n">
        <v>0</v>
      </c>
      <c r="K444" s="8" t="n">
        <v>0</v>
      </c>
      <c r="L444" s="8" t="n">
        <v>0</v>
      </c>
      <c r="M444" s="8" t="n">
        <v>0</v>
      </c>
      <c r="N444" s="8" t="n">
        <v>0</v>
      </c>
      <c r="O444" s="8" t="n">
        <v>3</v>
      </c>
      <c r="P444" s="8" t="n">
        <v>2</v>
      </c>
      <c r="Q444" s="8" t="n">
        <v>1</v>
      </c>
      <c r="R444" s="8" t="n">
        <v>0</v>
      </c>
      <c r="S444" s="8" t="n">
        <v>0</v>
      </c>
      <c r="T444" s="8" t="n">
        <v>0</v>
      </c>
      <c r="U444" s="8" t="n">
        <v>0</v>
      </c>
      <c r="V444" s="8" t="n">
        <v>0</v>
      </c>
      <c r="W444" s="8" t="n">
        <v>0</v>
      </c>
      <c r="X444" s="8" t="n">
        <v>0</v>
      </c>
      <c r="Y444" s="8" t="inlineStr">
        <is>
          <t>K_L play#14 (Seq Strike3 looking); K_L play#35 (Seq Strike3 looking — contradicts play desc 'swinging'; pitch seq governs per rules); K_S play#56 (Seq Strike3 swinging); also GLNL starting pitcher T1-T6 (documented play#1 seq)</t>
        </is>
      </c>
    </row>
    <row r="445" ht="15.75" customHeight="1" s="35">
      <c r="A445" s="8" t="inlineStr">
        <is>
          <t>2026-03-30_SHRW_at_GLNL</t>
        </is>
      </c>
      <c r="B445" s="2" t="n">
        <v>46111</v>
      </c>
      <c r="C445" s="8" t="inlineStr">
        <is>
          <t>SHRW</t>
        </is>
      </c>
      <c r="D445" s="8" t="inlineStr">
        <is>
          <t>GLNL</t>
        </is>
      </c>
      <c r="E445" s="8" t="inlineStr">
        <is>
          <t>A Nazelrod</t>
        </is>
      </c>
      <c r="F445" s="8" t="n">
        <v>2</v>
      </c>
      <c r="G445" s="8" t="n">
        <v>2</v>
      </c>
      <c r="H445" s="8" t="n">
        <v>0</v>
      </c>
      <c r="I445" s="8" t="n">
        <v>0</v>
      </c>
      <c r="J445" s="8" t="n">
        <v>0</v>
      </c>
      <c r="K445" s="8" t="n">
        <v>0</v>
      </c>
      <c r="L445" s="8" t="n">
        <v>0</v>
      </c>
      <c r="M445" s="8" t="n">
        <v>0</v>
      </c>
      <c r="N445" s="8" t="n">
        <v>0</v>
      </c>
      <c r="O445" s="8" t="n">
        <v>2</v>
      </c>
      <c r="P445" s="8" t="n">
        <v>2</v>
      </c>
      <c r="Q445" s="8" t="n">
        <v>0</v>
      </c>
      <c r="R445" s="8" t="n">
        <v>0</v>
      </c>
      <c r="S445" s="8" t="n">
        <v>0</v>
      </c>
      <c r="T445" s="8" t="n">
        <v>0</v>
      </c>
      <c r="U445" s="8" t="n">
        <v>0</v>
      </c>
      <c r="V445" s="8" t="n">
        <v>0</v>
      </c>
      <c r="W445" s="8" t="n">
        <v>0</v>
      </c>
      <c r="X445" s="8" t="n">
        <v>0</v>
      </c>
      <c r="Y445" s="8" t="inlineStr">
        <is>
          <t>K_L play#15 (Seq Strike3 looking); K_L play#36 (Seq Strike3 looking); replaced by B Burckhardt (play#57, B7)</t>
        </is>
      </c>
    </row>
    <row r="446" ht="15.75" customHeight="1" s="35">
      <c r="A446" s="8" t="inlineStr">
        <is>
          <t>2026-03-30_SHRW_at_GLNL</t>
        </is>
      </c>
      <c r="B446" s="2" t="n">
        <v>46111</v>
      </c>
      <c r="C446" s="8" t="inlineStr">
        <is>
          <t>SHRW</t>
        </is>
      </c>
      <c r="D446" s="8" t="inlineStr">
        <is>
          <t>GLNL</t>
        </is>
      </c>
      <c r="E446" s="8" t="inlineStr">
        <is>
          <t>C Brown</t>
        </is>
      </c>
      <c r="F446" s="8" t="n">
        <v>2</v>
      </c>
      <c r="G446" s="8" t="n">
        <v>2</v>
      </c>
      <c r="H446" s="8" t="n">
        <v>0</v>
      </c>
      <c r="I446" s="8" t="n">
        <v>0</v>
      </c>
      <c r="J446" s="8" t="n">
        <v>0</v>
      </c>
      <c r="K446" s="8" t="n">
        <v>0</v>
      </c>
      <c r="L446" s="8" t="n">
        <v>0</v>
      </c>
      <c r="M446" s="8" t="n">
        <v>0</v>
      </c>
      <c r="N446" s="8" t="n">
        <v>0</v>
      </c>
      <c r="O446" s="8" t="n">
        <v>1</v>
      </c>
      <c r="P446" s="8" t="n">
        <v>0</v>
      </c>
      <c r="Q446" s="8" t="n">
        <v>1</v>
      </c>
      <c r="R446" s="8" t="n">
        <v>0</v>
      </c>
      <c r="S446" s="8" t="n">
        <v>0</v>
      </c>
      <c r="T446" s="8" t="n">
        <v>0</v>
      </c>
      <c r="U446" s="8" t="n">
        <v>0</v>
      </c>
      <c r="V446" s="8" t="n">
        <v>0</v>
      </c>
      <c r="W446" s="8" t="n">
        <v>0</v>
      </c>
      <c r="X446" s="8" t="n">
        <v>0</v>
      </c>
      <c r="Y446" s="8" t="inlineStr">
        <is>
          <t>K_S play#21 (Seq Strike3 swinging)</t>
        </is>
      </c>
    </row>
    <row r="447" ht="15.75" customHeight="1" s="35">
      <c r="A447" s="8" t="inlineStr">
        <is>
          <t>2026-03-30_SHRW_at_GLNL</t>
        </is>
      </c>
      <c r="B447" s="2" t="n">
        <v>46111</v>
      </c>
      <c r="C447" s="8" t="inlineStr">
        <is>
          <t>SHRW</t>
        </is>
      </c>
      <c r="D447" s="8" t="inlineStr">
        <is>
          <t>GLNL</t>
        </is>
      </c>
      <c r="E447" s="8" t="inlineStr">
        <is>
          <t>B Burckhardt</t>
        </is>
      </c>
      <c r="F447" s="8" t="n">
        <v>1</v>
      </c>
      <c r="G447" s="8" t="n">
        <v>1</v>
      </c>
      <c r="H447" s="8" t="n">
        <v>0</v>
      </c>
      <c r="I447" s="8" t="n">
        <v>0</v>
      </c>
      <c r="J447" s="8" t="n">
        <v>0</v>
      </c>
      <c r="K447" s="8" t="n">
        <v>0</v>
      </c>
      <c r="L447" s="8" t="n">
        <v>0</v>
      </c>
      <c r="M447" s="8" t="n">
        <v>0</v>
      </c>
      <c r="N447" s="8" t="n">
        <v>0</v>
      </c>
      <c r="O447" s="8" t="n">
        <v>1</v>
      </c>
      <c r="P447" s="8" t="n">
        <v>1</v>
      </c>
      <c r="Q447" s="8" t="n">
        <v>0</v>
      </c>
      <c r="R447" s="8" t="n">
        <v>0</v>
      </c>
      <c r="S447" s="8" t="n">
        <v>0</v>
      </c>
      <c r="T447" s="8" t="n">
        <v>0</v>
      </c>
      <c r="U447" s="8" t="n">
        <v>0</v>
      </c>
      <c r="V447" s="8" t="n">
        <v>0</v>
      </c>
      <c r="W447" s="8" t="n">
        <v>0</v>
      </c>
      <c r="X447" s="8" t="n">
        <v>0</v>
      </c>
      <c r="Y447" s="8" t="inlineStr">
        <is>
          <t>Entered for batter A Nazelrod (play#57, B7); K_L (Seq Strike3 looking)</t>
        </is>
      </c>
    </row>
    <row r="448" ht="15.75" customHeight="1" s="35">
      <c r="A448" s="8" t="inlineStr">
        <is>
          <t>2026-03-31_GLNL_at_ATHL</t>
        </is>
      </c>
      <c r="B448" s="2" t="n">
        <v>46112</v>
      </c>
      <c r="C448" s="8" t="inlineStr">
        <is>
          <t>ATHL</t>
        </is>
      </c>
      <c r="D448" s="8" t="inlineStr">
        <is>
          <t>GLNL</t>
        </is>
      </c>
      <c r="E448" s="8" t="inlineStr">
        <is>
          <t>T Blayman</t>
        </is>
      </c>
      <c r="F448" s="8" t="n">
        <v>4</v>
      </c>
      <c r="G448" s="8" t="n">
        <v>4</v>
      </c>
      <c r="H448" s="8" t="n">
        <v>1</v>
      </c>
      <c r="I448" s="8" t="n">
        <v>1</v>
      </c>
      <c r="J448" s="8" t="n">
        <v>0</v>
      </c>
      <c r="K448" s="8" t="n">
        <v>0</v>
      </c>
      <c r="L448" s="8" t="n">
        <v>0</v>
      </c>
      <c r="M448" s="8" t="n">
        <v>0</v>
      </c>
      <c r="N448" s="8" t="n">
        <v>0</v>
      </c>
      <c r="O448" s="8" t="n">
        <v>2</v>
      </c>
      <c r="P448" s="8" t="n">
        <v>1</v>
      </c>
      <c r="Q448" s="8" t="n">
        <v>1</v>
      </c>
      <c r="R448" s="8" t="n">
        <v>0</v>
      </c>
      <c r="S448" s="8" t="n">
        <v>0</v>
      </c>
      <c r="T448" s="8" t="n">
        <v>0</v>
      </c>
      <c r="U448" s="8" t="n">
        <v>0</v>
      </c>
      <c r="V448" s="8" t="n">
        <v>0</v>
      </c>
      <c r="W448" s="8" t="n">
        <v>0</v>
      </c>
      <c r="X448" s="8" t="n">
        <v>0</v>
      </c>
      <c r="Y448" s="8" t="inlineStr">
        <is>
          <t>K_S play#1 (Seq Strike3 swinging — L Byrns entered mid-AB); K_L play#33 (Seq Strike3 looking); 1B bunt play#47 (T6); adv 2B on WP (play#48 embedded); stranded T6</t>
        </is>
      </c>
    </row>
    <row r="449" ht="15.75" customHeight="1" s="35">
      <c r="A449" s="8" t="inlineStr">
        <is>
          <t>2026-03-31_GLNL_at_ATHL</t>
        </is>
      </c>
      <c r="B449" s="2" t="n">
        <v>46112</v>
      </c>
      <c r="C449" s="8" t="inlineStr">
        <is>
          <t>ATHL</t>
        </is>
      </c>
      <c r="D449" s="8" t="inlineStr">
        <is>
          <t>GLNL</t>
        </is>
      </c>
      <c r="E449" s="8" t="inlineStr">
        <is>
          <t>S Tong</t>
        </is>
      </c>
      <c r="F449" s="8" t="n">
        <v>4</v>
      </c>
      <c r="G449" s="8" t="n">
        <v>3</v>
      </c>
      <c r="H449" s="8" t="n">
        <v>0</v>
      </c>
      <c r="I449" s="8" t="n">
        <v>0</v>
      </c>
      <c r="J449" s="8" t="n">
        <v>0</v>
      </c>
      <c r="K449" s="8" t="n">
        <v>0</v>
      </c>
      <c r="L449" s="8" t="n">
        <v>0</v>
      </c>
      <c r="M449" s="8" t="n">
        <v>1</v>
      </c>
      <c r="N449" s="8" t="n">
        <v>0</v>
      </c>
      <c r="O449" s="8" t="n">
        <v>2</v>
      </c>
      <c r="P449" s="8" t="n">
        <v>1</v>
      </c>
      <c r="Q449" s="8" t="n">
        <v>1</v>
      </c>
      <c r="R449" s="8" t="n">
        <v>2</v>
      </c>
      <c r="S449" s="8" t="n">
        <v>0</v>
      </c>
      <c r="T449" s="8" t="n">
        <v>0</v>
      </c>
      <c r="U449" s="8" t="n">
        <v>0</v>
      </c>
      <c r="V449" s="8" t="n">
        <v>1</v>
      </c>
      <c r="W449" s="8" t="n">
        <v>0</v>
      </c>
      <c r="X449" s="8" t="n">
        <v>0</v>
      </c>
      <c r="Y449" s="8" t="inlineStr">
        <is>
          <t>K_L play#2 (Seq Strike3 looking); BB play#19 (T3); scored on A Baker SAC fly (play#22, T3); K_S play#34 — dropped 3rd PB (reaches, Flag#7; Seq Strike3 swinging); adv 2B+3B on PBs (play#35 embedded); scored on J Martin E (play#37, T5 — run on error, no RBI for batter); GDP play#48 (fly-into-DP, Flag#4 — S Tong out + G Knauss out at home)</t>
        </is>
      </c>
    </row>
    <row r="450" ht="15.75" customHeight="1" s="35">
      <c r="A450" s="8" t="inlineStr">
        <is>
          <t>2026-03-31_GLNL_at_ATHL</t>
        </is>
      </c>
      <c r="B450" s="2" t="n">
        <v>46112</v>
      </c>
      <c r="C450" s="8" t="inlineStr">
        <is>
          <t>ATHL</t>
        </is>
      </c>
      <c r="D450" s="8" t="inlineStr">
        <is>
          <t>GLNL</t>
        </is>
      </c>
      <c r="E450" s="8" t="inlineStr">
        <is>
          <t>C Lease</t>
        </is>
      </c>
      <c r="F450" s="8" t="n">
        <v>4</v>
      </c>
      <c r="G450" s="8" t="n">
        <v>2</v>
      </c>
      <c r="H450" s="8" t="n">
        <v>0</v>
      </c>
      <c r="I450" s="8" t="n">
        <v>0</v>
      </c>
      <c r="J450" s="8" t="n">
        <v>0</v>
      </c>
      <c r="K450" s="8" t="n">
        <v>0</v>
      </c>
      <c r="L450" s="8" t="n">
        <v>0</v>
      </c>
      <c r="M450" s="8" t="n">
        <v>2</v>
      </c>
      <c r="N450" s="8" t="n">
        <v>0</v>
      </c>
      <c r="O450" s="8" t="n">
        <v>1</v>
      </c>
      <c r="P450" s="8" t="n">
        <v>0</v>
      </c>
      <c r="Q450" s="8" t="n">
        <v>1</v>
      </c>
      <c r="R450" s="8" t="n">
        <v>0</v>
      </c>
      <c r="S450" s="8" t="n">
        <v>0</v>
      </c>
      <c r="T450" s="8" t="n">
        <v>0</v>
      </c>
      <c r="U450" s="8" t="n">
        <v>0</v>
      </c>
      <c r="V450" s="8" t="n">
        <v>0</v>
      </c>
      <c r="W450" s="8" t="n">
        <v>0</v>
      </c>
      <c r="X450" s="8" t="n">
        <v>0</v>
      </c>
      <c r="Y450" s="8" t="inlineStr">
        <is>
          <t>K_S play#3 (Seq Strike3 swinging); BB play#20 (T3); adv 2B on E reach B Conlon (play#21); adv 3B on A Baker SAC fly (play#22); out at 3B on A Nazelrod FC (play#23, inning ends — Flag#10 'did not score' notation); BB play#35 (T5); out at 3B on A Baker FC (play#37)</t>
        </is>
      </c>
    </row>
    <row r="451" ht="15.75" customHeight="1" s="35">
      <c r="A451" s="8" t="inlineStr">
        <is>
          <t>2026-03-31_GLNL_at_ATHL</t>
        </is>
      </c>
      <c r="B451" s="2" t="n">
        <v>46112</v>
      </c>
      <c r="C451" s="8" t="inlineStr">
        <is>
          <t>ATHL</t>
        </is>
      </c>
      <c r="D451" s="8" t="inlineStr">
        <is>
          <t>GLNL</t>
        </is>
      </c>
      <c r="E451" s="8" t="inlineStr">
        <is>
          <t>B Conlon</t>
        </is>
      </c>
      <c r="F451" s="8" t="n">
        <v>4</v>
      </c>
      <c r="G451" s="8" t="n">
        <v>3</v>
      </c>
      <c r="H451" s="8" t="n">
        <v>1</v>
      </c>
      <c r="I451" s="8" t="n">
        <v>1</v>
      </c>
      <c r="J451" s="8" t="n">
        <v>0</v>
      </c>
      <c r="K451" s="8" t="n">
        <v>0</v>
      </c>
      <c r="L451" s="8" t="n">
        <v>0</v>
      </c>
      <c r="M451" s="8" t="n">
        <v>1</v>
      </c>
      <c r="N451" s="8" t="n">
        <v>0</v>
      </c>
      <c r="O451" s="8" t="n">
        <v>0</v>
      </c>
      <c r="P451" s="8" t="n">
        <v>0</v>
      </c>
      <c r="Q451" s="8" t="n">
        <v>0</v>
      </c>
      <c r="R451" s="8" t="n">
        <v>2</v>
      </c>
      <c r="S451" s="8" t="n">
        <v>0</v>
      </c>
      <c r="T451" s="8" t="n">
        <v>1</v>
      </c>
      <c r="U451" s="8" t="n">
        <v>0</v>
      </c>
      <c r="V451" s="8" t="n">
        <v>0</v>
      </c>
      <c r="W451" s="8" t="n">
        <v>0</v>
      </c>
      <c r="X451" s="8" t="n">
        <v>0</v>
      </c>
      <c r="Y451" s="8" t="inlineStr">
        <is>
          <t>1B play#9 (T2); SB play#10 embedded (A Baker AB); adv 3B on A Baker GO (play#10 — Flag#9: unusual adv from 2B to 3B on GO to 1B); scored on G Melhuish dropped K/WP (play#13, T2); E reach play#21 (T3) — not H; out at 2B on A Nazelrod FC (play#23); IBW play#36 (T5, Flag#5 — only IBW in series); scored on J Martin E (play#37, T5 — run on error); also GLNL pitcher B1-B7</t>
        </is>
      </c>
    </row>
    <row r="452" ht="15.75" customHeight="1" s="35">
      <c r="A452" s="8" t="inlineStr">
        <is>
          <t>2026-03-31_GLNL_at_ATHL</t>
        </is>
      </c>
      <c r="B452" s="2" t="n">
        <v>46112</v>
      </c>
      <c r="C452" s="8" t="inlineStr">
        <is>
          <t>ATHL</t>
        </is>
      </c>
      <c r="D452" s="8" t="inlineStr">
        <is>
          <t>GLNL</t>
        </is>
      </c>
      <c r="E452" s="8" t="inlineStr">
        <is>
          <t>A Baker</t>
        </is>
      </c>
      <c r="F452" s="8" t="n">
        <v>4</v>
      </c>
      <c r="G452" s="8" t="n">
        <v>3</v>
      </c>
      <c r="H452" s="8" t="n">
        <v>0</v>
      </c>
      <c r="I452" s="8" t="n">
        <v>0</v>
      </c>
      <c r="J452" s="8" t="n">
        <v>0</v>
      </c>
      <c r="K452" s="8" t="n">
        <v>0</v>
      </c>
      <c r="L452" s="8" t="n">
        <v>0</v>
      </c>
      <c r="M452" s="8" t="n">
        <v>0</v>
      </c>
      <c r="N452" s="8" t="n">
        <v>0</v>
      </c>
      <c r="O452" s="8" t="n">
        <v>1</v>
      </c>
      <c r="P452" s="8" t="n">
        <v>0</v>
      </c>
      <c r="Q452" s="8" t="n">
        <v>1</v>
      </c>
      <c r="R452" s="8" t="n">
        <v>1</v>
      </c>
      <c r="S452" s="8" t="n">
        <v>1</v>
      </c>
      <c r="T452" s="8" t="n">
        <v>0</v>
      </c>
      <c r="U452" s="8" t="n">
        <v>0</v>
      </c>
      <c r="V452" s="8" t="n">
        <v>0</v>
      </c>
      <c r="W452" s="8" t="n">
        <v>1</v>
      </c>
      <c r="X452" s="8" t="n">
        <v>1</v>
      </c>
      <c r="Y452" s="8" t="inlineStr">
        <is>
          <t>K_S play#54 (Seq Strike3 swinging — T MacKenzie pitching, Flag#12); SAC fly play#22 (T3, RBI: S Tong scores — only GLNL RBI this game); FC play#37 (T5): C Lease out; B Conlon+S Tong score on J Martin E — no RBI for A Baker (runs on error, Flag#11); scored on A Nazelrod E reach (play#38, T5)</t>
        </is>
      </c>
    </row>
    <row r="453" ht="15.75" customHeight="1" s="35">
      <c r="A453" s="8" t="inlineStr">
        <is>
          <t>2026-03-31_GLNL_at_ATHL</t>
        </is>
      </c>
      <c r="B453" s="2" t="n">
        <v>46112</v>
      </c>
      <c r="C453" s="8" t="inlineStr">
        <is>
          <t>ATHL</t>
        </is>
      </c>
      <c r="D453" s="8" t="inlineStr">
        <is>
          <t>GLNL</t>
        </is>
      </c>
      <c r="E453" s="8" t="inlineStr">
        <is>
          <t>A Nazelrod</t>
        </is>
      </c>
      <c r="F453" s="8" t="n">
        <v>4</v>
      </c>
      <c r="G453" s="8" t="n">
        <v>4</v>
      </c>
      <c r="H453" s="8" t="n">
        <v>0</v>
      </c>
      <c r="I453" s="8" t="n">
        <v>0</v>
      </c>
      <c r="J453" s="8" t="n">
        <v>0</v>
      </c>
      <c r="K453" s="8" t="n">
        <v>0</v>
      </c>
      <c r="L453" s="8" t="n">
        <v>0</v>
      </c>
      <c r="M453" s="8" t="n">
        <v>0</v>
      </c>
      <c r="N453" s="8" t="n">
        <v>0</v>
      </c>
      <c r="O453" s="8" t="n">
        <v>0</v>
      </c>
      <c r="P453" s="8" t="n">
        <v>0</v>
      </c>
      <c r="Q453" s="8" t="n">
        <v>0</v>
      </c>
      <c r="R453" s="8" t="n">
        <v>0</v>
      </c>
      <c r="S453" s="8" t="n">
        <v>0</v>
      </c>
      <c r="T453" s="8" t="n">
        <v>0</v>
      </c>
      <c r="U453" s="8" t="n">
        <v>0</v>
      </c>
      <c r="V453" s="8" t="n">
        <v>0</v>
      </c>
      <c r="W453" s="8" t="n">
        <v>0</v>
      </c>
      <c r="X453" s="8" t="n">
        <v>1</v>
      </c>
      <c r="Y453" s="8" t="inlineStr">
        <is>
          <t>FO play#11 (T2, foul territory); FC play#23 (T3 — B Conlon out advancing; Flag#10); E reach play#38 (T5) — not H; A Baker scores on this error; stranded; LO play#55 (T7)</t>
        </is>
      </c>
    </row>
    <row r="454" ht="15.75" customHeight="1" s="35">
      <c r="A454" s="8" t="inlineStr">
        <is>
          <t>2026-03-31_GLNL_at_ATHL</t>
        </is>
      </c>
      <c r="B454" s="2" t="n">
        <v>46112</v>
      </c>
      <c r="C454" s="8" t="inlineStr">
        <is>
          <t>ATHL</t>
        </is>
      </c>
      <c r="D454" s="8" t="inlineStr">
        <is>
          <t>GLNL</t>
        </is>
      </c>
      <c r="E454" s="8" t="inlineStr">
        <is>
          <t>E Laprise</t>
        </is>
      </c>
      <c r="F454" s="8" t="n">
        <v>2</v>
      </c>
      <c r="G454" s="8" t="n">
        <v>1</v>
      </c>
      <c r="H454" s="8" t="n">
        <v>0</v>
      </c>
      <c r="I454" s="8" t="n">
        <v>0</v>
      </c>
      <c r="J454" s="8" t="n">
        <v>0</v>
      </c>
      <c r="K454" s="8" t="n">
        <v>0</v>
      </c>
      <c r="L454" s="8" t="n">
        <v>0</v>
      </c>
      <c r="M454" s="8" t="n">
        <v>1</v>
      </c>
      <c r="N454" s="8" t="n">
        <v>0</v>
      </c>
      <c r="O454" s="8" t="n">
        <v>1</v>
      </c>
      <c r="P454" s="8" t="n">
        <v>0</v>
      </c>
      <c r="Q454" s="8" t="n">
        <v>1</v>
      </c>
      <c r="R454" s="8" t="n">
        <v>0</v>
      </c>
      <c r="S454" s="8" t="n">
        <v>0</v>
      </c>
      <c r="T454" s="8" t="n">
        <v>0</v>
      </c>
      <c r="U454" s="8" t="n">
        <v>0</v>
      </c>
      <c r="V454" s="8" t="n">
        <v>0</v>
      </c>
      <c r="W454" s="8" t="n">
        <v>0</v>
      </c>
      <c r="X454" s="8" t="n">
        <v>0</v>
      </c>
      <c r="Y454" s="8" t="inlineStr">
        <is>
          <t>BB play#12 (T2); adv 2B on DI (play#13 embedded, Flag#8); stranded; K_S play#27 (Seq Strike3 swinging); replaced by J Miles (play#39, T5)</t>
        </is>
      </c>
    </row>
    <row r="455" ht="15.75" customHeight="1" s="35">
      <c r="A455" s="8" t="inlineStr">
        <is>
          <t>2026-03-31_GLNL_at_ATHL</t>
        </is>
      </c>
      <c r="B455" s="2" t="n">
        <v>46112</v>
      </c>
      <c r="C455" s="8" t="inlineStr">
        <is>
          <t>ATHL</t>
        </is>
      </c>
      <c r="D455" s="8" t="inlineStr">
        <is>
          <t>GLNL</t>
        </is>
      </c>
      <c r="E455" s="8" t="inlineStr">
        <is>
          <t>G Melhuish</t>
        </is>
      </c>
      <c r="F455" s="8" t="n">
        <v>3</v>
      </c>
      <c r="G455" s="8" t="n">
        <v>2</v>
      </c>
      <c r="H455" s="8" t="n">
        <v>0</v>
      </c>
      <c r="I455" s="8" t="n">
        <v>0</v>
      </c>
      <c r="J455" s="8" t="n">
        <v>0</v>
      </c>
      <c r="K455" s="8" t="n">
        <v>0</v>
      </c>
      <c r="L455" s="8" t="n">
        <v>0</v>
      </c>
      <c r="M455" s="8" t="n">
        <v>1</v>
      </c>
      <c r="N455" s="8" t="n">
        <v>0</v>
      </c>
      <c r="O455" s="8" t="n">
        <v>1</v>
      </c>
      <c r="P455" s="8" t="n">
        <v>0</v>
      </c>
      <c r="Q455" s="8" t="n">
        <v>1</v>
      </c>
      <c r="R455" s="8" t="n">
        <v>1</v>
      </c>
      <c r="S455" s="8" t="n">
        <v>0</v>
      </c>
      <c r="T455" s="8" t="n">
        <v>0</v>
      </c>
      <c r="U455" s="8" t="n">
        <v>0</v>
      </c>
      <c r="V455" s="8" t="n">
        <v>0</v>
      </c>
      <c r="W455" s="8" t="n">
        <v>0</v>
      </c>
      <c r="X455" s="8" t="n">
        <v>0</v>
      </c>
      <c r="Y455" s="8" t="inlineStr">
        <is>
          <t>K_S play#13 — dropped 3rd WP (reaches, Flag#7; Seq Strike3 swinging); B Conlon scores on this WP; adv 2B on DI (play#14 embedded, Flag#8); FO play#28 (T4); BB play#45 (T6); CR P Moreau in for G Melhuish (play#46 seq); P Moreau scores on WP (play#48); R credited to G Melhuish per CR</t>
        </is>
      </c>
    </row>
    <row r="456" ht="15.75" customHeight="1" s="35">
      <c r="A456" s="8" t="inlineStr">
        <is>
          <t>2026-03-31_GLNL_at_ATHL</t>
        </is>
      </c>
      <c r="B456" s="2" t="n">
        <v>46112</v>
      </c>
      <c r="C456" s="8" t="inlineStr">
        <is>
          <t>ATHL</t>
        </is>
      </c>
      <c r="D456" s="8" t="inlineStr">
        <is>
          <t>GLNL</t>
        </is>
      </c>
      <c r="E456" s="8" t="inlineStr">
        <is>
          <t>G Knauss</t>
        </is>
      </c>
      <c r="F456" s="8" t="n">
        <v>3</v>
      </c>
      <c r="G456" s="8" t="n">
        <v>3</v>
      </c>
      <c r="H456" s="8" t="n">
        <v>1</v>
      </c>
      <c r="I456" s="8" t="n">
        <v>1</v>
      </c>
      <c r="J456" s="8" t="n">
        <v>0</v>
      </c>
      <c r="K456" s="8" t="n">
        <v>0</v>
      </c>
      <c r="L456" s="8" t="n">
        <v>0</v>
      </c>
      <c r="M456" s="8" t="n">
        <v>0</v>
      </c>
      <c r="N456" s="8" t="n">
        <v>0</v>
      </c>
      <c r="O456" s="8" t="n">
        <v>2</v>
      </c>
      <c r="P456" s="8" t="n">
        <v>1</v>
      </c>
      <c r="Q456" s="8" t="n">
        <v>1</v>
      </c>
      <c r="R456" s="8" t="n">
        <v>0</v>
      </c>
      <c r="S456" s="8" t="n">
        <v>0</v>
      </c>
      <c r="T456" s="8" t="n">
        <v>0</v>
      </c>
      <c r="U456" s="8" t="n">
        <v>0</v>
      </c>
      <c r="V456" s="8" t="n">
        <v>0</v>
      </c>
      <c r="W456" s="8" t="n">
        <v>0</v>
      </c>
      <c r="X456" s="8" t="n">
        <v>0</v>
      </c>
      <c r="Y456" s="8" t="inlineStr">
        <is>
          <t>K_L play#14 (Seq Strike3 looking); K_S play#29 (Seq Strike3 swinging); 1B bunt play#46 (T6); adv 3B on WP (play#48 embedded); out at home attempting to score after tag-up on S Tong fly-into-DP (play#48 — not a CS; baserunning out on tag-up); Flag#4</t>
        </is>
      </c>
    </row>
    <row r="457" ht="15.75" customHeight="1" s="35">
      <c r="A457" s="8" t="inlineStr">
        <is>
          <t>2026-03-31_GLNL_at_ATHL</t>
        </is>
      </c>
      <c r="B457" s="2" t="n">
        <v>46112</v>
      </c>
      <c r="C457" s="8" t="inlineStr">
        <is>
          <t>ATHL</t>
        </is>
      </c>
      <c r="D457" s="8" t="inlineStr">
        <is>
          <t>GLNL</t>
        </is>
      </c>
      <c r="E457" s="8" t="inlineStr">
        <is>
          <t>J Miles</t>
        </is>
      </c>
      <c r="F457" s="8" t="n">
        <v>1</v>
      </c>
      <c r="G457" s="8" t="n">
        <v>1</v>
      </c>
      <c r="H457" s="8" t="n">
        <v>0</v>
      </c>
      <c r="I457" s="8" t="n">
        <v>0</v>
      </c>
      <c r="J457" s="8" t="n">
        <v>0</v>
      </c>
      <c r="K457" s="8" t="n">
        <v>0</v>
      </c>
      <c r="L457" s="8" t="n">
        <v>0</v>
      </c>
      <c r="M457" s="8" t="n">
        <v>0</v>
      </c>
      <c r="N457" s="8" t="n">
        <v>0</v>
      </c>
      <c r="O457" s="8" t="n">
        <v>0</v>
      </c>
      <c r="P457" s="8" t="n">
        <v>0</v>
      </c>
      <c r="Q457" s="8" t="n">
        <v>0</v>
      </c>
      <c r="R457" s="8" t="n">
        <v>0</v>
      </c>
      <c r="S457" s="8" t="n">
        <v>0</v>
      </c>
      <c r="T457" s="8" t="n">
        <v>0</v>
      </c>
      <c r="U457" s="8" t="n">
        <v>0</v>
      </c>
      <c r="V457" s="8" t="n">
        <v>0</v>
      </c>
      <c r="W457" s="8" t="n">
        <v>0</v>
      </c>
      <c r="X457" s="8" t="n">
        <v>0</v>
      </c>
      <c r="Y457" s="8" t="inlineStr">
        <is>
          <t>Mid-AB entry for batter E Laprise (play#39 seq, T5); FO play#39</t>
        </is>
      </c>
    </row>
    <row r="458" ht="15.75" customHeight="1" s="35">
      <c r="A458" s="8" t="inlineStr">
        <is>
          <t>2026-03-31_GLNL_at_ATHL</t>
        </is>
      </c>
      <c r="B458" s="2" t="n">
        <v>46112</v>
      </c>
      <c r="C458" s="8" t="inlineStr">
        <is>
          <t>GLNL</t>
        </is>
      </c>
      <c r="D458" s="8" t="inlineStr">
        <is>
          <t>ATHL</t>
        </is>
      </c>
      <c r="E458" s="8" t="inlineStr">
        <is>
          <t>J Dailey</t>
        </is>
      </c>
      <c r="F458" s="8" t="n">
        <v>3</v>
      </c>
      <c r="G458" s="8" t="n">
        <v>3</v>
      </c>
      <c r="H458" s="8" t="n">
        <v>0</v>
      </c>
      <c r="I458" s="8" t="n">
        <v>0</v>
      </c>
      <c r="J458" s="8" t="n">
        <v>0</v>
      </c>
      <c r="K458" s="8" t="n">
        <v>0</v>
      </c>
      <c r="L458" s="8" t="n">
        <v>0</v>
      </c>
      <c r="M458" s="8" t="n">
        <v>0</v>
      </c>
      <c r="N458" s="8" t="n">
        <v>0</v>
      </c>
      <c r="O458" s="8" t="n">
        <v>0</v>
      </c>
      <c r="P458" s="8" t="n">
        <v>0</v>
      </c>
      <c r="Q458" s="8" t="n">
        <v>0</v>
      </c>
      <c r="R458" s="8" t="n">
        <v>0</v>
      </c>
      <c r="S458" s="8" t="n">
        <v>0</v>
      </c>
      <c r="T458" s="8" t="n">
        <v>0</v>
      </c>
      <c r="U458" s="8" t="n">
        <v>0</v>
      </c>
      <c r="V458" s="8" t="n">
        <v>0</v>
      </c>
      <c r="W458" s="8" t="n">
        <v>0</v>
      </c>
      <c r="X458" s="8" t="n">
        <v>0</v>
      </c>
    </row>
    <row r="459" ht="15.75" customHeight="1" s="35">
      <c r="A459" s="8" t="inlineStr">
        <is>
          <t>2026-03-31_GLNL_at_ATHL</t>
        </is>
      </c>
      <c r="B459" s="2" t="n">
        <v>46112</v>
      </c>
      <c r="C459" s="8" t="inlineStr">
        <is>
          <t>GLNL</t>
        </is>
      </c>
      <c r="D459" s="8" t="inlineStr">
        <is>
          <t>ATHL</t>
        </is>
      </c>
      <c r="E459" s="8" t="inlineStr">
        <is>
          <t>J Martin</t>
        </is>
      </c>
      <c r="F459" s="8" t="n">
        <v>3</v>
      </c>
      <c r="G459" s="8" t="n">
        <v>3</v>
      </c>
      <c r="H459" s="8" t="n">
        <v>1</v>
      </c>
      <c r="I459" s="8" t="n">
        <v>1</v>
      </c>
      <c r="J459" s="8" t="n">
        <v>0</v>
      </c>
      <c r="K459" s="8" t="n">
        <v>0</v>
      </c>
      <c r="L459" s="8" t="n">
        <v>0</v>
      </c>
      <c r="M459" s="8" t="n">
        <v>0</v>
      </c>
      <c r="N459" s="8" t="n">
        <v>0</v>
      </c>
      <c r="O459" s="8" t="n">
        <v>0</v>
      </c>
      <c r="P459" s="8" t="n">
        <v>0</v>
      </c>
      <c r="Q459" s="8" t="n">
        <v>0</v>
      </c>
      <c r="R459" s="8" t="n">
        <v>0</v>
      </c>
      <c r="S459" s="8" t="n">
        <v>0</v>
      </c>
      <c r="T459" s="8" t="n">
        <v>2</v>
      </c>
      <c r="U459" s="8" t="n">
        <v>0</v>
      </c>
      <c r="V459" s="8" t="n">
        <v>0</v>
      </c>
      <c r="W459" s="8" t="n">
        <v>0</v>
      </c>
      <c r="X459" s="8" t="n">
        <v>0</v>
      </c>
      <c r="Y459" s="8" t="inlineStr">
        <is>
          <t>1B play#5 (B1); SB 2nd play#6 embedded + SB 3rd play#6 embedded (2 SBs in one AB, Flag#6); stranded B1; also 3B — E play#37 (Top 5th)</t>
        </is>
      </c>
    </row>
    <row r="460" ht="15.75" customHeight="1" s="35">
      <c r="A460" s="8" t="inlineStr">
        <is>
          <t>2026-03-31_GLNL_at_ATHL</t>
        </is>
      </c>
      <c r="B460" s="2" t="n">
        <v>46112</v>
      </c>
      <c r="C460" s="8" t="inlineStr">
        <is>
          <t>GLNL</t>
        </is>
      </c>
      <c r="D460" s="8" t="inlineStr">
        <is>
          <t>ATHL</t>
        </is>
      </c>
      <c r="E460" s="8" t="inlineStr">
        <is>
          <t>N Weinig</t>
        </is>
      </c>
      <c r="F460" s="8" t="n">
        <v>3</v>
      </c>
      <c r="G460" s="8" t="n">
        <v>3</v>
      </c>
      <c r="H460" s="8" t="n">
        <v>0</v>
      </c>
      <c r="I460" s="8" t="n">
        <v>0</v>
      </c>
      <c r="J460" s="8" t="n">
        <v>0</v>
      </c>
      <c r="K460" s="8" t="n">
        <v>0</v>
      </c>
      <c r="L460" s="8" t="n">
        <v>0</v>
      </c>
      <c r="M460" s="8" t="n">
        <v>0</v>
      </c>
      <c r="N460" s="8" t="n">
        <v>0</v>
      </c>
      <c r="O460" s="8" t="n">
        <v>1</v>
      </c>
      <c r="P460" s="8" t="n">
        <v>0</v>
      </c>
      <c r="Q460" s="8" t="n">
        <v>1</v>
      </c>
      <c r="R460" s="8" t="n">
        <v>0</v>
      </c>
      <c r="S460" s="8" t="n">
        <v>0</v>
      </c>
      <c r="T460" s="8" t="n">
        <v>0</v>
      </c>
      <c r="U460" s="8" t="n">
        <v>0</v>
      </c>
      <c r="V460" s="8" t="n">
        <v>0</v>
      </c>
      <c r="W460" s="8" t="n">
        <v>0</v>
      </c>
      <c r="X460" s="8" t="n">
        <v>0</v>
      </c>
      <c r="Y460" s="8" t="inlineStr">
        <is>
          <t>K_S play#6 (Seq Strike3 swinging)</t>
        </is>
      </c>
    </row>
    <row r="461" ht="15.75" customHeight="1" s="35">
      <c r="A461" s="8" t="inlineStr">
        <is>
          <t>2026-03-31_GLNL_at_ATHL</t>
        </is>
      </c>
      <c r="B461" s="2" t="n">
        <v>46112</v>
      </c>
      <c r="C461" s="8" t="inlineStr">
        <is>
          <t>GLNL</t>
        </is>
      </c>
      <c r="D461" s="8" t="inlineStr">
        <is>
          <t>ATHL</t>
        </is>
      </c>
      <c r="E461" s="8" t="inlineStr">
        <is>
          <t>T MacKenzie</t>
        </is>
      </c>
      <c r="F461" s="8" t="n">
        <v>3</v>
      </c>
      <c r="G461" s="8" t="n">
        <v>2</v>
      </c>
      <c r="H461" s="8" t="n">
        <v>0</v>
      </c>
      <c r="I461" s="8" t="n">
        <v>0</v>
      </c>
      <c r="J461" s="8" t="n">
        <v>0</v>
      </c>
      <c r="K461" s="8" t="n">
        <v>0</v>
      </c>
      <c r="L461" s="8" t="n">
        <v>0</v>
      </c>
      <c r="M461" s="8" t="n">
        <v>1</v>
      </c>
      <c r="N461" s="8" t="n">
        <v>0</v>
      </c>
      <c r="O461" s="8" t="n">
        <v>1</v>
      </c>
      <c r="P461" s="8" t="n">
        <v>1</v>
      </c>
      <c r="Q461" s="8" t="n">
        <v>0</v>
      </c>
      <c r="R461" s="8" t="n">
        <v>0</v>
      </c>
      <c r="S461" s="8" t="n">
        <v>0</v>
      </c>
      <c r="T461" s="8" t="n">
        <v>0</v>
      </c>
      <c r="U461" s="8" t="n">
        <v>0</v>
      </c>
      <c r="V461" s="8" t="n">
        <v>0</v>
      </c>
      <c r="W461" s="8" t="n">
        <v>0</v>
      </c>
      <c r="X461" s="8" t="n">
        <v>0</v>
      </c>
      <c r="Y461" s="8" t="inlineStr">
        <is>
          <t>BB play#7 (B1); K_L play#31 (Seq Strike3 looking); also ATHL pitcher T7 (inferred from play#54, Flag#12)</t>
        </is>
      </c>
    </row>
    <row r="462" ht="15.75" customHeight="1" s="35">
      <c r="A462" s="8" t="inlineStr">
        <is>
          <t>2026-03-31_GLNL_at_ATHL</t>
        </is>
      </c>
      <c r="B462" s="2" t="n">
        <v>46112</v>
      </c>
      <c r="C462" s="8" t="inlineStr">
        <is>
          <t>GLNL</t>
        </is>
      </c>
      <c r="D462" s="8" t="inlineStr">
        <is>
          <t>ATHL</t>
        </is>
      </c>
      <c r="E462" s="8" t="inlineStr">
        <is>
          <t>L Conroy</t>
        </is>
      </c>
      <c r="F462" s="8" t="n">
        <v>3</v>
      </c>
      <c r="G462" s="8" t="n">
        <v>3</v>
      </c>
      <c r="H462" s="8" t="n">
        <v>0</v>
      </c>
      <c r="I462" s="8" t="n">
        <v>0</v>
      </c>
      <c r="J462" s="8" t="n">
        <v>0</v>
      </c>
      <c r="K462" s="8" t="n">
        <v>0</v>
      </c>
      <c r="L462" s="8" t="n">
        <v>0</v>
      </c>
      <c r="M462" s="8" t="n">
        <v>0</v>
      </c>
      <c r="N462" s="8" t="n">
        <v>0</v>
      </c>
      <c r="O462" s="8" t="n">
        <v>2</v>
      </c>
      <c r="P462" s="8" t="n">
        <v>0</v>
      </c>
      <c r="Q462" s="8" t="n">
        <v>2</v>
      </c>
      <c r="R462" s="8" t="n">
        <v>0</v>
      </c>
      <c r="S462" s="8" t="n">
        <v>0</v>
      </c>
      <c r="T462" s="8" t="n">
        <v>0</v>
      </c>
      <c r="U462" s="8" t="n">
        <v>0</v>
      </c>
      <c r="V462" s="8" t="n">
        <v>0</v>
      </c>
      <c r="W462" s="8" t="n">
        <v>0</v>
      </c>
      <c r="X462" s="8" t="n">
        <v>0</v>
      </c>
      <c r="Y462" s="8" t="inlineStr">
        <is>
          <t>K_S play#8 (Seq Strike3 swinging); K_S play#56 (Seq Strike3 swinging)</t>
        </is>
      </c>
    </row>
    <row r="463" ht="15.75" customHeight="1" s="35">
      <c r="A463" s="8" t="inlineStr">
        <is>
          <t>2026-03-31_GLNL_at_ATHL</t>
        </is>
      </c>
      <c r="B463" s="2" t="n">
        <v>46112</v>
      </c>
      <c r="C463" s="8" t="inlineStr">
        <is>
          <t>GLNL</t>
        </is>
      </c>
      <c r="D463" s="8" t="inlineStr">
        <is>
          <t>ATHL</t>
        </is>
      </c>
      <c r="E463" s="8" t="inlineStr">
        <is>
          <t>J Whiting</t>
        </is>
      </c>
      <c r="F463" s="8" t="n">
        <v>3</v>
      </c>
      <c r="G463" s="8" t="n">
        <v>3</v>
      </c>
      <c r="H463" s="8" t="n">
        <v>1</v>
      </c>
      <c r="I463" s="8" t="n">
        <v>1</v>
      </c>
      <c r="J463" s="8" t="n">
        <v>0</v>
      </c>
      <c r="K463" s="8" t="n">
        <v>0</v>
      </c>
      <c r="L463" s="8" t="n">
        <v>0</v>
      </c>
      <c r="M463" s="8" t="n">
        <v>0</v>
      </c>
      <c r="N463" s="8" t="n">
        <v>0</v>
      </c>
      <c r="O463" s="8" t="n">
        <v>2</v>
      </c>
      <c r="P463" s="8" t="n">
        <v>0</v>
      </c>
      <c r="Q463" s="8" t="n">
        <v>2</v>
      </c>
      <c r="R463" s="8" t="n">
        <v>0</v>
      </c>
      <c r="S463" s="8" t="n">
        <v>0</v>
      </c>
      <c r="T463" s="8" t="n">
        <v>0</v>
      </c>
      <c r="U463" s="8" t="n">
        <v>0</v>
      </c>
      <c r="V463" s="8" t="n">
        <v>0</v>
      </c>
      <c r="W463" s="8" t="n">
        <v>0</v>
      </c>
      <c r="X463" s="8" t="n">
        <v>0</v>
      </c>
      <c r="Y463" s="8" t="inlineStr">
        <is>
          <t>K_S play#15 (Seq Strike3 swinging); K_S play#40 (Seq Strike3 swinging); 1B play#57 (B7); adv 3B on PB (play#59 embedded); stranded; also SS — E play#38 (Top 5th)</t>
        </is>
      </c>
    </row>
    <row r="464" ht="15.75" customHeight="1" s="35">
      <c r="A464" s="8" t="inlineStr">
        <is>
          <t>2026-03-31_GLNL_at_ATHL</t>
        </is>
      </c>
      <c r="B464" s="2" t="n">
        <v>46112</v>
      </c>
      <c r="C464" s="8" t="inlineStr">
        <is>
          <t>GLNL</t>
        </is>
      </c>
      <c r="D464" s="8" t="inlineStr">
        <is>
          <t>ATHL</t>
        </is>
      </c>
      <c r="E464" s="8" t="inlineStr">
        <is>
          <t>N Brewer</t>
        </is>
      </c>
      <c r="F464" s="8" t="n">
        <v>3</v>
      </c>
      <c r="G464" s="8" t="n">
        <v>1</v>
      </c>
      <c r="H464" s="8" t="n">
        <v>0</v>
      </c>
      <c r="I464" s="8" t="n">
        <v>0</v>
      </c>
      <c r="J464" s="8" t="n">
        <v>0</v>
      </c>
      <c r="K464" s="8" t="n">
        <v>0</v>
      </c>
      <c r="L464" s="8" t="n">
        <v>0</v>
      </c>
      <c r="M464" s="8" t="n">
        <v>2</v>
      </c>
      <c r="N464" s="8" t="n">
        <v>0</v>
      </c>
      <c r="O464" s="8" t="n">
        <v>0</v>
      </c>
      <c r="P464" s="8" t="n">
        <v>0</v>
      </c>
      <c r="Q464" s="8" t="n">
        <v>0</v>
      </c>
      <c r="R464" s="8" t="n">
        <v>0</v>
      </c>
      <c r="S464" s="8" t="n">
        <v>0</v>
      </c>
      <c r="T464" s="8" t="n">
        <v>0</v>
      </c>
      <c r="U464" s="8" t="n">
        <v>0</v>
      </c>
      <c r="V464" s="8" t="n">
        <v>0</v>
      </c>
      <c r="W464" s="8" t="n">
        <v>0</v>
      </c>
      <c r="X464" s="8" t="n">
        <v>0</v>
      </c>
      <c r="Y464" s="8" t="inlineStr">
        <is>
          <t>BB play#41 (B5); BB play#58 (B7 — M Kirk pitcher, documented play#58 seq); adv 2B on PB (play#59 embedded); stranded</t>
        </is>
      </c>
    </row>
    <row r="465" ht="15.75" customHeight="1" s="35">
      <c r="A465" s="8" t="inlineStr">
        <is>
          <t>2026-03-31_GLNL_at_ATHL</t>
        </is>
      </c>
      <c r="B465" s="2" t="n">
        <v>46112</v>
      </c>
      <c r="C465" s="8" t="inlineStr">
        <is>
          <t>GLNL</t>
        </is>
      </c>
      <c r="D465" s="8" t="inlineStr">
        <is>
          <t>ATHL</t>
        </is>
      </c>
      <c r="E465" s="8" t="inlineStr">
        <is>
          <t>W Martin</t>
        </is>
      </c>
      <c r="F465" s="8" t="n">
        <v>1</v>
      </c>
      <c r="G465" s="8" t="n">
        <v>1</v>
      </c>
      <c r="H465" s="8" t="n">
        <v>0</v>
      </c>
      <c r="I465" s="8" t="n">
        <v>0</v>
      </c>
      <c r="J465" s="8" t="n">
        <v>0</v>
      </c>
      <c r="K465" s="8" t="n">
        <v>0</v>
      </c>
      <c r="L465" s="8" t="n">
        <v>0</v>
      </c>
      <c r="M465" s="8" t="n">
        <v>0</v>
      </c>
      <c r="N465" s="8" t="n">
        <v>0</v>
      </c>
      <c r="O465" s="8" t="n">
        <v>1</v>
      </c>
      <c r="P465" s="8" t="n">
        <v>0</v>
      </c>
      <c r="Q465" s="8" t="n">
        <v>1</v>
      </c>
      <c r="R465" s="8" t="n">
        <v>0</v>
      </c>
      <c r="S465" s="8" t="n">
        <v>0</v>
      </c>
      <c r="T465" s="8" t="n">
        <v>0</v>
      </c>
      <c r="U465" s="8" t="n">
        <v>0</v>
      </c>
      <c r="V465" s="8" t="n">
        <v>0</v>
      </c>
      <c r="W465" s="8" t="n">
        <v>0</v>
      </c>
      <c r="X465" s="8" t="n">
        <v>0</v>
      </c>
      <c r="Y465" s="8" t="inlineStr">
        <is>
          <t>K_S play#17 (Seq Strike3 swinging); replaced mid-AB by B Skaggs (play#42 seq, B5); AB credited to W Martin only for play#17 appearance; also 2B — E play#21 (Top 3rd)</t>
        </is>
      </c>
    </row>
    <row r="466" ht="15.75" customHeight="1" s="35">
      <c r="A466" s="8" t="inlineStr">
        <is>
          <t>2026-03-31_GLNL_at_ATHL</t>
        </is>
      </c>
      <c r="B466" s="2" t="n">
        <v>46112</v>
      </c>
      <c r="C466" s="8" t="inlineStr">
        <is>
          <t>GLNL</t>
        </is>
      </c>
      <c r="D466" s="8" t="inlineStr">
        <is>
          <t>ATHL</t>
        </is>
      </c>
      <c r="E466" s="8" t="inlineStr">
        <is>
          <t>A Chutka</t>
        </is>
      </c>
      <c r="F466" s="8" t="n">
        <v>3</v>
      </c>
      <c r="G466" s="8" t="n">
        <v>2</v>
      </c>
      <c r="H466" s="8" t="n">
        <v>0</v>
      </c>
      <c r="I466" s="8" t="n">
        <v>0</v>
      </c>
      <c r="J466" s="8" t="n">
        <v>0</v>
      </c>
      <c r="K466" s="8" t="n">
        <v>0</v>
      </c>
      <c r="L466" s="8" t="n">
        <v>0</v>
      </c>
      <c r="M466" s="8" t="n">
        <v>1</v>
      </c>
      <c r="N466" s="8" t="n">
        <v>0</v>
      </c>
      <c r="O466" s="8" t="n">
        <v>0</v>
      </c>
      <c r="P466" s="8" t="n">
        <v>0</v>
      </c>
      <c r="Q466" s="8" t="n">
        <v>0</v>
      </c>
      <c r="R466" s="8" t="n">
        <v>0</v>
      </c>
      <c r="S466" s="8" t="n">
        <v>0</v>
      </c>
      <c r="T466" s="8" t="n">
        <v>0</v>
      </c>
      <c r="U466" s="8" t="n">
        <v>0</v>
      </c>
      <c r="V466" s="8" t="n">
        <v>0</v>
      </c>
      <c r="W466" s="8" t="n">
        <v>0</v>
      </c>
      <c r="X466" s="8" t="n">
        <v>0</v>
      </c>
      <c r="Y466" s="8" t="inlineStr">
        <is>
          <t>BB play#43 (B5); stranded</t>
        </is>
      </c>
    </row>
    <row r="467" ht="15.75" customHeight="1" s="35">
      <c r="A467" s="8" t="inlineStr">
        <is>
          <t>2026-03-31_GLNL_at_ATHL</t>
        </is>
      </c>
      <c r="B467" s="2" t="n">
        <v>46112</v>
      </c>
      <c r="C467" s="8" t="inlineStr">
        <is>
          <t>GLNL</t>
        </is>
      </c>
      <c r="D467" s="8" t="inlineStr">
        <is>
          <t>ATHL</t>
        </is>
      </c>
      <c r="E467" s="8" t="inlineStr">
        <is>
          <t>B Skaggs</t>
        </is>
      </c>
      <c r="F467" s="8" t="n">
        <v>2</v>
      </c>
      <c r="G467" s="8" t="n">
        <v>2</v>
      </c>
      <c r="H467" s="8" t="n">
        <v>0</v>
      </c>
      <c r="I467" s="8" t="n">
        <v>0</v>
      </c>
      <c r="J467" s="8" t="n">
        <v>0</v>
      </c>
      <c r="K467" s="8" t="n">
        <v>0</v>
      </c>
      <c r="L467" s="8" t="n">
        <v>0</v>
      </c>
      <c r="M467" s="8" t="n">
        <v>0</v>
      </c>
      <c r="N467" s="8" t="n">
        <v>0</v>
      </c>
      <c r="O467" s="8" t="n">
        <v>2</v>
      </c>
      <c r="P467" s="8" t="n">
        <v>0</v>
      </c>
      <c r="Q467" s="8" t="n">
        <v>2</v>
      </c>
      <c r="R467" s="8" t="n">
        <v>0</v>
      </c>
      <c r="S467" s="8" t="n">
        <v>0</v>
      </c>
      <c r="T467" s="8" t="n">
        <v>0</v>
      </c>
      <c r="U467" s="8" t="n">
        <v>0</v>
      </c>
      <c r="V467" s="8" t="n">
        <v>0</v>
      </c>
      <c r="W467" s="8" t="n">
        <v>0</v>
      </c>
      <c r="X467" s="8" t="n">
        <v>0</v>
      </c>
      <c r="Y467" s="8" t="inlineStr">
        <is>
          <t>Entered mid-AB for W Martin (play#42 seq, B5); K_S play#42 (Seq Strike3 swinging); K_S play#59 (Seq Strike3 swinging — M Kirk pitcher, Flag#3 duplicate lineup note)</t>
        </is>
      </c>
    </row>
    <row r="468" ht="15.75" customHeight="1" s="35">
      <c r="A468" s="8" t="inlineStr">
        <is>
          <t>2026-03-07_HNTN_at_LNGR</t>
        </is>
      </c>
      <c r="B468" s="2" t="n">
        <v>46088</v>
      </c>
      <c r="C468" s="8" t="inlineStr">
        <is>
          <t>Long Reach HS</t>
        </is>
      </c>
      <c r="D468" s="8" t="inlineStr">
        <is>
          <t>HNTN</t>
        </is>
      </c>
      <c r="E468" s="8" t="inlineStr">
        <is>
          <t>R Bolger</t>
        </is>
      </c>
      <c r="F468" s="8" t="n">
        <v>5</v>
      </c>
      <c r="G468" s="8" t="n">
        <v>5</v>
      </c>
      <c r="H468" s="8" t="n">
        <v>2</v>
      </c>
      <c r="I468" s="8" t="n">
        <v>2</v>
      </c>
      <c r="J468" s="8" t="n">
        <v>0</v>
      </c>
      <c r="K468" s="8" t="n">
        <v>0</v>
      </c>
      <c r="L468" s="8" t="n">
        <v>0</v>
      </c>
      <c r="M468" s="8" t="n">
        <v>0</v>
      </c>
      <c r="N468" s="8" t="n">
        <v>0</v>
      </c>
      <c r="O468" s="8" t="n">
        <v>0</v>
      </c>
      <c r="P468" s="8" t="n">
        <v>0</v>
      </c>
      <c r="Q468" s="8" t="n">
        <v>0</v>
      </c>
      <c r="R468" s="8" t="n">
        <v>1</v>
      </c>
      <c r="S468" s="8" t="n">
        <v>3</v>
      </c>
      <c r="T468" s="8" t="n">
        <v>0</v>
      </c>
      <c r="U468" s="8" t="n">
        <v>1</v>
      </c>
      <c r="V468" s="8" t="n">
        <v>0</v>
      </c>
      <c r="W468" s="8" t="n">
        <v>0</v>
      </c>
      <c r="X468" s="8" t="n">
        <v>1</v>
      </c>
      <c r="Y468" s="8" t="inlineStr">
        <is>
          <t>CR E Elliott in T1 (plays #1–2) and T4 (play #45); T1 R credited to R Bolger via McMurray 2B (play #5); T4 CS credited to R Bolger (play #46); RBI plays #15, #29, #44</t>
        </is>
      </c>
    </row>
    <row r="469" ht="15.75" customHeight="1" s="35">
      <c r="A469" s="8" t="inlineStr">
        <is>
          <t>2026-03-07_HNTN_at_LNGR</t>
        </is>
      </c>
      <c r="B469" s="2" t="n">
        <v>46088</v>
      </c>
      <c r="C469" s="8" t="inlineStr">
        <is>
          <t>Long Reach HS</t>
        </is>
      </c>
      <c r="D469" s="8" t="inlineStr">
        <is>
          <t>HNTN</t>
        </is>
      </c>
      <c r="E469" s="8" t="inlineStr">
        <is>
          <t>J Hann</t>
        </is>
      </c>
      <c r="F469" s="8" t="n">
        <v>4</v>
      </c>
      <c r="G469" s="8" t="n">
        <v>3</v>
      </c>
      <c r="H469" s="8" t="n">
        <v>2</v>
      </c>
      <c r="I469" s="8" t="n">
        <v>1</v>
      </c>
      <c r="J469" s="8" t="n">
        <v>1</v>
      </c>
      <c r="K469" s="8" t="n">
        <v>0</v>
      </c>
      <c r="L469" s="8" t="n">
        <v>0</v>
      </c>
      <c r="M469" s="8" t="n">
        <v>0</v>
      </c>
      <c r="N469" s="8" t="n">
        <v>1</v>
      </c>
      <c r="O469" s="8" t="n">
        <v>0</v>
      </c>
      <c r="P469" s="8" t="n">
        <v>0</v>
      </c>
      <c r="Q469" s="8" t="n">
        <v>0</v>
      </c>
      <c r="R469" s="8" t="n">
        <v>1</v>
      </c>
      <c r="S469" s="8" t="n">
        <v>0</v>
      </c>
      <c r="T469" s="8" t="n">
        <v>0</v>
      </c>
      <c r="U469" s="8" t="n">
        <v>0</v>
      </c>
      <c r="V469" s="8" t="n">
        <v>0</v>
      </c>
      <c r="W469" s="8" t="n">
        <v>0</v>
      </c>
      <c r="X469" s="8" t="n">
        <v>0</v>
      </c>
      <c r="Y469" s="8" t="inlineStr">
        <is>
          <t>HBP T2 (play #16); scores on R Gaetano 2B play #18; incomplete AB T7 not counted (play #67, Flag #4)</t>
        </is>
      </c>
    </row>
    <row r="470" ht="15.75" customHeight="1" s="35">
      <c r="A470" s="8" t="inlineStr">
        <is>
          <t>2026-03-07_HNTN_at_LNGR</t>
        </is>
      </c>
      <c r="B470" s="2" t="n">
        <v>46088</v>
      </c>
      <c r="C470" s="8" t="inlineStr">
        <is>
          <t>Long Reach HS</t>
        </is>
      </c>
      <c r="D470" s="8" t="inlineStr">
        <is>
          <t>HNTN</t>
        </is>
      </c>
      <c r="E470" s="8" t="inlineStr">
        <is>
          <t>J Cadden</t>
        </is>
      </c>
      <c r="F470" s="8" t="n">
        <v>4</v>
      </c>
      <c r="G470" s="8" t="n">
        <v>2</v>
      </c>
      <c r="H470" s="8" t="n">
        <v>1</v>
      </c>
      <c r="I470" s="8" t="n">
        <v>1</v>
      </c>
      <c r="J470" s="8" t="n">
        <v>0</v>
      </c>
      <c r="K470" s="8" t="n">
        <v>0</v>
      </c>
      <c r="L470" s="8" t="n">
        <v>0</v>
      </c>
      <c r="M470" s="8" t="n">
        <v>2</v>
      </c>
      <c r="N470" s="8" t="n">
        <v>0</v>
      </c>
      <c r="O470" s="8" t="n">
        <v>0</v>
      </c>
      <c r="P470" s="8" t="n">
        <v>0</v>
      </c>
      <c r="Q470" s="8" t="n">
        <v>0</v>
      </c>
      <c r="R470" s="8" t="n">
        <v>3</v>
      </c>
      <c r="S470" s="8" t="n">
        <v>0</v>
      </c>
      <c r="T470" s="8" t="n">
        <v>1</v>
      </c>
      <c r="U470" s="8" t="n">
        <v>0</v>
      </c>
      <c r="V470" s="8" t="n">
        <v>0</v>
      </c>
      <c r="W470" s="8" t="n">
        <v>0</v>
      </c>
      <c r="X470" s="8" t="n">
        <v>0</v>
      </c>
      <c r="Y470" s="8" t="inlineStr">
        <is>
          <t>SB T4 embedded in R Gaetano AB play #38; scores T1 play #5, T2 play #18, T4 play #39</t>
        </is>
      </c>
    </row>
    <row r="471" ht="15.75" customHeight="1" s="35">
      <c r="A471" s="8" t="inlineStr">
        <is>
          <t>2026-03-07_HNTN_at_LNGR</t>
        </is>
      </c>
      <c r="B471" s="2" t="n">
        <v>46088</v>
      </c>
      <c r="C471" s="8" t="inlineStr">
        <is>
          <t>Long Reach HS</t>
        </is>
      </c>
      <c r="D471" s="8" t="inlineStr">
        <is>
          <t>HNTN</t>
        </is>
      </c>
      <c r="E471" s="8" t="inlineStr">
        <is>
          <t>R Gaetano</t>
        </is>
      </c>
      <c r="F471" s="8" t="n">
        <v>4</v>
      </c>
      <c r="G471" s="8" t="n">
        <v>1</v>
      </c>
      <c r="H471" s="8" t="n">
        <v>1</v>
      </c>
      <c r="I471" s="8" t="n">
        <v>0</v>
      </c>
      <c r="J471" s="8" t="n">
        <v>1</v>
      </c>
      <c r="K471" s="8" t="n">
        <v>0</v>
      </c>
      <c r="L471" s="8" t="n">
        <v>0</v>
      </c>
      <c r="M471" s="8" t="n">
        <v>3</v>
      </c>
      <c r="N471" s="8" t="n">
        <v>0</v>
      </c>
      <c r="O471" s="8" t="n">
        <v>0</v>
      </c>
      <c r="P471" s="8" t="n">
        <v>0</v>
      </c>
      <c r="Q471" s="8" t="n">
        <v>0</v>
      </c>
      <c r="R471" s="8" t="n">
        <v>2</v>
      </c>
      <c r="S471" s="8" t="n">
        <v>3</v>
      </c>
      <c r="T471" s="8" t="n">
        <v>0</v>
      </c>
      <c r="U471" s="8" t="n">
        <v>0</v>
      </c>
      <c r="V471" s="8" t="n">
        <v>0</v>
      </c>
      <c r="W471" s="8" t="n">
        <v>0</v>
      </c>
      <c r="X471" s="8" t="n">
        <v>0</v>
      </c>
      <c r="Y471" s="8" t="inlineStr">
        <is>
          <t>2B T2 play #18 drives in J Cadden, G Grimes, J Hann (3 RBI); T4 R via unspecified mechanism during B Marlowe AB — no RBI (Flag #13); pickoff at 1B T5 Runner Out play #55 (not a PA)</t>
        </is>
      </c>
    </row>
    <row r="472" ht="15.75" customHeight="1" s="35">
      <c r="A472" s="8" t="inlineStr">
        <is>
          <t>2026-03-07_HNTN_at_LNGR</t>
        </is>
      </c>
      <c r="B472" s="2" t="n">
        <v>46088</v>
      </c>
      <c r="C472" s="8" t="inlineStr">
        <is>
          <t>Long Reach HS</t>
        </is>
      </c>
      <c r="D472" s="8" t="inlineStr">
        <is>
          <t>HNTN</t>
        </is>
      </c>
      <c r="E472" s="8" t="inlineStr">
        <is>
          <t>N McMurray</t>
        </is>
      </c>
      <c r="F472" s="8" t="n">
        <v>4</v>
      </c>
      <c r="G472" s="8" t="n">
        <v>4</v>
      </c>
      <c r="H472" s="8" t="n">
        <v>2</v>
      </c>
      <c r="I472" s="8" t="n">
        <v>1</v>
      </c>
      <c r="J472" s="8" t="n">
        <v>1</v>
      </c>
      <c r="K472" s="8" t="n">
        <v>0</v>
      </c>
      <c r="L472" s="8" t="n">
        <v>0</v>
      </c>
      <c r="M472" s="8" t="n">
        <v>0</v>
      </c>
      <c r="N472" s="8" t="n">
        <v>0</v>
      </c>
      <c r="O472" s="8" t="n">
        <v>0</v>
      </c>
      <c r="P472" s="8" t="n">
        <v>0</v>
      </c>
      <c r="Q472" s="8" t="n">
        <v>0</v>
      </c>
      <c r="R472" s="8" t="n">
        <v>1</v>
      </c>
      <c r="S472" s="8" t="n">
        <v>4</v>
      </c>
      <c r="T472" s="8" t="n">
        <v>0</v>
      </c>
      <c r="U472" s="8" t="n">
        <v>0</v>
      </c>
      <c r="V472" s="8" t="n">
        <v>0</v>
      </c>
      <c r="W472" s="8" t="n">
        <v>0</v>
      </c>
      <c r="X472" s="8" t="n">
        <v>0</v>
      </c>
      <c r="Y472" s="8" t="inlineStr">
        <is>
          <t>2B T1 play #5 scores R Gaetano, E Elliott (CR-R Bolger), J Cadden (3 RBI); 1B T4 play #39 scores J Cadden (1 RBI); scores T4 on B Marlowe single play #41; also pitches B1–B2</t>
        </is>
      </c>
    </row>
    <row r="473" ht="15.75" customHeight="1" s="35">
      <c r="A473" s="8" t="inlineStr">
        <is>
          <t>2026-03-07_HNTN_at_LNGR</t>
        </is>
      </c>
      <c r="B473" s="2" t="n">
        <v>46088</v>
      </c>
      <c r="C473" s="8" t="inlineStr">
        <is>
          <t>Long Reach HS</t>
        </is>
      </c>
      <c r="D473" s="8" t="inlineStr">
        <is>
          <t>HNTN</t>
        </is>
      </c>
      <c r="E473" s="8" t="inlineStr">
        <is>
          <t>C Wargo</t>
        </is>
      </c>
      <c r="F473" s="8" t="n">
        <v>3</v>
      </c>
      <c r="G473" s="8" t="n">
        <v>3</v>
      </c>
      <c r="H473" s="8" t="n">
        <v>1</v>
      </c>
      <c r="I473" s="8" t="n">
        <v>0</v>
      </c>
      <c r="J473" s="8" t="n">
        <v>1</v>
      </c>
      <c r="K473" s="8" t="n">
        <v>0</v>
      </c>
      <c r="L473" s="8" t="n">
        <v>0</v>
      </c>
      <c r="M473" s="8" t="n">
        <v>0</v>
      </c>
      <c r="N473" s="8" t="n">
        <v>0</v>
      </c>
      <c r="O473" s="8" t="n">
        <v>0</v>
      </c>
      <c r="P473" s="8" t="n">
        <v>0</v>
      </c>
      <c r="Q473" s="8" t="n">
        <v>0</v>
      </c>
      <c r="R473" s="8" t="n">
        <v>2</v>
      </c>
      <c r="S473" s="8" t="n">
        <v>0</v>
      </c>
      <c r="T473" s="8" t="n">
        <v>1</v>
      </c>
      <c r="U473" s="8" t="n">
        <v>0</v>
      </c>
      <c r="V473" s="8" t="n">
        <v>0</v>
      </c>
      <c r="W473" s="8" t="n">
        <v>0</v>
      </c>
      <c r="X473" s="8" t="n">
        <v>0</v>
      </c>
      <c r="Y473" s="8" t="inlineStr">
        <is>
          <t>SB T4 embedded in B Marlowe AB play #41; reaches on LNGR error T4 play #40 (no H); replaced by J Walter PH T6 play #59</t>
        </is>
      </c>
    </row>
    <row r="474" ht="15.75" customHeight="1" s="35">
      <c r="A474" s="8" t="inlineStr">
        <is>
          <t>2026-03-07_HNTN_at_LNGR</t>
        </is>
      </c>
      <c r="B474" s="2" t="n">
        <v>46088</v>
      </c>
      <c r="C474" s="8" t="inlineStr">
        <is>
          <t>Long Reach HS</t>
        </is>
      </c>
      <c r="D474" s="8" t="inlineStr">
        <is>
          <t>HNTN</t>
        </is>
      </c>
      <c r="E474" s="8" t="inlineStr">
        <is>
          <t>L Bennett</t>
        </is>
      </c>
      <c r="F474" s="8" t="n">
        <v>3</v>
      </c>
      <c r="G474" s="8" t="n">
        <v>3</v>
      </c>
      <c r="H474" s="8" t="n">
        <v>1</v>
      </c>
      <c r="I474" s="8" t="n">
        <v>1</v>
      </c>
      <c r="J474" s="8" t="n">
        <v>0</v>
      </c>
      <c r="K474" s="8" t="n">
        <v>0</v>
      </c>
      <c r="L474" s="8" t="n">
        <v>0</v>
      </c>
      <c r="M474" s="8" t="n">
        <v>0</v>
      </c>
      <c r="N474" s="8" t="n">
        <v>0</v>
      </c>
      <c r="O474" s="8" t="n">
        <v>1</v>
      </c>
      <c r="P474" s="8" t="n">
        <v>1</v>
      </c>
      <c r="Q474" s="8" t="n">
        <v>0</v>
      </c>
      <c r="R474" s="8" t="n">
        <v>1</v>
      </c>
      <c r="S474" s="8" t="n">
        <v>0</v>
      </c>
      <c r="T474" s="8" t="n">
        <v>1</v>
      </c>
      <c r="U474" s="8" t="n">
        <v>0</v>
      </c>
      <c r="V474" s="8" t="n">
        <v>0</v>
      </c>
      <c r="W474" s="8" t="n">
        <v>0</v>
      </c>
      <c r="X474" s="8" t="n">
        <v>0</v>
      </c>
      <c r="Y474" s="8" t="inlineStr">
        <is>
          <t>K_L T2 play #12; SB T3 embedded in J Laur AB play #27; scores T3 on G Grimes 2B play #28; replaced by B Marlowe PH T4 play #41</t>
        </is>
      </c>
    </row>
    <row r="475" ht="15.75" customHeight="1" s="35">
      <c r="A475" s="8" t="inlineStr">
        <is>
          <t>2026-03-07_HNTN_at_LNGR</t>
        </is>
      </c>
      <c r="B475" s="2" t="n">
        <v>46088</v>
      </c>
      <c r="C475" s="8" t="inlineStr">
        <is>
          <t>Long Reach HS</t>
        </is>
      </c>
      <c r="D475" s="8" t="inlineStr">
        <is>
          <t>HNTN</t>
        </is>
      </c>
      <c r="E475" s="8" t="inlineStr">
        <is>
          <t>J Laur</t>
        </is>
      </c>
      <c r="F475" s="8" t="n">
        <v>3</v>
      </c>
      <c r="G475" s="8" t="n">
        <v>2</v>
      </c>
      <c r="H475" s="8" t="n">
        <v>0</v>
      </c>
      <c r="I475" s="8" t="n">
        <v>0</v>
      </c>
      <c r="J475" s="8" t="n">
        <v>0</v>
      </c>
      <c r="K475" s="8" t="n">
        <v>0</v>
      </c>
      <c r="L475" s="8" t="n">
        <v>0</v>
      </c>
      <c r="M475" s="8" t="n">
        <v>1</v>
      </c>
      <c r="N475" s="8" t="n">
        <v>0</v>
      </c>
      <c r="O475" s="8" t="n">
        <v>0</v>
      </c>
      <c r="P475" s="8" t="n">
        <v>0</v>
      </c>
      <c r="Q475" s="8" t="n">
        <v>0</v>
      </c>
      <c r="R475" s="8" t="n">
        <v>1</v>
      </c>
      <c r="S475" s="8" t="n">
        <v>2</v>
      </c>
      <c r="T475" s="8" t="n">
        <v>0</v>
      </c>
      <c r="U475" s="8" t="n">
        <v>0</v>
      </c>
      <c r="V475" s="8" t="n">
        <v>0</v>
      </c>
      <c r="W475" s="8" t="n">
        <v>0</v>
      </c>
      <c r="X475" s="8" t="n">
        <v>0</v>
      </c>
      <c r="Y475" s="8" t="inlineStr">
        <is>
          <t>Scores T2 on R Bolger GO play #15; RBI plays #27 (C Wargo scores) and #42 (C Wargo tags up); replaced by R Kessler PH T6 play #61</t>
        </is>
      </c>
    </row>
    <row r="476" ht="15.75" customHeight="1" s="35">
      <c r="A476" s="8" t="inlineStr">
        <is>
          <t>2026-03-07_HNTN_at_LNGR</t>
        </is>
      </c>
      <c r="B476" s="2" t="n">
        <v>46088</v>
      </c>
      <c r="C476" s="8" t="inlineStr">
        <is>
          <t>Long Reach HS</t>
        </is>
      </c>
      <c r="D476" s="8" t="inlineStr">
        <is>
          <t>HNTN</t>
        </is>
      </c>
      <c r="E476" s="8" t="inlineStr">
        <is>
          <t>G Grimes</t>
        </is>
      </c>
      <c r="F476" s="8" t="n">
        <v>3</v>
      </c>
      <c r="G476" s="8" t="n">
        <v>3</v>
      </c>
      <c r="H476" s="8" t="n">
        <v>2</v>
      </c>
      <c r="I476" s="8" t="n">
        <v>1</v>
      </c>
      <c r="J476" s="8" t="n">
        <v>1</v>
      </c>
      <c r="K476" s="8" t="n">
        <v>0</v>
      </c>
      <c r="L476" s="8" t="n">
        <v>0</v>
      </c>
      <c r="M476" s="8" t="n">
        <v>0</v>
      </c>
      <c r="N476" s="8" t="n">
        <v>0</v>
      </c>
      <c r="O476" s="8" t="n">
        <v>1</v>
      </c>
      <c r="P476" s="8" t="n">
        <v>0</v>
      </c>
      <c r="Q476" s="8" t="n">
        <v>1</v>
      </c>
      <c r="R476" s="8" t="n">
        <v>2</v>
      </c>
      <c r="S476" s="8" t="n">
        <v>1</v>
      </c>
      <c r="T476" s="8" t="n">
        <v>0</v>
      </c>
      <c r="U476" s="8" t="n">
        <v>0</v>
      </c>
      <c r="V476" s="8" t="n">
        <v>0</v>
      </c>
      <c r="W476" s="8" t="n">
        <v>0</v>
      </c>
      <c r="X476" s="8" t="n">
        <v>0</v>
      </c>
      <c r="Y476" s="8" t="inlineStr">
        <is>
          <t>K_S T4 play #43; single play #14 recorded on fly ball (Flag #9); RBI play #28 (L Bennett scores); replaced by J Fields PH T6 play #62</t>
        </is>
      </c>
    </row>
    <row r="477" ht="15.75" customHeight="1" s="35">
      <c r="A477" s="8" t="inlineStr">
        <is>
          <t>2026-03-07_HNTN_at_LNGR</t>
        </is>
      </c>
      <c r="B477" s="2" t="n">
        <v>46088</v>
      </c>
      <c r="C477" s="8" t="inlineStr">
        <is>
          <t>Long Reach HS</t>
        </is>
      </c>
      <c r="D477" s="8" t="inlineStr">
        <is>
          <t>HNTN</t>
        </is>
      </c>
      <c r="E477" s="8" t="inlineStr">
        <is>
          <t>B Marlowe</t>
        </is>
      </c>
      <c r="F477" s="8" t="n">
        <v>2</v>
      </c>
      <c r="G477" s="8" t="n">
        <v>1</v>
      </c>
      <c r="H477" s="8" t="n">
        <v>1</v>
      </c>
      <c r="I477" s="8" t="n">
        <v>1</v>
      </c>
      <c r="J477" s="8" t="n">
        <v>0</v>
      </c>
      <c r="K477" s="8" t="n">
        <v>0</v>
      </c>
      <c r="L477" s="8" t="n">
        <v>0</v>
      </c>
      <c r="M477" s="8" t="n">
        <v>1</v>
      </c>
      <c r="N477" s="8" t="n">
        <v>0</v>
      </c>
      <c r="O477" s="8" t="n">
        <v>0</v>
      </c>
      <c r="P477" s="8" t="n">
        <v>0</v>
      </c>
      <c r="Q477" s="8" t="n">
        <v>0</v>
      </c>
      <c r="R477" s="8" t="n">
        <v>1</v>
      </c>
      <c r="S477" s="8" t="n">
        <v>1</v>
      </c>
      <c r="T477" s="8" t="n">
        <v>0</v>
      </c>
      <c r="U477" s="8" t="n">
        <v>0</v>
      </c>
      <c r="V477" s="8" t="n">
        <v>0</v>
      </c>
      <c r="W477" s="8" t="n">
        <v>0</v>
      </c>
      <c r="X477" s="8" t="n">
        <v>0</v>
      </c>
      <c r="Y477" s="8" t="inlineStr">
        <is>
          <t>PH for L Bennett T4 play #41; 1B scores N McMurray (1 RBI); R Gaetano run same AB not credited as RBI — unspecified mechanism Flag #13; CR J Fields in T4 play #42; J Fields' R credited to B Marlowe (play #44); also pitches B3–B4</t>
        </is>
      </c>
    </row>
    <row r="478" ht="15.75" customHeight="1" s="35">
      <c r="A478" s="8" t="inlineStr">
        <is>
          <t>2026-03-07_HNTN_at_LNGR</t>
        </is>
      </c>
      <c r="B478" s="2" t="n">
        <v>46088</v>
      </c>
      <c r="C478" s="8" t="inlineStr">
        <is>
          <t>Long Reach HS</t>
        </is>
      </c>
      <c r="D478" s="8" t="inlineStr">
        <is>
          <t>HNTN</t>
        </is>
      </c>
      <c r="E478" s="8" t="inlineStr">
        <is>
          <t>J Walter</t>
        </is>
      </c>
      <c r="F478" s="8" t="n">
        <v>1</v>
      </c>
      <c r="G478" s="8" t="n">
        <v>1</v>
      </c>
      <c r="H478" s="8" t="n">
        <v>1</v>
      </c>
      <c r="I478" s="8" t="n">
        <v>1</v>
      </c>
      <c r="J478" s="8" t="n">
        <v>0</v>
      </c>
      <c r="K478" s="8" t="n">
        <v>0</v>
      </c>
      <c r="L478" s="8" t="n">
        <v>0</v>
      </c>
      <c r="M478" s="8" t="n">
        <v>0</v>
      </c>
      <c r="N478" s="8" t="n">
        <v>0</v>
      </c>
      <c r="O478" s="8" t="n">
        <v>0</v>
      </c>
      <c r="P478" s="8" t="n">
        <v>0</v>
      </c>
      <c r="Q478" s="8" t="n">
        <v>0</v>
      </c>
      <c r="R478" s="8" t="n">
        <v>0</v>
      </c>
      <c r="S478" s="8" t="n">
        <v>0</v>
      </c>
      <c r="T478" s="8" t="n">
        <v>0</v>
      </c>
      <c r="U478" s="8" t="n">
        <v>0</v>
      </c>
      <c r="V478" s="8" t="n">
        <v>0</v>
      </c>
      <c r="W478" s="8" t="n">
        <v>0</v>
      </c>
      <c r="X478" s="8" t="n">
        <v>0</v>
      </c>
      <c r="Y478" s="8" t="inlineStr">
        <is>
          <t>PH for C Wargo T6 play #59; advances to 2nd on WP during B Marlowe AB play #60; does not score</t>
        </is>
      </c>
    </row>
    <row r="479" ht="15.75" customHeight="1" s="35">
      <c r="A479" s="8" t="inlineStr">
        <is>
          <t>2026-03-07_HNTN_at_LNGR</t>
        </is>
      </c>
      <c r="B479" s="2" t="n">
        <v>46088</v>
      </c>
      <c r="C479" s="8" t="inlineStr">
        <is>
          <t>Long Reach HS</t>
        </is>
      </c>
      <c r="D479" s="8" t="inlineStr">
        <is>
          <t>HNTN</t>
        </is>
      </c>
      <c r="E479" s="8" t="inlineStr">
        <is>
          <t>R Kessler</t>
        </is>
      </c>
      <c r="F479" s="8" t="n">
        <v>1</v>
      </c>
      <c r="G479" s="8" t="n">
        <v>1</v>
      </c>
      <c r="H479" s="8" t="n">
        <v>0</v>
      </c>
      <c r="I479" s="8" t="n">
        <v>0</v>
      </c>
      <c r="J479" s="8" t="n">
        <v>0</v>
      </c>
      <c r="K479" s="8" t="n">
        <v>0</v>
      </c>
      <c r="L479" s="8" t="n">
        <v>0</v>
      </c>
      <c r="M479" s="8" t="n">
        <v>0</v>
      </c>
      <c r="N479" s="8" t="n">
        <v>0</v>
      </c>
      <c r="O479" s="8" t="n">
        <v>0</v>
      </c>
      <c r="P479" s="8" t="n">
        <v>0</v>
      </c>
      <c r="Q479" s="8" t="n">
        <v>0</v>
      </c>
      <c r="R479" s="8" t="n">
        <v>0</v>
      </c>
      <c r="S479" s="8" t="n">
        <v>0</v>
      </c>
      <c r="T479" s="8" t="n">
        <v>0</v>
      </c>
      <c r="U479" s="8" t="n">
        <v>0</v>
      </c>
      <c r="V479" s="8" t="n">
        <v>0</v>
      </c>
      <c r="W479" s="8" t="n">
        <v>0</v>
      </c>
      <c r="X479" s="8" t="n">
        <v>0</v>
      </c>
      <c r="Y479" s="8" t="inlineStr">
        <is>
          <t>PH for J Laur T6 play #61 (Flag #10); also active pitcher B5–B6</t>
        </is>
      </c>
    </row>
    <row r="480" ht="15.75" customHeight="1" s="35">
      <c r="A480" s="8" t="inlineStr">
        <is>
          <t>2026-03-07_HNTN_at_LNGR</t>
        </is>
      </c>
      <c r="B480" s="2" t="n">
        <v>46088</v>
      </c>
      <c r="C480" s="8" t="inlineStr">
        <is>
          <t>Long Reach HS</t>
        </is>
      </c>
      <c r="D480" s="8" t="inlineStr">
        <is>
          <t>HNTN</t>
        </is>
      </c>
      <c r="E480" s="8" t="inlineStr">
        <is>
          <t>J Fields</t>
        </is>
      </c>
      <c r="F480" s="8" t="n">
        <v>1</v>
      </c>
      <c r="G480" s="8" t="n">
        <v>1</v>
      </c>
      <c r="H480" s="8" t="n">
        <v>0</v>
      </c>
      <c r="I480" s="8" t="n">
        <v>0</v>
      </c>
      <c r="J480" s="8" t="n">
        <v>0</v>
      </c>
      <c r="K480" s="8" t="n">
        <v>0</v>
      </c>
      <c r="L480" s="8" t="n">
        <v>0</v>
      </c>
      <c r="M480" s="8" t="n">
        <v>0</v>
      </c>
      <c r="N480" s="8" t="n">
        <v>0</v>
      </c>
      <c r="O480" s="8" t="n">
        <v>0</v>
      </c>
      <c r="P480" s="8" t="n">
        <v>0</v>
      </c>
      <c r="Q480" s="8" t="n">
        <v>0</v>
      </c>
      <c r="R480" s="8" t="n">
        <v>0</v>
      </c>
      <c r="S480" s="8" t="n">
        <v>0</v>
      </c>
      <c r="T480" s="8" t="n">
        <v>0</v>
      </c>
      <c r="U480" s="8" t="n">
        <v>0</v>
      </c>
      <c r="V480" s="8" t="n">
        <v>0</v>
      </c>
      <c r="W480" s="8" t="n">
        <v>0</v>
      </c>
      <c r="X480" s="8" t="n">
        <v>1</v>
      </c>
      <c r="Y480" s="8" t="inlineStr">
        <is>
          <t>PH for G Grimes T6 play #62; CR for B Marlowe T4 play #42 — R scored play #44 credited to B Marlowe, not J Fields</t>
        </is>
      </c>
    </row>
    <row r="481" ht="15.75" customHeight="1" s="35">
      <c r="A481" s="8" t="inlineStr">
        <is>
          <t>2026-03-07_HNTN_at_LNGR</t>
        </is>
      </c>
      <c r="B481" s="2" t="n">
        <v>46088</v>
      </c>
      <c r="C481" s="8" t="inlineStr">
        <is>
          <t>Huntingtown Varsity Hurricanes</t>
        </is>
      </c>
      <c r="D481" s="8" t="inlineStr">
        <is>
          <t>LNGR</t>
        </is>
      </c>
      <c r="E481" s="8" t="inlineStr">
        <is>
          <t>LNGR_#2</t>
        </is>
      </c>
      <c r="F481" s="8" t="n">
        <v>3</v>
      </c>
      <c r="G481" s="8" t="n">
        <v>3</v>
      </c>
      <c r="H481" s="8" t="n">
        <v>2</v>
      </c>
      <c r="I481" s="8" t="n">
        <v>1</v>
      </c>
      <c r="J481" s="8" t="n">
        <v>0</v>
      </c>
      <c r="K481" s="8" t="n">
        <v>0</v>
      </c>
      <c r="L481" s="8" t="n">
        <v>1</v>
      </c>
      <c r="M481" s="8" t="n">
        <v>0</v>
      </c>
      <c r="N481" s="8" t="n">
        <v>0</v>
      </c>
      <c r="O481" s="8" t="n">
        <v>0</v>
      </c>
      <c r="P481" s="8" t="n">
        <v>0</v>
      </c>
      <c r="Q481" s="8" t="n">
        <v>0</v>
      </c>
      <c r="R481" s="8" t="n">
        <v>1</v>
      </c>
      <c r="S481" s="8" t="n">
        <v>1</v>
      </c>
      <c r="T481" s="8" t="n">
        <v>0</v>
      </c>
      <c r="U481" s="8" t="n">
        <v>0</v>
      </c>
      <c r="V481" s="8" t="n">
        <v>0</v>
      </c>
      <c r="W481" s="8" t="n">
        <v>0</v>
      </c>
      <c r="X481" s="8" t="n">
        <v>0</v>
      </c>
      <c r="Y481" s="8" t="inlineStr">
        <is>
          <t>Solo HR B1 play #8 (1 RBI); CR LNGR_#16 in for #2 at B3 play #36 — #16 did not score; also pitches T3 per play log</t>
        </is>
      </c>
    </row>
    <row r="482" ht="15.75" customHeight="1" s="35">
      <c r="A482" s="8" t="inlineStr">
        <is>
          <t>2026-03-07_HNTN_at_LNGR</t>
        </is>
      </c>
      <c r="B482" s="2" t="n">
        <v>46088</v>
      </c>
      <c r="C482" s="8" t="inlineStr">
        <is>
          <t>Huntingtown Varsity Hurricanes</t>
        </is>
      </c>
      <c r="D482" s="8" t="inlineStr">
        <is>
          <t>LNGR</t>
        </is>
      </c>
      <c r="E482" s="8" t="inlineStr">
        <is>
          <t>LNGR_#3</t>
        </is>
      </c>
      <c r="F482" s="8" t="n">
        <v>2</v>
      </c>
      <c r="G482" s="8" t="n">
        <v>2</v>
      </c>
      <c r="H482" s="8" t="n">
        <v>0</v>
      </c>
      <c r="I482" s="8" t="n">
        <v>0</v>
      </c>
      <c r="J482" s="8" t="n">
        <v>0</v>
      </c>
      <c r="K482" s="8" t="n">
        <v>0</v>
      </c>
      <c r="L482" s="8" t="n">
        <v>0</v>
      </c>
      <c r="M482" s="8" t="n">
        <v>0</v>
      </c>
      <c r="N482" s="8" t="n">
        <v>0</v>
      </c>
      <c r="O482" s="8" t="n">
        <v>1</v>
      </c>
      <c r="P482" s="8" t="n">
        <v>0</v>
      </c>
      <c r="Q482" s="8" t="n">
        <v>1</v>
      </c>
      <c r="R482" s="8" t="n">
        <v>0</v>
      </c>
      <c r="S482" s="8" t="n">
        <v>0</v>
      </c>
      <c r="T482" s="8" t="n">
        <v>0</v>
      </c>
      <c r="U482" s="8" t="n">
        <v>0</v>
      </c>
      <c r="V482" s="8" t="n">
        <v>0</v>
      </c>
      <c r="W482" s="8" t="n">
        <v>0</v>
      </c>
      <c r="X482" s="8" t="n">
        <v>0</v>
      </c>
      <c r="Y482" s="8" t="inlineStr">
        <is>
          <t>K_S B1 play #9; also pitches T3 per play log</t>
        </is>
      </c>
    </row>
    <row r="483" ht="15.75" customHeight="1" s="35">
      <c r="A483" s="8" t="inlineStr">
        <is>
          <t>2026-03-07_HNTN_at_LNGR</t>
        </is>
      </c>
      <c r="B483" s="2" t="n">
        <v>46088</v>
      </c>
      <c r="C483" s="8" t="inlineStr">
        <is>
          <t>Huntingtown Varsity Hurricanes</t>
        </is>
      </c>
      <c r="D483" s="8" t="inlineStr">
        <is>
          <t>LNGR</t>
        </is>
      </c>
      <c r="E483" s="8" t="inlineStr">
        <is>
          <t>LNGR_#7</t>
        </is>
      </c>
      <c r="F483" s="8" t="n">
        <v>2</v>
      </c>
      <c r="G483" s="8" t="n">
        <v>2</v>
      </c>
      <c r="H483" s="8" t="n">
        <v>0</v>
      </c>
      <c r="I483" s="8" t="n">
        <v>0</v>
      </c>
      <c r="J483" s="8" t="n">
        <v>0</v>
      </c>
      <c r="K483" s="8" t="n">
        <v>0</v>
      </c>
      <c r="L483" s="8" t="n">
        <v>0</v>
      </c>
      <c r="M483" s="8" t="n">
        <v>0</v>
      </c>
      <c r="N483" s="8" t="n">
        <v>0</v>
      </c>
      <c r="O483" s="8" t="n">
        <v>2</v>
      </c>
      <c r="P483" s="8" t="n">
        <v>2</v>
      </c>
      <c r="Q483" s="8" t="n">
        <v>0</v>
      </c>
      <c r="R483" s="8" t="n">
        <v>0</v>
      </c>
      <c r="S483" s="8" t="n">
        <v>0</v>
      </c>
      <c r="T483" s="8" t="n">
        <v>0</v>
      </c>
      <c r="U483" s="8" t="n">
        <v>0</v>
      </c>
      <c r="V483" s="8" t="n">
        <v>0</v>
      </c>
      <c r="W483" s="8" t="n">
        <v>0</v>
      </c>
      <c r="X483" s="8" t="n">
        <v>0</v>
      </c>
      <c r="Y483" s="8" t="inlineStr">
        <is>
          <t>K_L B1 play #10, K_L B4 play #47; also pitches T1–T2 per play log</t>
        </is>
      </c>
    </row>
    <row r="484" ht="15.75" customHeight="1" s="35">
      <c r="A484" s="8" t="inlineStr">
        <is>
          <t>2026-03-07_HNTN_at_LNGR</t>
        </is>
      </c>
      <c r="B484" s="2" t="n">
        <v>46088</v>
      </c>
      <c r="C484" s="8" t="inlineStr">
        <is>
          <t>Huntingtown Varsity Hurricanes</t>
        </is>
      </c>
      <c r="D484" s="8" t="inlineStr">
        <is>
          <t>LNGR</t>
        </is>
      </c>
      <c r="E484" s="8" t="inlineStr">
        <is>
          <t>LNGR_#17</t>
        </is>
      </c>
      <c r="F484" s="8" t="n">
        <v>2</v>
      </c>
      <c r="G484" s="8" t="n">
        <v>2</v>
      </c>
      <c r="H484" s="8" t="n">
        <v>0</v>
      </c>
      <c r="I484" s="8" t="n">
        <v>0</v>
      </c>
      <c r="J484" s="8" t="n">
        <v>0</v>
      </c>
      <c r="K484" s="8" t="n">
        <v>0</v>
      </c>
      <c r="L484" s="8" t="n">
        <v>0</v>
      </c>
      <c r="M484" s="8" t="n">
        <v>0</v>
      </c>
      <c r="N484" s="8" t="n">
        <v>0</v>
      </c>
      <c r="O484" s="8" t="n">
        <v>0</v>
      </c>
      <c r="P484" s="8" t="n">
        <v>0</v>
      </c>
      <c r="Q484" s="8" t="n">
        <v>0</v>
      </c>
      <c r="R484" s="8" t="n">
        <v>0</v>
      </c>
      <c r="S484" s="8" t="n">
        <v>0</v>
      </c>
      <c r="T484" s="8" t="n">
        <v>0</v>
      </c>
      <c r="U484" s="8" t="n">
        <v>0</v>
      </c>
      <c r="V484" s="8" t="n">
        <v>0</v>
      </c>
      <c r="W484" s="8" t="n">
        <v>0</v>
      </c>
      <c r="X484" s="8" t="n">
        <v>0</v>
      </c>
      <c r="Y484" s="8" t="inlineStr">
        <is>
          <t>Reaches on HNTN error B4 play #48 (no H); also pitches T4 — entry inferred, Flag #5</t>
        </is>
      </c>
    </row>
    <row r="485" ht="15.75" customHeight="1" s="35">
      <c r="A485" s="8" t="inlineStr">
        <is>
          <t>2026-03-07_HNTN_at_LNGR</t>
        </is>
      </c>
      <c r="B485" s="2" t="n">
        <v>46088</v>
      </c>
      <c r="C485" s="8" t="inlineStr">
        <is>
          <t>Huntingtown Varsity Hurricanes</t>
        </is>
      </c>
      <c r="D485" s="8" t="inlineStr">
        <is>
          <t>LNGR</t>
        </is>
      </c>
      <c r="E485" s="8" t="inlineStr">
        <is>
          <t>LNGR_#15</t>
        </is>
      </c>
      <c r="F485" s="8" t="n">
        <v>2</v>
      </c>
      <c r="G485" s="8" t="n">
        <v>2</v>
      </c>
      <c r="H485" s="8" t="n">
        <v>2</v>
      </c>
      <c r="I485" s="8" t="n">
        <v>2</v>
      </c>
      <c r="J485" s="8" t="n">
        <v>0</v>
      </c>
      <c r="K485" s="8" t="n">
        <v>0</v>
      </c>
      <c r="L485" s="8" t="n">
        <v>0</v>
      </c>
      <c r="M485" s="8" t="n">
        <v>0</v>
      </c>
      <c r="N485" s="8" t="n">
        <v>0</v>
      </c>
      <c r="O485" s="8" t="n">
        <v>0</v>
      </c>
      <c r="P485" s="8" t="n">
        <v>0</v>
      </c>
      <c r="Q485" s="8" t="n">
        <v>0</v>
      </c>
      <c r="R485" s="8" t="n">
        <v>1</v>
      </c>
      <c r="S485" s="8" t="n">
        <v>0</v>
      </c>
      <c r="T485" s="8" t="n">
        <v>0</v>
      </c>
      <c r="U485" s="8" t="n">
        <v>0</v>
      </c>
      <c r="V485" s="8" t="n">
        <v>0</v>
      </c>
      <c r="W485" s="8" t="n">
        <v>0</v>
      </c>
      <c r="X485" s="8" t="n">
        <v>0</v>
      </c>
      <c r="Y485" s="8" t="inlineStr">
        <is>
          <t>Scores B2 on WP during #1 AB play #24; also pitches T6 — entry inferred, Flag #6</t>
        </is>
      </c>
    </row>
    <row r="486" ht="15.75" customHeight="1" s="35">
      <c r="A486" s="8" t="inlineStr">
        <is>
          <t>2026-03-07_HNTN_at_LNGR</t>
        </is>
      </c>
      <c r="B486" s="2" t="n">
        <v>46088</v>
      </c>
      <c r="C486" s="8" t="inlineStr">
        <is>
          <t>Huntingtown Varsity Hurricanes</t>
        </is>
      </c>
      <c r="D486" s="8" t="inlineStr">
        <is>
          <t>LNGR</t>
        </is>
      </c>
      <c r="E486" s="8" t="inlineStr">
        <is>
          <t>LNGR_#23</t>
        </is>
      </c>
      <c r="F486" s="8" t="n">
        <v>2</v>
      </c>
      <c r="G486" s="8" t="n">
        <v>1</v>
      </c>
      <c r="H486" s="8" t="n">
        <v>0</v>
      </c>
      <c r="I486" s="8" t="n">
        <v>0</v>
      </c>
      <c r="J486" s="8" t="n">
        <v>0</v>
      </c>
      <c r="K486" s="8" t="n">
        <v>0</v>
      </c>
      <c r="L486" s="8" t="n">
        <v>0</v>
      </c>
      <c r="M486" s="8" t="n">
        <v>1</v>
      </c>
      <c r="N486" s="8" t="n">
        <v>0</v>
      </c>
      <c r="O486" s="8" t="n">
        <v>1</v>
      </c>
      <c r="P486" s="8" t="n">
        <v>1</v>
      </c>
      <c r="Q486" s="8" t="n">
        <v>0</v>
      </c>
      <c r="R486" s="8" t="n">
        <v>1</v>
      </c>
      <c r="S486" s="8" t="n">
        <v>0</v>
      </c>
      <c r="T486" s="8" t="n">
        <v>0</v>
      </c>
      <c r="U486" s="8" t="n">
        <v>0</v>
      </c>
      <c r="V486" s="8" t="n">
        <v>0</v>
      </c>
      <c r="W486" s="8" t="n">
        <v>0</v>
      </c>
      <c r="X486" s="8" t="n">
        <v>0</v>
      </c>
      <c r="Y486" s="8" t="inlineStr">
        <is>
          <t>Scores B2 on WP during own AB play #24; K_L B4 play #50; error by LNGR_#23 at 1B play #40</t>
        </is>
      </c>
    </row>
    <row r="487" ht="15.75" customHeight="1" s="35">
      <c r="A487" s="8" t="inlineStr">
        <is>
          <t>2026-03-07_HNTN_at_LNGR</t>
        </is>
      </c>
      <c r="B487" s="2" t="n">
        <v>46088</v>
      </c>
      <c r="C487" s="8" t="inlineStr">
        <is>
          <t>Huntingtown Varsity Hurricanes</t>
        </is>
      </c>
      <c r="D487" s="8" t="inlineStr">
        <is>
          <t>LNGR</t>
        </is>
      </c>
      <c r="E487" s="8" t="inlineStr">
        <is>
          <t>LNGR_#22</t>
        </is>
      </c>
      <c r="F487" s="8" t="n">
        <v>2</v>
      </c>
      <c r="G487" s="8" t="n">
        <v>2</v>
      </c>
      <c r="H487" s="8" t="n">
        <v>0</v>
      </c>
      <c r="I487" s="8" t="n">
        <v>0</v>
      </c>
      <c r="J487" s="8" t="n">
        <v>0</v>
      </c>
      <c r="K487" s="8" t="n">
        <v>0</v>
      </c>
      <c r="L487" s="8" t="n">
        <v>0</v>
      </c>
      <c r="M487" s="8" t="n">
        <v>0</v>
      </c>
      <c r="N487" s="8" t="n">
        <v>0</v>
      </c>
      <c r="O487" s="8" t="n">
        <v>0</v>
      </c>
      <c r="P487" s="8" t="n">
        <v>0</v>
      </c>
      <c r="Q487" s="8" t="n">
        <v>0</v>
      </c>
      <c r="R487" s="8" t="n">
        <v>0</v>
      </c>
      <c r="S487" s="8" t="n">
        <v>0</v>
      </c>
      <c r="T487" s="8" t="n">
        <v>0</v>
      </c>
      <c r="U487" s="8" t="n">
        <v>0</v>
      </c>
      <c r="V487" s="8" t="n">
        <v>0</v>
      </c>
      <c r="W487" s="8" t="n">
        <v>0</v>
      </c>
      <c r="X487" s="8" t="n">
        <v>0</v>
      </c>
      <c r="Y487" s="8" t="inlineStr">
        <is>
          <t>Fly outs B2 play #22 and B4 play #51</t>
        </is>
      </c>
    </row>
    <row r="488" ht="15.75" customHeight="1" s="35">
      <c r="A488" s="8" t="inlineStr">
        <is>
          <t>2026-03-07_HNTN_at_LNGR</t>
        </is>
      </c>
      <c r="B488" s="2" t="n">
        <v>46088</v>
      </c>
      <c r="C488" s="8" t="inlineStr">
        <is>
          <t>Huntingtown Varsity Hurricanes</t>
        </is>
      </c>
      <c r="D488" s="8" t="inlineStr">
        <is>
          <t>LNGR</t>
        </is>
      </c>
      <c r="E488" s="8" t="inlineStr">
        <is>
          <t>LNGR_#19</t>
        </is>
      </c>
      <c r="F488" s="8" t="n">
        <v>2</v>
      </c>
      <c r="G488" s="8" t="n">
        <v>2</v>
      </c>
      <c r="H488" s="8" t="n">
        <v>0</v>
      </c>
      <c r="I488" s="8" t="n">
        <v>0</v>
      </c>
      <c r="J488" s="8" t="n">
        <v>0</v>
      </c>
      <c r="K488" s="8" t="n">
        <v>0</v>
      </c>
      <c r="L488" s="8" t="n">
        <v>0</v>
      </c>
      <c r="M488" s="8" t="n">
        <v>0</v>
      </c>
      <c r="N488" s="8" t="n">
        <v>0</v>
      </c>
      <c r="O488" s="8" t="n">
        <v>1</v>
      </c>
      <c r="P488" s="8" t="n">
        <v>1</v>
      </c>
      <c r="Q488" s="8" t="n">
        <v>0</v>
      </c>
      <c r="R488" s="8" t="n">
        <v>0</v>
      </c>
      <c r="S488" s="8" t="n">
        <v>0</v>
      </c>
      <c r="T488" s="8" t="n">
        <v>0</v>
      </c>
      <c r="U488" s="8" t="n">
        <v>0</v>
      </c>
      <c r="V488" s="8" t="n">
        <v>0</v>
      </c>
      <c r="W488" s="8" t="n">
        <v>0</v>
      </c>
      <c r="X488" s="8" t="n">
        <v>0</v>
      </c>
      <c r="Y488" s="8" t="inlineStr">
        <is>
          <t>K_L B2 play #23; GO B5 play #56</t>
        </is>
      </c>
    </row>
    <row r="489" ht="15.75" customHeight="1" s="35">
      <c r="A489" s="8" t="inlineStr">
        <is>
          <t>2026-03-07_HNTN_at_LNGR</t>
        </is>
      </c>
      <c r="B489" s="2" t="n">
        <v>46088</v>
      </c>
      <c r="C489" s="8" t="inlineStr">
        <is>
          <t>Huntingtown Varsity Hurricanes</t>
        </is>
      </c>
      <c r="D489" s="8" t="inlineStr">
        <is>
          <t>LNGR</t>
        </is>
      </c>
      <c r="E489" s="8" t="inlineStr">
        <is>
          <t>LNGR_#1</t>
        </is>
      </c>
      <c r="F489" s="8" t="n">
        <v>2</v>
      </c>
      <c r="G489" s="8" t="n">
        <v>2</v>
      </c>
      <c r="H489" s="8" t="n">
        <v>0</v>
      </c>
      <c r="I489" s="8" t="n">
        <v>0</v>
      </c>
      <c r="J489" s="8" t="n">
        <v>0</v>
      </c>
      <c r="K489" s="8" t="n">
        <v>0</v>
      </c>
      <c r="L489" s="8" t="n">
        <v>0</v>
      </c>
      <c r="M489" s="8" t="n">
        <v>0</v>
      </c>
      <c r="N489" s="8" t="n">
        <v>0</v>
      </c>
      <c r="O489" s="8" t="n">
        <v>0</v>
      </c>
      <c r="P489" s="8" t="n">
        <v>0</v>
      </c>
      <c r="Q489" s="8" t="n">
        <v>0</v>
      </c>
      <c r="R489" s="8" t="n">
        <v>0</v>
      </c>
      <c r="S489" s="8" t="n">
        <v>0</v>
      </c>
      <c r="T489" s="8" t="n">
        <v>0</v>
      </c>
      <c r="U489" s="8" t="n">
        <v>0</v>
      </c>
      <c r="V489" s="8" t="n">
        <v>0</v>
      </c>
      <c r="W489" s="8" t="n">
        <v>0</v>
      </c>
      <c r="X489" s="8" t="n">
        <v>0</v>
      </c>
      <c r="Y489" s="8" t="inlineStr">
        <is>
          <t>Fly out B2 play #24 — 2 runs scored via WPs during AB, no RBI; GO B5 play #57</t>
        </is>
      </c>
    </row>
    <row r="490" ht="15.75" customHeight="1" s="35">
      <c r="A490" s="8" t="inlineStr">
        <is>
          <t>2026-03-07_HNTN_at_LNGR</t>
        </is>
      </c>
      <c r="B490" s="2" t="n">
        <v>46088</v>
      </c>
      <c r="C490" s="8" t="inlineStr">
        <is>
          <t>Huntingtown Varsity Hurricanes</t>
        </is>
      </c>
      <c r="D490" s="8" t="inlineStr">
        <is>
          <t>LNGR</t>
        </is>
      </c>
      <c r="E490" s="8" t="inlineStr">
        <is>
          <t>LNGR_#21</t>
        </is>
      </c>
      <c r="F490" s="8" t="n">
        <v>2</v>
      </c>
      <c r="G490" s="8" t="n">
        <v>2</v>
      </c>
      <c r="H490" s="8" t="n">
        <v>0</v>
      </c>
      <c r="I490" s="8" t="n">
        <v>0</v>
      </c>
      <c r="J490" s="8" t="n">
        <v>0</v>
      </c>
      <c r="K490" s="8" t="n">
        <v>0</v>
      </c>
      <c r="L490" s="8" t="n">
        <v>0</v>
      </c>
      <c r="M490" s="8" t="n">
        <v>0</v>
      </c>
      <c r="N490" s="8" t="n">
        <v>0</v>
      </c>
      <c r="O490" s="8" t="n">
        <v>2</v>
      </c>
      <c r="P490" s="8" t="n">
        <v>1</v>
      </c>
      <c r="Q490" s="8" t="n">
        <v>1</v>
      </c>
      <c r="R490" s="8" t="n">
        <v>0</v>
      </c>
      <c r="S490" s="8" t="n">
        <v>0</v>
      </c>
      <c r="T490" s="8" t="n">
        <v>0</v>
      </c>
      <c r="U490" s="8" t="n">
        <v>0</v>
      </c>
      <c r="V490" s="8" t="n">
        <v>0</v>
      </c>
      <c r="W490" s="8" t="n">
        <v>0</v>
      </c>
      <c r="X490" s="8" t="n">
        <v>0</v>
      </c>
      <c r="Y490" s="8" t="inlineStr">
        <is>
          <t>K_S B3 play #32; K_L B5 play #58</t>
        </is>
      </c>
    </row>
    <row r="491" ht="15.75" customHeight="1" s="35">
      <c r="A491" s="8" t="inlineStr">
        <is>
          <t>2026-03-07_HNTN_at_LNGR</t>
        </is>
      </c>
      <c r="B491" s="2" t="n">
        <v>46088</v>
      </c>
      <c r="C491" s="8" t="inlineStr">
        <is>
          <t>Huntingtown Varsity Hurricanes</t>
        </is>
      </c>
      <c r="D491" s="8" t="inlineStr">
        <is>
          <t>LNGR</t>
        </is>
      </c>
      <c r="E491" s="8" t="inlineStr">
        <is>
          <t>LNGR_#16</t>
        </is>
      </c>
      <c r="F491" s="8" t="n">
        <v>2</v>
      </c>
      <c r="G491" s="8" t="n">
        <v>2</v>
      </c>
      <c r="H491" s="8" t="n">
        <v>0</v>
      </c>
      <c r="I491" s="8" t="n">
        <v>0</v>
      </c>
      <c r="J491" s="8" t="n">
        <v>0</v>
      </c>
      <c r="K491" s="8" t="n">
        <v>0</v>
      </c>
      <c r="L491" s="8" t="n">
        <v>0</v>
      </c>
      <c r="M491" s="8" t="n">
        <v>0</v>
      </c>
      <c r="N491" s="8" t="n">
        <v>0</v>
      </c>
      <c r="O491" s="8" t="n">
        <v>1</v>
      </c>
      <c r="P491" s="8" t="n">
        <v>0</v>
      </c>
      <c r="Q491" s="8" t="n">
        <v>1</v>
      </c>
      <c r="R491" s="8" t="n">
        <v>0</v>
      </c>
      <c r="S491" s="8" t="n">
        <v>0</v>
      </c>
      <c r="T491" s="8" t="n">
        <v>0</v>
      </c>
      <c r="U491" s="8" t="n">
        <v>0</v>
      </c>
      <c r="V491" s="8" t="n">
        <v>0</v>
      </c>
      <c r="W491" s="8" t="n">
        <v>0</v>
      </c>
      <c r="X491" s="8" t="n">
        <v>0</v>
      </c>
      <c r="Y491" s="8" t="inlineStr">
        <is>
          <t>K_S B3 play #33; CR for LNGR_#2 B3 play #36 (no R scored as CR); GO B6 play #64</t>
        </is>
      </c>
    </row>
    <row r="492" ht="15.75" customHeight="1" s="35">
      <c r="A492" s="8" t="inlineStr">
        <is>
          <t>2026-03-07_HNTN_at_LNGR</t>
        </is>
      </c>
      <c r="B492" s="2" t="n">
        <v>46088</v>
      </c>
      <c r="C492" s="8" t="inlineStr">
        <is>
          <t>Huntingtown Varsity Hurricanes</t>
        </is>
      </c>
      <c r="D492" s="8" t="inlineStr">
        <is>
          <t>LNGR</t>
        </is>
      </c>
      <c r="E492" s="8" t="inlineStr">
        <is>
          <t>LNGR_#4</t>
        </is>
      </c>
      <c r="F492" s="8" t="n">
        <v>2</v>
      </c>
      <c r="G492" s="8" t="n">
        <v>1</v>
      </c>
      <c r="H492" s="8" t="n">
        <v>0</v>
      </c>
      <c r="I492" s="8" t="n">
        <v>0</v>
      </c>
      <c r="J492" s="8" t="n">
        <v>0</v>
      </c>
      <c r="K492" s="8" t="n">
        <v>0</v>
      </c>
      <c r="L492" s="8" t="n">
        <v>0</v>
      </c>
      <c r="M492" s="8" t="n">
        <v>1</v>
      </c>
      <c r="N492" s="8" t="n">
        <v>0</v>
      </c>
      <c r="O492" s="8" t="n">
        <v>1</v>
      </c>
      <c r="P492" s="8" t="n">
        <v>0</v>
      </c>
      <c r="Q492" s="8" t="n">
        <v>1</v>
      </c>
      <c r="R492" s="8" t="n">
        <v>0</v>
      </c>
      <c r="S492" s="8" t="n">
        <v>0</v>
      </c>
      <c r="T492" s="8" t="n">
        <v>0</v>
      </c>
      <c r="U492" s="8" t="n">
        <v>0</v>
      </c>
      <c r="V492" s="8" t="n">
        <v>0</v>
      </c>
      <c r="W492" s="8" t="n">
        <v>0</v>
      </c>
      <c r="X492" s="8" t="n">
        <v>0</v>
      </c>
      <c r="Y492" s="8" t="inlineStr">
        <is>
          <t>Walk B3 play #34; K_S (foul tip) B6 play #65; also pitches T5 per play log</t>
        </is>
      </c>
    </row>
    <row r="493" ht="15.75" customHeight="1" s="35">
      <c r="A493" s="8" t="inlineStr">
        <is>
          <t>2026-03-14_KNTS_at_HNTN</t>
        </is>
      </c>
      <c r="B493" s="2" t="n">
        <v>46095</v>
      </c>
      <c r="C493" s="8" t="inlineStr">
        <is>
          <t>Kent Island HS</t>
        </is>
      </c>
      <c r="D493" s="8" t="inlineStr">
        <is>
          <t>HNTN</t>
        </is>
      </c>
      <c r="E493" s="8" t="inlineStr">
        <is>
          <t>N McMurray</t>
        </is>
      </c>
      <c r="F493" s="8" t="n">
        <v>3</v>
      </c>
      <c r="G493" s="8" t="n">
        <v>3</v>
      </c>
      <c r="H493" s="8" t="n">
        <v>1</v>
      </c>
      <c r="I493" s="8" t="n">
        <v>0</v>
      </c>
      <c r="J493" s="8" t="n">
        <v>1</v>
      </c>
      <c r="K493" s="8" t="n">
        <v>0</v>
      </c>
      <c r="L493" s="8" t="n">
        <v>0</v>
      </c>
      <c r="M493" s="8" t="n">
        <v>0</v>
      </c>
      <c r="N493" s="8" t="n">
        <v>0</v>
      </c>
      <c r="O493" s="8" t="n">
        <v>1</v>
      </c>
      <c r="P493" s="8" t="n">
        <v>1</v>
      </c>
      <c r="Q493" s="8" t="n">
        <v>0</v>
      </c>
      <c r="R493" s="8" t="n">
        <v>2</v>
      </c>
      <c r="S493" s="8" t="n">
        <v>0</v>
      </c>
      <c r="T493" s="8" t="n">
        <v>0</v>
      </c>
      <c r="U493" s="8" t="n">
        <v>0</v>
      </c>
      <c r="V493" s="8" t="n">
        <v>0</v>
      </c>
      <c r="W493" s="8" t="n">
        <v>0</v>
      </c>
      <c r="X493" s="8" t="n">
        <v>1</v>
      </c>
      <c r="Y493" s="8" t="inlineStr">
        <is>
          <t>Doubles B1 play #5; scores B1 on J Cadden single play #7; scores B2 on KNTS error by 2B #3 during J Hann AB play #18 — no RBI for J Hann (run on error); K_L B4 play #37; FC B2 play #17; also pitches B1–B2 per prior game context</t>
        </is>
      </c>
    </row>
    <row r="494" ht="15.75" customHeight="1" s="35">
      <c r="A494" s="8" t="inlineStr">
        <is>
          <t>2026-03-14_KNTS_at_HNTN</t>
        </is>
      </c>
      <c r="B494" s="2" t="n">
        <v>46095</v>
      </c>
      <c r="C494" s="8" t="inlineStr">
        <is>
          <t>Kent Island HS</t>
        </is>
      </c>
      <c r="D494" s="8" t="inlineStr">
        <is>
          <t>HNTN</t>
        </is>
      </c>
      <c r="E494" s="8" t="inlineStr">
        <is>
          <t>J Hann</t>
        </is>
      </c>
      <c r="F494" s="8" t="n">
        <v>3</v>
      </c>
      <c r="G494" s="8" t="n">
        <v>2</v>
      </c>
      <c r="H494" s="8" t="n">
        <v>1</v>
      </c>
      <c r="I494" s="8" t="n">
        <v>1</v>
      </c>
      <c r="J494" s="8" t="n">
        <v>0</v>
      </c>
      <c r="K494" s="8" t="n">
        <v>0</v>
      </c>
      <c r="L494" s="8" t="n">
        <v>0</v>
      </c>
      <c r="M494" s="8" t="n">
        <v>1</v>
      </c>
      <c r="N494" s="8" t="n">
        <v>0</v>
      </c>
      <c r="O494" s="8" t="n">
        <v>0</v>
      </c>
      <c r="P494" s="8" t="n">
        <v>0</v>
      </c>
      <c r="Q494" s="8" t="n">
        <v>0</v>
      </c>
      <c r="R494" s="8" t="n">
        <v>2</v>
      </c>
      <c r="S494" s="8" t="n">
        <v>0</v>
      </c>
      <c r="T494" s="8" t="n">
        <v>0</v>
      </c>
      <c r="U494" s="8" t="n">
        <v>0</v>
      </c>
      <c r="V494" s="8" t="n">
        <v>0</v>
      </c>
      <c r="W494" s="8" t="n">
        <v>0</v>
      </c>
      <c r="X494" s="8" t="n">
        <v>0</v>
      </c>
      <c r="Y494" s="8" t="inlineStr">
        <is>
          <t>Walk B1 play #6; single B2 play #18 (run scores on error, no RBI); scores B1 on T Burghard single play #9; scores B2 on WP during R Gaetano K play #20; GO B4 play #38</t>
        </is>
      </c>
    </row>
    <row r="495" ht="15.75" customHeight="1" s="35">
      <c r="A495" s="8" t="inlineStr">
        <is>
          <t>2026-03-14_KNTS_at_HNTN</t>
        </is>
      </c>
      <c r="B495" s="2" t="n">
        <v>46095</v>
      </c>
      <c r="C495" s="8" t="inlineStr">
        <is>
          <t>Kent Island HS</t>
        </is>
      </c>
      <c r="D495" s="8" t="inlineStr">
        <is>
          <t>HNTN</t>
        </is>
      </c>
      <c r="E495" s="8" t="inlineStr">
        <is>
          <t>J Cadden</t>
        </is>
      </c>
      <c r="F495" s="8" t="n">
        <v>3</v>
      </c>
      <c r="G495" s="8" t="n">
        <v>2</v>
      </c>
      <c r="H495" s="8" t="n">
        <v>1</v>
      </c>
      <c r="I495" s="8" t="n">
        <v>1</v>
      </c>
      <c r="J495" s="8" t="n">
        <v>0</v>
      </c>
      <c r="K495" s="8" t="n">
        <v>0</v>
      </c>
      <c r="L495" s="8" t="n">
        <v>0</v>
      </c>
      <c r="M495" s="8" t="n">
        <v>1</v>
      </c>
      <c r="N495" s="8" t="n">
        <v>0</v>
      </c>
      <c r="O495" s="8" t="n">
        <v>0</v>
      </c>
      <c r="P495" s="8" t="n">
        <v>0</v>
      </c>
      <c r="Q495" s="8" t="n">
        <v>0</v>
      </c>
      <c r="R495" s="8" t="n">
        <v>1</v>
      </c>
      <c r="S495" s="8" t="n">
        <v>1</v>
      </c>
      <c r="T495" s="8" t="n">
        <v>2</v>
      </c>
      <c r="U495" s="8" t="n">
        <v>0</v>
      </c>
      <c r="V495" s="8" t="n">
        <v>0</v>
      </c>
      <c r="W495" s="8" t="n">
        <v>0</v>
      </c>
      <c r="X495" s="8" t="n">
        <v>0</v>
      </c>
      <c r="Y495" s="8" t="inlineStr">
        <is>
          <t>Single B1 play #7 scores N McMurray (1 RBI); SB B1 embedded in R Gaetano AB play #8; walk B2 play #19; SB B2 embedded in R Gaetano AB play #20; scores B1 on C Wargo sac fly play #10; GO B4 play #39</t>
        </is>
      </c>
    </row>
    <row r="496" ht="15.75" customHeight="1" s="35">
      <c r="A496" s="8" t="inlineStr">
        <is>
          <t>2026-03-14_KNTS_at_HNTN</t>
        </is>
      </c>
      <c r="B496" s="2" t="n">
        <v>46095</v>
      </c>
      <c r="C496" s="8" t="inlineStr">
        <is>
          <t>Kent Island HS</t>
        </is>
      </c>
      <c r="D496" s="8" t="inlineStr">
        <is>
          <t>HNTN</t>
        </is>
      </c>
      <c r="E496" s="8" t="inlineStr">
        <is>
          <t>R Gaetano</t>
        </is>
      </c>
      <c r="F496" s="8" t="n">
        <v>3</v>
      </c>
      <c r="G496" s="8" t="n">
        <v>2</v>
      </c>
      <c r="H496" s="8" t="n">
        <v>0</v>
      </c>
      <c r="I496" s="8" t="n">
        <v>0</v>
      </c>
      <c r="J496" s="8" t="n">
        <v>0</v>
      </c>
      <c r="K496" s="8" t="n">
        <v>0</v>
      </c>
      <c r="L496" s="8" t="n">
        <v>0</v>
      </c>
      <c r="M496" s="8" t="n">
        <v>1</v>
      </c>
      <c r="N496" s="8" t="n">
        <v>0</v>
      </c>
      <c r="O496" s="8" t="n">
        <v>2</v>
      </c>
      <c r="P496" s="8" t="n">
        <v>1</v>
      </c>
      <c r="Q496" s="8" t="n">
        <v>1</v>
      </c>
      <c r="R496" s="8" t="n">
        <v>0</v>
      </c>
      <c r="S496" s="8" t="n">
        <v>0</v>
      </c>
      <c r="T496" s="8" t="n">
        <v>0</v>
      </c>
      <c r="U496" s="8" t="n">
        <v>0</v>
      </c>
      <c r="V496" s="8" t="n">
        <v>0</v>
      </c>
      <c r="W496" s="8" t="n">
        <v>0</v>
      </c>
      <c r="X496" s="8" t="n">
        <v>0</v>
      </c>
      <c r="Y496" s="8" t="inlineStr">
        <is>
          <t>K_S B1 play #8; K_L B2 play #20; walk B5 play #50; CR E Elliott in B5 play #51 — E Elliott out in DP, no R for R Gaetano</t>
        </is>
      </c>
    </row>
    <row r="497" ht="15.75" customHeight="1" s="35">
      <c r="A497" s="8" t="inlineStr">
        <is>
          <t>2026-03-14_KNTS_at_HNTN</t>
        </is>
      </c>
      <c r="B497" s="2" t="n">
        <v>46095</v>
      </c>
      <c r="C497" s="8" t="inlineStr">
        <is>
          <t>Kent Island HS</t>
        </is>
      </c>
      <c r="D497" s="8" t="inlineStr">
        <is>
          <t>HNTN</t>
        </is>
      </c>
      <c r="E497" s="8" t="inlineStr">
        <is>
          <t>T Burghard</t>
        </is>
      </c>
      <c r="F497" s="8" t="n">
        <v>3</v>
      </c>
      <c r="G497" s="8" t="n">
        <v>3</v>
      </c>
      <c r="H497" s="8" t="n">
        <v>1</v>
      </c>
      <c r="I497" s="8" t="n">
        <v>1</v>
      </c>
      <c r="J497" s="8" t="n">
        <v>0</v>
      </c>
      <c r="K497" s="8" t="n">
        <v>0</v>
      </c>
      <c r="L497" s="8" t="n">
        <v>0</v>
      </c>
      <c r="M497" s="8" t="n">
        <v>0</v>
      </c>
      <c r="N497" s="8" t="n">
        <v>0</v>
      </c>
      <c r="O497" s="8" t="n">
        <v>1</v>
      </c>
      <c r="P497" s="8" t="n">
        <v>0</v>
      </c>
      <c r="Q497" s="8" t="n">
        <v>1</v>
      </c>
      <c r="R497" s="8" t="n">
        <v>0</v>
      </c>
      <c r="S497" s="8" t="n">
        <v>1</v>
      </c>
      <c r="T497" s="8" t="n">
        <v>0</v>
      </c>
      <c r="U497" s="8" t="n">
        <v>0</v>
      </c>
      <c r="V497" s="8" t="n">
        <v>1</v>
      </c>
      <c r="W497" s="8" t="n">
        <v>0</v>
      </c>
      <c r="X497" s="8" t="n">
        <v>0</v>
      </c>
      <c r="Y497" s="8" t="inlineStr">
        <is>
          <t>Single B1 play #9 scores J Hann (1 RBI); K_S B3 play #27; GDP B5 play #51 (E Elliott, CR for R Gaetano, is the out on the base paths)</t>
        </is>
      </c>
    </row>
    <row r="498" ht="15.75" customHeight="1" s="35">
      <c r="A498" s="8" t="inlineStr">
        <is>
          <t>2026-03-14_KNTS_at_HNTN</t>
        </is>
      </c>
      <c r="B498" s="2" t="n">
        <v>46095</v>
      </c>
      <c r="C498" s="8" t="inlineStr">
        <is>
          <t>Kent Island HS</t>
        </is>
      </c>
      <c r="D498" s="8" t="inlineStr">
        <is>
          <t>HNTN</t>
        </is>
      </c>
      <c r="E498" s="8" t="inlineStr">
        <is>
          <t>C Wargo</t>
        </is>
      </c>
      <c r="F498" s="8" t="n">
        <v>3</v>
      </c>
      <c r="G498" s="8" t="n">
        <v>2</v>
      </c>
      <c r="H498" s="8" t="n">
        <v>0</v>
      </c>
      <c r="I498" s="8" t="n">
        <v>0</v>
      </c>
      <c r="J498" s="8" t="n">
        <v>0</v>
      </c>
      <c r="K498" s="8" t="n">
        <v>0</v>
      </c>
      <c r="L498" s="8" t="n">
        <v>0</v>
      </c>
      <c r="M498" s="8" t="n">
        <v>0</v>
      </c>
      <c r="N498" s="8" t="n">
        <v>0</v>
      </c>
      <c r="O498" s="8" t="n">
        <v>0</v>
      </c>
      <c r="P498" s="8" t="n">
        <v>0</v>
      </c>
      <c r="Q498" s="8" t="n">
        <v>0</v>
      </c>
      <c r="R498" s="8" t="n">
        <v>0</v>
      </c>
      <c r="S498" s="8" t="n">
        <v>1</v>
      </c>
      <c r="T498" s="8" t="n">
        <v>0</v>
      </c>
      <c r="U498" s="8" t="n">
        <v>0</v>
      </c>
      <c r="V498" s="8" t="n">
        <v>0</v>
      </c>
      <c r="W498" s="8" t="n">
        <v>0</v>
      </c>
      <c r="X498" s="8" t="n">
        <v>0</v>
      </c>
      <c r="Y498" s="8" t="inlineStr">
        <is>
          <t>SAC fly B1 play #10 scores J Cadden (1 RBI) — no AB, no SAC; PO B3 play #28; GO B5 play #52</t>
        </is>
      </c>
    </row>
    <row r="499" ht="15.75" customHeight="1" s="35">
      <c r="A499" s="8" t="inlineStr">
        <is>
          <t>2026-03-14_KNTS_at_HNTN</t>
        </is>
      </c>
      <c r="B499" s="2" t="n">
        <v>46095</v>
      </c>
      <c r="C499" s="8" t="inlineStr">
        <is>
          <t>Kent Island HS</t>
        </is>
      </c>
      <c r="D499" s="8" t="inlineStr">
        <is>
          <t>HNTN</t>
        </is>
      </c>
      <c r="E499" s="8" t="inlineStr">
        <is>
          <t>R Kessler</t>
        </is>
      </c>
      <c r="F499" s="8" t="n">
        <v>2</v>
      </c>
      <c r="G499" s="8" t="n">
        <v>2</v>
      </c>
      <c r="H499" s="8" t="n">
        <v>1</v>
      </c>
      <c r="I499" s="8" t="n">
        <v>0</v>
      </c>
      <c r="J499" s="8" t="n">
        <v>1</v>
      </c>
      <c r="K499" s="8" t="n">
        <v>0</v>
      </c>
      <c r="L499" s="8" t="n">
        <v>0</v>
      </c>
      <c r="M499" s="8" t="n">
        <v>0</v>
      </c>
      <c r="N499" s="8" t="n">
        <v>0</v>
      </c>
      <c r="O499" s="8" t="n">
        <v>1</v>
      </c>
      <c r="P499" s="8" t="n">
        <v>0</v>
      </c>
      <c r="Q499" s="8" t="n">
        <v>1</v>
      </c>
      <c r="R499" s="8" t="n">
        <v>1</v>
      </c>
      <c r="S499" s="8" t="n">
        <v>0</v>
      </c>
      <c r="T499" s="8" t="n">
        <v>0</v>
      </c>
      <c r="U499" s="8" t="n">
        <v>0</v>
      </c>
      <c r="V499" s="8" t="n">
        <v>0</v>
      </c>
      <c r="W499" s="8" t="n">
        <v>0</v>
      </c>
      <c r="X499" s="8" t="n">
        <v>0</v>
      </c>
      <c r="Y499" s="8" t="inlineStr">
        <is>
          <t>2B B3 play #29; scores on L Montgomery 2B play #30; K_S B1 play #11; also active pitcher T1–T4 (exits mid-T4 during #14 AB play #36)</t>
        </is>
      </c>
    </row>
    <row r="500" ht="15.75" customHeight="1" s="35">
      <c r="A500" s="8" t="inlineStr">
        <is>
          <t>2026-03-14_KNTS_at_HNTN</t>
        </is>
      </c>
      <c r="B500" s="2" t="n">
        <v>46095</v>
      </c>
      <c r="C500" s="8" t="inlineStr">
        <is>
          <t>Kent Island HS</t>
        </is>
      </c>
      <c r="D500" s="8" t="inlineStr">
        <is>
          <t>HNTN</t>
        </is>
      </c>
      <c r="E500" s="8" t="inlineStr">
        <is>
          <t>L Montgomery</t>
        </is>
      </c>
      <c r="F500" s="8" t="n">
        <v>3</v>
      </c>
      <c r="G500" s="8" t="n">
        <v>3</v>
      </c>
      <c r="H500" s="8" t="n">
        <v>1</v>
      </c>
      <c r="I500" s="8" t="n">
        <v>0</v>
      </c>
      <c r="J500" s="8" t="n">
        <v>1</v>
      </c>
      <c r="K500" s="8" t="n">
        <v>0</v>
      </c>
      <c r="L500" s="8" t="n">
        <v>0</v>
      </c>
      <c r="M500" s="8" t="n">
        <v>0</v>
      </c>
      <c r="N500" s="8" t="n">
        <v>0</v>
      </c>
      <c r="O500" s="8" t="n">
        <v>1</v>
      </c>
      <c r="P500" s="8" t="n">
        <v>1</v>
      </c>
      <c r="Q500" s="8" t="n">
        <v>0</v>
      </c>
      <c r="R500" s="8" t="n">
        <v>0</v>
      </c>
      <c r="S500" s="8" t="n">
        <v>1</v>
      </c>
      <c r="T500" s="8" t="n">
        <v>0</v>
      </c>
      <c r="U500" s="8" t="n">
        <v>0</v>
      </c>
      <c r="V500" s="8" t="n">
        <v>0</v>
      </c>
      <c r="W500" s="8" t="n">
        <v>0</v>
      </c>
      <c r="X500" s="8" t="n">
        <v>0</v>
      </c>
      <c r="Y500" s="8" t="inlineStr">
        <is>
          <t>K_L B2 play #15; 2B B3 play #30 scores R Kessler (1 RBI); GO B6 play #64; error by L Montgomery (3B) at play #35 (Top 4th); L Montgomery advances to 3rd B3 on embedded error by KNTS SS #7 (play #31, Flag #14) but does not score</t>
        </is>
      </c>
    </row>
    <row r="501" ht="15.75" customHeight="1" s="35">
      <c r="A501" s="8" t="inlineStr">
        <is>
          <t>2026-03-14_KNTS_at_HNTN</t>
        </is>
      </c>
      <c r="B501" s="2" t="n">
        <v>46095</v>
      </c>
      <c r="C501" s="8" t="inlineStr">
        <is>
          <t>Kent Island HS</t>
        </is>
      </c>
      <c r="D501" s="8" t="inlineStr">
        <is>
          <t>HNTN</t>
        </is>
      </c>
      <c r="E501" s="8" t="inlineStr">
        <is>
          <t>G Grimes</t>
        </is>
      </c>
      <c r="F501" s="8" t="n">
        <v>3</v>
      </c>
      <c r="G501" s="8" t="n">
        <v>3</v>
      </c>
      <c r="H501" s="8" t="n">
        <v>1</v>
      </c>
      <c r="I501" s="8" t="n">
        <v>1</v>
      </c>
      <c r="J501" s="8" t="n">
        <v>0</v>
      </c>
      <c r="K501" s="8" t="n">
        <v>0</v>
      </c>
      <c r="L501" s="8" t="n">
        <v>0</v>
      </c>
      <c r="M501" s="8" t="n">
        <v>0</v>
      </c>
      <c r="N501" s="8" t="n">
        <v>0</v>
      </c>
      <c r="O501" s="8" t="n">
        <v>2</v>
      </c>
      <c r="P501" s="8" t="n">
        <v>1</v>
      </c>
      <c r="Q501" s="8" t="n">
        <v>1</v>
      </c>
      <c r="R501" s="8" t="n">
        <v>0</v>
      </c>
      <c r="S501" s="8" t="n">
        <v>0</v>
      </c>
      <c r="T501" s="8" t="n">
        <v>0</v>
      </c>
      <c r="U501" s="8" t="n">
        <v>0</v>
      </c>
      <c r="V501" s="8" t="n">
        <v>0</v>
      </c>
      <c r="W501" s="8" t="n">
        <v>0</v>
      </c>
      <c r="X501" s="8" t="n">
        <v>0</v>
      </c>
      <c r="Y501" s="8" t="inlineStr">
        <is>
          <t>Single B2 play #16 (recorded on pop fly — Flag #12); K_L B3 play #31; dropped 3rd strike B6 play #65 (out at 1st, K_S per pitch sequence)</t>
        </is>
      </c>
    </row>
    <row r="502" ht="15.75" customHeight="1" s="35">
      <c r="A502" s="8" t="inlineStr">
        <is>
          <t>2026-03-14_KNTS_at_HNTN</t>
        </is>
      </c>
      <c r="B502" s="2" t="n">
        <v>46095</v>
      </c>
      <c r="C502" s="8" t="inlineStr">
        <is>
          <t>Kent Island HS</t>
        </is>
      </c>
      <c r="D502" s="8" t="inlineStr">
        <is>
          <t>HNTN</t>
        </is>
      </c>
      <c r="E502" s="8" t="inlineStr">
        <is>
          <t>J Laur</t>
        </is>
      </c>
      <c r="F502" s="8" t="n">
        <v>1</v>
      </c>
      <c r="G502" s="8" t="n">
        <v>1</v>
      </c>
      <c r="H502" s="8" t="n">
        <v>0</v>
      </c>
      <c r="I502" s="8" t="n">
        <v>0</v>
      </c>
      <c r="J502" s="8" t="n">
        <v>0</v>
      </c>
      <c r="K502" s="8" t="n">
        <v>0</v>
      </c>
      <c r="L502" s="8" t="n">
        <v>0</v>
      </c>
      <c r="M502" s="8" t="n">
        <v>0</v>
      </c>
      <c r="N502" s="8" t="n">
        <v>0</v>
      </c>
      <c r="O502" s="8" t="n">
        <v>1</v>
      </c>
      <c r="P502" s="8" t="n">
        <v>1</v>
      </c>
      <c r="Q502" s="8" t="n">
        <v>0</v>
      </c>
      <c r="R502" s="8" t="n">
        <v>0</v>
      </c>
      <c r="S502" s="8" t="n">
        <v>0</v>
      </c>
      <c r="T502" s="8" t="n">
        <v>0</v>
      </c>
      <c r="U502" s="8" t="n">
        <v>0</v>
      </c>
      <c r="V502" s="8" t="n">
        <v>0</v>
      </c>
      <c r="W502" s="8" t="n">
        <v>0</v>
      </c>
      <c r="X502" s="8" t="n">
        <v>0</v>
      </c>
      <c r="Y502" s="8" t="inlineStr">
        <is>
          <t>PH for J Walter B6 play #63 (Flag #11); K_L per pitch sequence</t>
        </is>
      </c>
    </row>
    <row r="503" ht="15.75" customHeight="1" s="35">
      <c r="A503" s="8" t="inlineStr">
        <is>
          <t>2026-03-14_KNTS_at_HNTN</t>
        </is>
      </c>
      <c r="B503" s="2" t="n">
        <v>46095</v>
      </c>
      <c r="C503" s="8" t="inlineStr">
        <is>
          <t>Huntingtown Varsity Hurricanes</t>
        </is>
      </c>
      <c r="D503" s="8" t="inlineStr">
        <is>
          <t>KNTS</t>
        </is>
      </c>
      <c r="E503" s="8" t="inlineStr">
        <is>
          <t>KNTS_#2</t>
        </is>
      </c>
      <c r="F503" s="8" t="n">
        <v>1</v>
      </c>
      <c r="G503" s="8" t="n">
        <v>0</v>
      </c>
      <c r="H503" s="8" t="n">
        <v>0</v>
      </c>
      <c r="I503" s="8" t="n">
        <v>0</v>
      </c>
      <c r="J503" s="8" t="n">
        <v>0</v>
      </c>
      <c r="K503" s="8" t="n">
        <v>0</v>
      </c>
      <c r="L503" s="8" t="n">
        <v>0</v>
      </c>
      <c r="M503" s="8" t="n">
        <v>1</v>
      </c>
      <c r="N503" s="8" t="n">
        <v>0</v>
      </c>
      <c r="O503" s="8" t="n">
        <v>0</v>
      </c>
      <c r="P503" s="8" t="n">
        <v>0</v>
      </c>
      <c r="Q503" s="8" t="n">
        <v>0</v>
      </c>
      <c r="R503" s="8" t="n">
        <v>0</v>
      </c>
      <c r="S503" s="8" t="n">
        <v>0</v>
      </c>
      <c r="T503" s="8" t="n">
        <v>0</v>
      </c>
      <c r="U503" s="8" t="n">
        <v>0</v>
      </c>
      <c r="V503" s="8" t="n">
        <v>0</v>
      </c>
      <c r="W503" s="8" t="n">
        <v>0</v>
      </c>
      <c r="X503" s="8" t="n">
        <v>0</v>
      </c>
      <c r="Y503" s="8" t="inlineStr">
        <is>
          <t>PH for KNTS_#8 T6 play #60; does not score; base state inconsistency in subsequent plays (Flags #7, #8)</t>
        </is>
      </c>
    </row>
    <row r="504" ht="15.75" customHeight="1" s="35">
      <c r="A504" s="8" t="inlineStr">
        <is>
          <t>2026-03-14_KNTS_at_HNTN</t>
        </is>
      </c>
      <c r="B504" s="2" t="n">
        <v>46095</v>
      </c>
      <c r="C504" s="8" t="inlineStr">
        <is>
          <t>Huntingtown Varsity Hurricanes</t>
        </is>
      </c>
      <c r="D504" s="8" t="inlineStr">
        <is>
          <t>KNTS</t>
        </is>
      </c>
      <c r="E504" s="8" t="inlineStr">
        <is>
          <t>KNTS_#3</t>
        </is>
      </c>
      <c r="F504" s="8" t="n">
        <v>4</v>
      </c>
      <c r="G504" s="8" t="n">
        <v>4</v>
      </c>
      <c r="H504" s="8" t="n">
        <v>2</v>
      </c>
      <c r="I504" s="8" t="n">
        <v>2</v>
      </c>
      <c r="J504" s="8" t="n">
        <v>0</v>
      </c>
      <c r="K504" s="8" t="n">
        <v>0</v>
      </c>
      <c r="L504" s="8" t="n">
        <v>0</v>
      </c>
      <c r="M504" s="8" t="n">
        <v>0</v>
      </c>
      <c r="N504" s="8" t="n">
        <v>0</v>
      </c>
      <c r="O504" s="8" t="n">
        <v>0</v>
      </c>
      <c r="P504" s="8" t="n">
        <v>0</v>
      </c>
      <c r="Q504" s="8" t="n">
        <v>0</v>
      </c>
      <c r="R504" s="8" t="n">
        <v>1</v>
      </c>
      <c r="S504" s="8" t="n">
        <v>3</v>
      </c>
      <c r="T504" s="8" t="n">
        <v>0</v>
      </c>
      <c r="U504" s="8" t="n">
        <v>1</v>
      </c>
      <c r="V504" s="8" t="n">
        <v>0</v>
      </c>
      <c r="W504" s="8" t="n">
        <v>0</v>
      </c>
      <c r="X504" s="8" t="n">
        <v>1</v>
      </c>
      <c r="Y504" s="8" t="inlineStr">
        <is>
          <t>CS T1 play #4 (Runner Out); FC T3 play #25 scores #14 (1 RBI); K_L T5 play #43; single T6 play #55 scores #7 and #13 (2 RBI); scores T6 on #11 single play #58</t>
        </is>
      </c>
    </row>
    <row r="505" ht="15.75" customHeight="1" s="35">
      <c r="A505" s="8" t="inlineStr">
        <is>
          <t>2026-03-14_KNTS_at_HNTN</t>
        </is>
      </c>
      <c r="B505" s="2" t="n">
        <v>46095</v>
      </c>
      <c r="C505" s="8" t="inlineStr">
        <is>
          <t>Huntingtown Varsity Hurricanes</t>
        </is>
      </c>
      <c r="D505" s="8" t="inlineStr">
        <is>
          <t>KNTS</t>
        </is>
      </c>
      <c r="E505" s="8" t="inlineStr">
        <is>
          <t>KNTS_#7</t>
        </is>
      </c>
      <c r="F505" s="8" t="n">
        <v>4</v>
      </c>
      <c r="G505" s="8" t="n">
        <v>2</v>
      </c>
      <c r="H505" s="8" t="n">
        <v>1</v>
      </c>
      <c r="I505" s="8" t="n">
        <v>1</v>
      </c>
      <c r="J505" s="8" t="n">
        <v>0</v>
      </c>
      <c r="K505" s="8" t="n">
        <v>0</v>
      </c>
      <c r="L505" s="8" t="n">
        <v>0</v>
      </c>
      <c r="M505" s="8" t="n">
        <v>2</v>
      </c>
      <c r="N505" s="8" t="n">
        <v>0</v>
      </c>
      <c r="O505" s="8" t="n">
        <v>1</v>
      </c>
      <c r="P505" s="8" t="n">
        <v>1</v>
      </c>
      <c r="Q505" s="8" t="n">
        <v>0</v>
      </c>
      <c r="R505" s="8" t="n">
        <v>2</v>
      </c>
      <c r="S505" s="8" t="n">
        <v>0</v>
      </c>
      <c r="T505" s="8" t="n">
        <v>1</v>
      </c>
      <c r="U505" s="8" t="n">
        <v>0</v>
      </c>
      <c r="V505" s="8" t="n">
        <v>0</v>
      </c>
      <c r="W505" s="8" t="n">
        <v>0</v>
      </c>
      <c r="X505" s="8" t="n">
        <v>0</v>
      </c>
      <c r="Y505" s="8" t="inlineStr">
        <is>
          <t>K_L T1 play #1; walks T3 play #24 and T5 play #42; SB T6 embedded in #3 AB play #55; single T6 play #54; scores T5 on #12 double play #44; scores T6 on #3 single play #55; incomplete AB T7 not counted (Flag #4)</t>
        </is>
      </c>
    </row>
    <row r="506" ht="15.75" customHeight="1" s="35">
      <c r="A506" s="8" t="inlineStr">
        <is>
          <t>2026-03-14_KNTS_at_HNTN</t>
        </is>
      </c>
      <c r="B506" s="2" t="n">
        <v>46095</v>
      </c>
      <c r="C506" s="8" t="inlineStr">
        <is>
          <t>Huntingtown Varsity Hurricanes</t>
        </is>
      </c>
      <c r="D506" s="8" t="inlineStr">
        <is>
          <t>KNTS</t>
        </is>
      </c>
      <c r="E506" s="8" t="inlineStr">
        <is>
          <t>KNTS_#8</t>
        </is>
      </c>
      <c r="F506" s="8" t="n">
        <v>3</v>
      </c>
      <c r="G506" s="8" t="n">
        <v>3</v>
      </c>
      <c r="H506" s="8" t="n">
        <v>1</v>
      </c>
      <c r="I506" s="8" t="n">
        <v>1</v>
      </c>
      <c r="J506" s="8" t="n">
        <v>0</v>
      </c>
      <c r="K506" s="8" t="n">
        <v>0</v>
      </c>
      <c r="L506" s="8" t="n">
        <v>0</v>
      </c>
      <c r="M506" s="8" t="n">
        <v>0</v>
      </c>
      <c r="N506" s="8" t="n">
        <v>0</v>
      </c>
      <c r="O506" s="8" t="n">
        <v>0</v>
      </c>
      <c r="P506" s="8" t="n">
        <v>0</v>
      </c>
      <c r="Q506" s="8" t="n">
        <v>0</v>
      </c>
      <c r="R506" s="8" t="n">
        <v>0</v>
      </c>
      <c r="S506" s="8" t="n">
        <v>0</v>
      </c>
      <c r="T506" s="8" t="n">
        <v>0</v>
      </c>
      <c r="U506" s="8" t="n">
        <v>0</v>
      </c>
      <c r="V506" s="8" t="n">
        <v>0</v>
      </c>
      <c r="W506" s="8" t="n">
        <v>0</v>
      </c>
      <c r="X506" s="8" t="n">
        <v>0</v>
      </c>
      <c r="Y506" s="8" t="inlineStr">
        <is>
          <t>Single T3 play #22; out at home on Runner Out play #26 (pickoff attempt at 1st, unusual mechanism — Flags #9, #10); replaced by KNTS_#2 PH T6 play #60</t>
        </is>
      </c>
    </row>
    <row r="507" ht="15.75" customHeight="1" s="35">
      <c r="A507" s="8" t="inlineStr">
        <is>
          <t>2026-03-14_KNTS_at_HNTN</t>
        </is>
      </c>
      <c r="B507" s="2" t="n">
        <v>46095</v>
      </c>
      <c r="C507" s="8" t="inlineStr">
        <is>
          <t>Huntingtown Varsity Hurricanes</t>
        </is>
      </c>
      <c r="D507" s="8" t="inlineStr">
        <is>
          <t>KNTS</t>
        </is>
      </c>
      <c r="E507" s="8" t="inlineStr">
        <is>
          <t>KNTS_#9</t>
        </is>
      </c>
      <c r="F507" s="8" t="n">
        <v>4</v>
      </c>
      <c r="G507" s="8" t="n">
        <v>3</v>
      </c>
      <c r="H507" s="8" t="n">
        <v>0</v>
      </c>
      <c r="I507" s="8" t="n">
        <v>0</v>
      </c>
      <c r="J507" s="8" t="n">
        <v>0</v>
      </c>
      <c r="K507" s="8" t="n">
        <v>0</v>
      </c>
      <c r="L507" s="8" t="n">
        <v>0</v>
      </c>
      <c r="M507" s="8" t="n">
        <v>0</v>
      </c>
      <c r="N507" s="8" t="n">
        <v>1</v>
      </c>
      <c r="O507" s="8" t="n">
        <v>0</v>
      </c>
      <c r="P507" s="8" t="n">
        <v>0</v>
      </c>
      <c r="Q507" s="8" t="n">
        <v>0</v>
      </c>
      <c r="R507" s="8" t="n">
        <v>0</v>
      </c>
      <c r="S507" s="8" t="n">
        <v>1</v>
      </c>
      <c r="T507" s="8" t="n">
        <v>0</v>
      </c>
      <c r="U507" s="8" t="n">
        <v>0</v>
      </c>
      <c r="V507" s="8" t="n">
        <v>0</v>
      </c>
      <c r="W507" s="8" t="n">
        <v>0</v>
      </c>
      <c r="X507" s="8" t="n">
        <v>1</v>
      </c>
      <c r="Y507" s="8" t="inlineStr">
        <is>
          <t>HBP T5 play #47; FC T6 play #59 scores #17 (1 RBI); reaches on HNTN error T4 play #35 (no H); base state inconsistency T6 plays #59–61 (Flag #8)</t>
        </is>
      </c>
    </row>
    <row r="508" ht="15.75" customHeight="1" s="35">
      <c r="A508" s="8" t="inlineStr">
        <is>
          <t>2026-03-14_KNTS_at_HNTN</t>
        </is>
      </c>
      <c r="B508" s="2" t="n">
        <v>46095</v>
      </c>
      <c r="C508" s="8" t="inlineStr">
        <is>
          <t>Huntingtown Varsity Hurricanes</t>
        </is>
      </c>
      <c r="D508" s="8" t="inlineStr">
        <is>
          <t>KNTS</t>
        </is>
      </c>
      <c r="E508" s="8" t="inlineStr">
        <is>
          <t>KNTS_#11</t>
        </is>
      </c>
      <c r="F508" s="8" t="n">
        <v>4</v>
      </c>
      <c r="G508" s="8" t="n">
        <v>4</v>
      </c>
      <c r="H508" s="8" t="n">
        <v>2</v>
      </c>
      <c r="I508" s="8" t="n">
        <v>2</v>
      </c>
      <c r="J508" s="8" t="n">
        <v>0</v>
      </c>
      <c r="K508" s="8" t="n">
        <v>0</v>
      </c>
      <c r="L508" s="8" t="n">
        <v>0</v>
      </c>
      <c r="M508" s="8" t="n">
        <v>0</v>
      </c>
      <c r="N508" s="8" t="n">
        <v>0</v>
      </c>
      <c r="O508" s="8" t="n">
        <v>1</v>
      </c>
      <c r="P508" s="8" t="n">
        <v>1</v>
      </c>
      <c r="Q508" s="8" t="n">
        <v>0</v>
      </c>
      <c r="R508" s="8" t="n">
        <v>1</v>
      </c>
      <c r="S508" s="8" t="n">
        <v>2</v>
      </c>
      <c r="T508" s="8" t="n">
        <v>0</v>
      </c>
      <c r="U508" s="8" t="n">
        <v>0</v>
      </c>
      <c r="V508" s="8" t="n">
        <v>0</v>
      </c>
      <c r="W508" s="8" t="n">
        <v>0</v>
      </c>
      <c r="X508" s="8" t="n">
        <v>0</v>
      </c>
      <c r="Y508" s="8" t="inlineStr">
        <is>
          <t>K_L T4 play #34 (description says 'looking' — consistent); single T5 play #46; single T6 play #58 scores #12 and #3 (2 RBI); scores T5 on PB during #8 GO play #49; embedded pickoff attempt at 1st play #59 pitch sequence — ambiguous outcome, not counted as out per outs counter (Flag #7)</t>
        </is>
      </c>
    </row>
    <row r="509" ht="15.75" customHeight="1" s="35">
      <c r="A509" s="8" t="inlineStr">
        <is>
          <t>2026-03-14_KNTS_at_HNTN</t>
        </is>
      </c>
      <c r="B509" s="2" t="n">
        <v>46095</v>
      </c>
      <c r="C509" s="8" t="inlineStr">
        <is>
          <t>Huntingtown Varsity Hurricanes</t>
        </is>
      </c>
      <c r="D509" s="8" t="inlineStr">
        <is>
          <t>KNTS</t>
        </is>
      </c>
      <c r="E509" s="8" t="inlineStr">
        <is>
          <t>KNTS_#12</t>
        </is>
      </c>
      <c r="F509" s="8" t="n">
        <v>4</v>
      </c>
      <c r="G509" s="8" t="n">
        <v>3</v>
      </c>
      <c r="H509" s="8" t="n">
        <v>1</v>
      </c>
      <c r="I509" s="8" t="n">
        <v>0</v>
      </c>
      <c r="J509" s="8" t="n">
        <v>1</v>
      </c>
      <c r="K509" s="8" t="n">
        <v>0</v>
      </c>
      <c r="L509" s="8" t="n">
        <v>0</v>
      </c>
      <c r="M509" s="8" t="n">
        <v>0</v>
      </c>
      <c r="N509" s="8" t="n">
        <v>1</v>
      </c>
      <c r="O509" s="8" t="n">
        <v>1</v>
      </c>
      <c r="P509" s="8" t="n">
        <v>1</v>
      </c>
      <c r="Q509" s="8" t="n">
        <v>0</v>
      </c>
      <c r="R509" s="8" t="n">
        <v>2</v>
      </c>
      <c r="S509" s="8" t="n">
        <v>2</v>
      </c>
      <c r="T509" s="8" t="n">
        <v>0</v>
      </c>
      <c r="U509" s="8" t="n">
        <v>0</v>
      </c>
      <c r="V509" s="8" t="n">
        <v>0</v>
      </c>
      <c r="W509" s="8" t="n">
        <v>0</v>
      </c>
      <c r="X509" s="8" t="n">
        <v>0</v>
      </c>
      <c r="Y509" s="8" t="inlineStr">
        <is>
          <t>2B T5 play #44 scores #7 and #13 (2 RBI); HBP T6 play #56; K_L per Section 4 pitch sequence play #32 — description says 'swinging,' Section 4 final pitch 'Strike 3 looking' (K_L recorded per Section 4); scores T5 on PB during #17 walk play #45; scores T6 on #11 single play #58</t>
        </is>
      </c>
    </row>
    <row r="510" ht="15.75" customHeight="1" s="35">
      <c r="A510" s="8" t="inlineStr">
        <is>
          <t>2026-03-14_KNTS_at_HNTN</t>
        </is>
      </c>
      <c r="B510" s="2" t="n">
        <v>46095</v>
      </c>
      <c r="C510" s="8" t="inlineStr">
        <is>
          <t>Huntingtown Varsity Hurricanes</t>
        </is>
      </c>
      <c r="D510" s="8" t="inlineStr">
        <is>
          <t>KNTS</t>
        </is>
      </c>
      <c r="E510" s="8" t="inlineStr">
        <is>
          <t>KNTS_#13</t>
        </is>
      </c>
      <c r="F510" s="8" t="n">
        <v>4</v>
      </c>
      <c r="G510" s="8" t="n">
        <v>3</v>
      </c>
      <c r="H510" s="8" t="n">
        <v>1</v>
      </c>
      <c r="I510" s="8" t="n">
        <v>0</v>
      </c>
      <c r="J510" s="8" t="n">
        <v>1</v>
      </c>
      <c r="K510" s="8" t="n">
        <v>0</v>
      </c>
      <c r="L510" s="8" t="n">
        <v>0</v>
      </c>
      <c r="M510" s="8" t="n">
        <v>1</v>
      </c>
      <c r="N510" s="8" t="n">
        <v>0</v>
      </c>
      <c r="O510" s="8" t="n">
        <v>0</v>
      </c>
      <c r="P510" s="8" t="n">
        <v>0</v>
      </c>
      <c r="Q510" s="8" t="n">
        <v>0</v>
      </c>
      <c r="R510" s="8" t="n">
        <v>2</v>
      </c>
      <c r="S510" s="8" t="n">
        <v>0</v>
      </c>
      <c r="T510" s="8" t="n">
        <v>0</v>
      </c>
      <c r="U510" s="8" t="n">
        <v>0</v>
      </c>
      <c r="V510" s="8" t="n">
        <v>0</v>
      </c>
      <c r="W510" s="8" t="n">
        <v>0</v>
      </c>
      <c r="X510" s="8" t="n">
        <v>0</v>
      </c>
      <c r="Y510" s="8" t="inlineStr">
        <is>
          <t>Walk T5 play #41; advances to 2nd on WP embedded in #7 walk play #42; 2B T6 play #53; scores T5 on #12 double play #44; scores T6 on #3 single play #55</t>
        </is>
      </c>
    </row>
    <row r="511" ht="15.75" customHeight="1" s="35">
      <c r="A511" s="8" t="inlineStr">
        <is>
          <t>2026-03-14_KNTS_at_HNTN</t>
        </is>
      </c>
      <c r="B511" s="2" t="n">
        <v>46095</v>
      </c>
      <c r="C511" s="8" t="inlineStr">
        <is>
          <t>Huntingtown Varsity Hurricanes</t>
        </is>
      </c>
      <c r="D511" s="8" t="inlineStr">
        <is>
          <t>KNTS</t>
        </is>
      </c>
      <c r="E511" s="8" t="inlineStr">
        <is>
          <t>KNTS_#14</t>
        </is>
      </c>
      <c r="F511" s="8" t="n">
        <v>4</v>
      </c>
      <c r="G511" s="8" t="n">
        <v>3</v>
      </c>
      <c r="H511" s="8" t="n">
        <v>1</v>
      </c>
      <c r="I511" s="8" t="n">
        <v>1</v>
      </c>
      <c r="J511" s="8" t="n">
        <v>0</v>
      </c>
      <c r="K511" s="8" t="n">
        <v>0</v>
      </c>
      <c r="L511" s="8" t="n">
        <v>0</v>
      </c>
      <c r="M511" s="8" t="n">
        <v>1</v>
      </c>
      <c r="N511" s="8" t="n">
        <v>0</v>
      </c>
      <c r="O511" s="8" t="n">
        <v>0</v>
      </c>
      <c r="P511" s="8" t="n">
        <v>0</v>
      </c>
      <c r="Q511" s="8" t="n">
        <v>0</v>
      </c>
      <c r="R511" s="8" t="n">
        <v>1</v>
      </c>
      <c r="S511" s="8" t="n">
        <v>1</v>
      </c>
      <c r="T511" s="8" t="n">
        <v>0</v>
      </c>
      <c r="U511" s="8" t="n">
        <v>0</v>
      </c>
      <c r="V511" s="8" t="n">
        <v>0</v>
      </c>
      <c r="W511" s="8" t="n">
        <v>0</v>
      </c>
      <c r="X511" s="8" t="n">
        <v>0</v>
      </c>
      <c r="Y511" s="8" t="inlineStr">
        <is>
          <t>Single T3 play #21; GO T4 play #36; walk T5 play #48 (bases loaded, forces in #17) = 1 RBI; GO T6 play #61; scores T3 on #3 FC play #25</t>
        </is>
      </c>
    </row>
    <row r="512" ht="15.75" customHeight="1" s="35">
      <c r="A512" s="8" t="inlineStr">
        <is>
          <t>2026-03-14_KNTS_at_HNTN</t>
        </is>
      </c>
      <c r="B512" s="2" t="n">
        <v>46095</v>
      </c>
      <c r="C512" s="8" t="inlineStr">
        <is>
          <t>Huntingtown Varsity Hurricanes</t>
        </is>
      </c>
      <c r="D512" s="8" t="inlineStr">
        <is>
          <t>KNTS</t>
        </is>
      </c>
      <c r="E512" s="8" t="inlineStr">
        <is>
          <t>KNTS_#17</t>
        </is>
      </c>
      <c r="F512" s="8" t="n">
        <v>4</v>
      </c>
      <c r="G512" s="8" t="n">
        <v>2</v>
      </c>
      <c r="H512" s="8" t="n">
        <v>1</v>
      </c>
      <c r="I512" s="8" t="n">
        <v>1</v>
      </c>
      <c r="J512" s="8" t="n">
        <v>0</v>
      </c>
      <c r="K512" s="8" t="n">
        <v>0</v>
      </c>
      <c r="L512" s="8" t="n">
        <v>0</v>
      </c>
      <c r="M512" s="8" t="n">
        <v>1</v>
      </c>
      <c r="N512" s="8" t="n">
        <v>1</v>
      </c>
      <c r="O512" s="8" t="n">
        <v>0</v>
      </c>
      <c r="P512" s="8" t="n">
        <v>0</v>
      </c>
      <c r="Q512" s="8" t="n">
        <v>0</v>
      </c>
      <c r="R512" s="8" t="n">
        <v>2</v>
      </c>
      <c r="S512" s="8" t="n">
        <v>0</v>
      </c>
      <c r="T512" s="8" t="n">
        <v>0</v>
      </c>
      <c r="U512" s="8" t="n">
        <v>0</v>
      </c>
      <c r="V512" s="8" t="n">
        <v>0</v>
      </c>
      <c r="W512" s="8" t="n">
        <v>0</v>
      </c>
      <c r="X512" s="8" t="n">
        <v>0</v>
      </c>
      <c r="Y512" s="8" t="inlineStr">
        <is>
          <t>GO T2 play #12; single T4 play #33; walk T5 play #45 (PB during AB — #12 scores, not WP); HBP T6 play #57; scores T5 forced home on #14 walk play #48; scores T6 on #9 FC play #59; also pitches B1 partial through B2 (KNTS pitcher)</t>
        </is>
      </c>
    </row>
    <row r="513" ht="15.75" customHeight="1" s="35">
      <c r="A513" s="8" t="inlineStr">
        <is>
          <t>2026-03-14_HNTN_at_SRVR</t>
        </is>
      </c>
      <c r="B513" s="2" t="n">
        <v>46095</v>
      </c>
      <c r="C513" s="8" t="inlineStr">
        <is>
          <t>South River Varsity Seahawks</t>
        </is>
      </c>
      <c r="D513" s="8" t="inlineStr">
        <is>
          <t>HNTN</t>
        </is>
      </c>
      <c r="E513" s="8" t="inlineStr">
        <is>
          <t>R Bolger</t>
        </is>
      </c>
      <c r="F513" s="8" t="n">
        <v>5</v>
      </c>
      <c r="G513" s="8" t="n">
        <v>5</v>
      </c>
      <c r="H513" s="8" t="n">
        <v>2</v>
      </c>
      <c r="I513" s="8" t="n">
        <v>1</v>
      </c>
      <c r="J513" s="8" t="n">
        <v>1</v>
      </c>
      <c r="K513" s="8" t="n">
        <v>0</v>
      </c>
      <c r="L513" s="8" t="n">
        <v>0</v>
      </c>
      <c r="M513" s="8" t="n">
        <v>0</v>
      </c>
      <c r="N513" s="8" t="n">
        <v>0</v>
      </c>
      <c r="O513" s="8" t="n">
        <v>0</v>
      </c>
      <c r="P513" s="8" t="n">
        <v>0</v>
      </c>
      <c r="Q513" s="8" t="n">
        <v>0</v>
      </c>
      <c r="R513" s="8" t="n">
        <v>3</v>
      </c>
      <c r="S513" s="8" t="n">
        <v>3</v>
      </c>
      <c r="T513" s="8" t="n">
        <v>0</v>
      </c>
      <c r="U513" s="8" t="n">
        <v>0</v>
      </c>
      <c r="V513" s="8" t="n">
        <v>0</v>
      </c>
      <c r="W513" s="8" t="n">
        <v>0</v>
      </c>
      <c r="X513" s="8" t="n">
        <v>0</v>
      </c>
      <c r="Y513" s="8" t="inlineStr">
        <is>
          <t>2B T3 play #19 scores J Laur (1 RBI); 1B T4 play #32 scores R Kessler and C Wargo (2 RBI); errors (reaches on error T6 play #51, T7 play #65 — no RBI on errors); CR L Bennett T4 play #33 — L Bennett out at home DP play #35, no R for R Bolger T4; CR G Grimes T6 play #52 — G Grimes R credited to R Bolger; CR J Fields T7 play #66 — J Fields R credited to R Bolger (play #69)</t>
        </is>
      </c>
    </row>
    <row r="514" ht="15.75" customHeight="1" s="35">
      <c r="A514" s="8" t="inlineStr">
        <is>
          <t>2026-03-14_HNTN_at_SRVR</t>
        </is>
      </c>
      <c r="B514" s="2" t="n">
        <v>46095</v>
      </c>
      <c r="C514" s="8" t="inlineStr">
        <is>
          <t>South River Varsity Seahawks</t>
        </is>
      </c>
      <c r="D514" s="8" t="inlineStr">
        <is>
          <t>HNTN</t>
        </is>
      </c>
      <c r="E514" s="8" t="inlineStr">
        <is>
          <t>J Hann</t>
        </is>
      </c>
      <c r="F514" s="8" t="n">
        <v>4</v>
      </c>
      <c r="G514" s="8" t="n">
        <v>4</v>
      </c>
      <c r="H514" s="8" t="n">
        <v>3</v>
      </c>
      <c r="I514" s="8" t="n">
        <v>3</v>
      </c>
      <c r="J514" s="8" t="n">
        <v>0</v>
      </c>
      <c r="K514" s="8" t="n">
        <v>0</v>
      </c>
      <c r="L514" s="8" t="n">
        <v>0</v>
      </c>
      <c r="M514" s="8" t="n">
        <v>0</v>
      </c>
      <c r="N514" s="8" t="n">
        <v>0</v>
      </c>
      <c r="O514" s="8" t="n">
        <v>0</v>
      </c>
      <c r="P514" s="8" t="n">
        <v>0</v>
      </c>
      <c r="Q514" s="8" t="n">
        <v>0</v>
      </c>
      <c r="R514" s="8" t="n">
        <v>2</v>
      </c>
      <c r="S514" s="8" t="n">
        <v>2</v>
      </c>
      <c r="T514" s="8" t="n">
        <v>4</v>
      </c>
      <c r="U514" s="8" t="n">
        <v>0</v>
      </c>
      <c r="V514" s="8" t="n">
        <v>0</v>
      </c>
      <c r="W514" s="8" t="n">
        <v>0</v>
      </c>
      <c r="X514" s="8" t="n">
        <v>0</v>
      </c>
      <c r="Y514" s="8" t="inlineStr">
        <is>
          <t>1B T3 play #20 scores R Bolger (1 RBI); 1B T6 play #52 scores G Grimes (CR-R Bolger, 1 RBI); SBs: 2nd T3 play #21, 3rd T3 play #22, 2nd T4 play #34, 3rd T6 play #55; scores T3 via tag-up on R Gaetano PO play #22 (no RBI for R Gaetano — PO outcome, not SAC fly); scores T6 on N McMurray single play #55 — mechanism ambiguous (Flag #13); mid-AB substitution by T Burghard T7 play #66 — T Burghard gets that PA (Flag #7)</t>
        </is>
      </c>
    </row>
    <row r="515" ht="15.75" customHeight="1" s="35">
      <c r="A515" s="8" t="inlineStr">
        <is>
          <t>2026-03-14_HNTN_at_SRVR</t>
        </is>
      </c>
      <c r="B515" s="2" t="n">
        <v>46095</v>
      </c>
      <c r="C515" s="8" t="inlineStr">
        <is>
          <t>South River Varsity Seahawks</t>
        </is>
      </c>
      <c r="D515" s="8" t="inlineStr">
        <is>
          <t>HNTN</t>
        </is>
      </c>
      <c r="E515" s="8" t="inlineStr">
        <is>
          <t>J Cadden</t>
        </is>
      </c>
      <c r="F515" s="8" t="n">
        <v>4</v>
      </c>
      <c r="G515" s="8" t="n">
        <v>2</v>
      </c>
      <c r="H515" s="8" t="n">
        <v>1</v>
      </c>
      <c r="I515" s="8" t="n">
        <v>1</v>
      </c>
      <c r="J515" s="8" t="n">
        <v>0</v>
      </c>
      <c r="K515" s="8" t="n">
        <v>0</v>
      </c>
      <c r="L515" s="8" t="n">
        <v>0</v>
      </c>
      <c r="M515" s="8" t="n">
        <v>1</v>
      </c>
      <c r="N515" s="8" t="n">
        <v>1</v>
      </c>
      <c r="O515" s="8" t="n">
        <v>1</v>
      </c>
      <c r="P515" s="8" t="n">
        <v>0</v>
      </c>
      <c r="Q515" s="8" t="n">
        <v>1</v>
      </c>
      <c r="R515" s="8" t="n">
        <v>1</v>
      </c>
      <c r="S515" s="8" t="n">
        <v>0</v>
      </c>
      <c r="T515" s="8" t="n">
        <v>1</v>
      </c>
      <c r="U515" s="8" t="n">
        <v>0</v>
      </c>
      <c r="V515" s="8" t="n">
        <v>0</v>
      </c>
      <c r="W515" s="8" t="n">
        <v>0</v>
      </c>
      <c r="X515" s="8" t="n">
        <v>0</v>
      </c>
      <c r="Y515" s="8" t="inlineStr">
        <is>
          <t>K_S T1 play #3; walk T3 play #21; HBP T4 play #34; 1B T6 play #53; SB 2nd T3 embedded in N McMurray AB play #23; CR J Fields in T6 play #54 — J Fields R credited to J Cadden (play #55); replaced by G Grimes PH T7 play #67; also pitches B6</t>
        </is>
      </c>
    </row>
    <row r="516" ht="15.75" customHeight="1" s="35">
      <c r="A516" s="8" t="inlineStr">
        <is>
          <t>2026-03-14_HNTN_at_SRVR</t>
        </is>
      </c>
      <c r="B516" s="2" t="n">
        <v>46095</v>
      </c>
      <c r="C516" s="8" t="inlineStr">
        <is>
          <t>South River Varsity Seahawks</t>
        </is>
      </c>
      <c r="D516" s="8" t="inlineStr">
        <is>
          <t>HNTN</t>
        </is>
      </c>
      <c r="E516" s="8" t="inlineStr">
        <is>
          <t>R Gaetano</t>
        </is>
      </c>
      <c r="F516" s="8" t="n">
        <v>3</v>
      </c>
      <c r="G516" s="8" t="n">
        <v>3</v>
      </c>
      <c r="H516" s="8" t="n">
        <v>1</v>
      </c>
      <c r="I516" s="8" t="n">
        <v>1</v>
      </c>
      <c r="J516" s="8" t="n">
        <v>0</v>
      </c>
      <c r="K516" s="8" t="n">
        <v>0</v>
      </c>
      <c r="L516" s="8" t="n">
        <v>0</v>
      </c>
      <c r="M516" s="8" t="n">
        <v>0</v>
      </c>
      <c r="N516" s="8" t="n">
        <v>0</v>
      </c>
      <c r="O516" s="8" t="n">
        <v>0</v>
      </c>
      <c r="P516" s="8" t="n">
        <v>0</v>
      </c>
      <c r="Q516" s="8" t="n">
        <v>0</v>
      </c>
      <c r="R516" s="8" t="n">
        <v>0</v>
      </c>
      <c r="S516" s="8" t="n">
        <v>0</v>
      </c>
      <c r="T516" s="8" t="n">
        <v>1</v>
      </c>
      <c r="U516" s="8" t="n">
        <v>0</v>
      </c>
      <c r="V516" s="8" t="n">
        <v>1</v>
      </c>
      <c r="W516" s="8" t="n">
        <v>0</v>
      </c>
      <c r="X516" s="8" t="n">
        <v>0</v>
      </c>
      <c r="Y516" s="8" t="inlineStr">
        <is>
          <t>1B T2 play #10; PO T3 play #22 — J Hann scores via tag-up (PO outcome, no RBI, no SAC fly designation); DP T4 play #35 (unusual: L Bennett out at home + R Gaetano batter — Flag #8); replaced by B Robbins PH T6 play #54</t>
        </is>
      </c>
    </row>
    <row r="517" ht="15.75" customHeight="1" s="35">
      <c r="A517" s="8" t="inlineStr">
        <is>
          <t>2026-03-14_HNTN_at_SRVR</t>
        </is>
      </c>
      <c r="B517" s="2" t="n">
        <v>46095</v>
      </c>
      <c r="C517" s="8" t="inlineStr">
        <is>
          <t>South River Varsity Seahawks</t>
        </is>
      </c>
      <c r="D517" s="8" t="inlineStr">
        <is>
          <t>HNTN</t>
        </is>
      </c>
      <c r="E517" s="8" t="inlineStr">
        <is>
          <t>N McMurray</t>
        </is>
      </c>
      <c r="F517" s="8" t="n">
        <v>5</v>
      </c>
      <c r="G517" s="8" t="n">
        <v>5</v>
      </c>
      <c r="H517" s="8" t="n">
        <v>3</v>
      </c>
      <c r="I517" s="8" t="n">
        <v>3</v>
      </c>
      <c r="J517" s="8" t="n">
        <v>0</v>
      </c>
      <c r="K517" s="8" t="n">
        <v>0</v>
      </c>
      <c r="L517" s="8" t="n">
        <v>0</v>
      </c>
      <c r="M517" s="8" t="n">
        <v>0</v>
      </c>
      <c r="N517" s="8" t="n">
        <v>0</v>
      </c>
      <c r="O517" s="8" t="n">
        <v>1</v>
      </c>
      <c r="P517" s="8" t="n">
        <v>1</v>
      </c>
      <c r="Q517" s="8" t="n">
        <v>0</v>
      </c>
      <c r="R517" s="8" t="n">
        <v>2</v>
      </c>
      <c r="S517" s="8" t="n">
        <v>2</v>
      </c>
      <c r="T517" s="8" t="n">
        <v>2</v>
      </c>
      <c r="U517" s="8" t="n">
        <v>0</v>
      </c>
      <c r="V517" s="8" t="n">
        <v>0</v>
      </c>
      <c r="W517" s="8" t="n">
        <v>0</v>
      </c>
      <c r="X517" s="8" t="n">
        <v>0</v>
      </c>
      <c r="Y517" s="8" t="inlineStr">
        <is>
          <t>K_L T2 play #11; SBs: 2nd and 3rd T5 embedded in J Walter AB play #41; 1B T5 play #40 (scores T5 via J Fields GO play #42); 1B T6 play #55 scores J Fields (CR-J Cadden = 1 RBI) — J Hann's run on same play ambiguous, no RBI awarded (Flag #13); 1B T7 play #69 scores J Fields (CR-R Bolger = 1 RBI); also pitches B1–B3</t>
        </is>
      </c>
    </row>
    <row r="518" ht="15.75" customHeight="1" s="35">
      <c r="A518" s="8" t="inlineStr">
        <is>
          <t>2026-03-14_HNTN_at_SRVR</t>
        </is>
      </c>
      <c r="B518" s="2" t="n">
        <v>46095</v>
      </c>
      <c r="C518" s="8" t="inlineStr">
        <is>
          <t>South River Varsity Seahawks</t>
        </is>
      </c>
      <c r="D518" s="8" t="inlineStr">
        <is>
          <t>HNTN</t>
        </is>
      </c>
      <c r="E518" s="8" t="inlineStr">
        <is>
          <t>J Walter</t>
        </is>
      </c>
      <c r="F518" s="8" t="n">
        <v>3</v>
      </c>
      <c r="G518" s="8" t="n">
        <v>3</v>
      </c>
      <c r="H518" s="8" t="n">
        <v>1</v>
      </c>
      <c r="I518" s="8" t="n">
        <v>1</v>
      </c>
      <c r="J518" s="8" t="n">
        <v>0</v>
      </c>
      <c r="K518" s="8" t="n">
        <v>0</v>
      </c>
      <c r="L518" s="8" t="n">
        <v>0</v>
      </c>
      <c r="M518" s="8" t="n">
        <v>0</v>
      </c>
      <c r="N518" s="8" t="n">
        <v>0</v>
      </c>
      <c r="O518" s="8" t="n">
        <v>1</v>
      </c>
      <c r="P518" s="8" t="n">
        <v>0</v>
      </c>
      <c r="Q518" s="8" t="n">
        <v>1</v>
      </c>
      <c r="R518" s="8" t="n">
        <v>1</v>
      </c>
      <c r="S518" s="8" t="n">
        <v>0</v>
      </c>
      <c r="T518" s="8" t="n">
        <v>2</v>
      </c>
      <c r="U518" s="8" t="n">
        <v>0</v>
      </c>
      <c r="V518" s="8" t="n">
        <v>0</v>
      </c>
      <c r="W518" s="8" t="n">
        <v>0</v>
      </c>
      <c r="X518" s="8" t="n">
        <v>0</v>
      </c>
      <c r="Y518" s="8" t="inlineStr">
        <is>
          <t>1B T4 play #28; K_L T5 play #41; SBs: 2nd T4 embedded in C Wargo AB play #30, 3rd T4 embedded in R Kessler AB play #31; scores T4 on SRVR SS error embedded in R Kessler AB play #31 (no RBI for R Kessler); replaced by L Montgomery PH T6 play #56</t>
        </is>
      </c>
    </row>
    <row r="519" ht="15.75" customHeight="1" s="35">
      <c r="A519" s="8" t="inlineStr">
        <is>
          <t>2026-03-14_HNTN_at_SRVR</t>
        </is>
      </c>
      <c r="B519" s="2" t="n">
        <v>46095</v>
      </c>
      <c r="C519" s="8" t="inlineStr">
        <is>
          <t>South River Varsity Seahawks</t>
        </is>
      </c>
      <c r="D519" s="8" t="inlineStr">
        <is>
          <t>HNTN</t>
        </is>
      </c>
      <c r="E519" s="8" t="inlineStr">
        <is>
          <t>J Fields</t>
        </is>
      </c>
      <c r="F519" s="8" t="n">
        <v>3</v>
      </c>
      <c r="G519" s="8" t="n">
        <v>3</v>
      </c>
      <c r="H519" s="8" t="n">
        <v>0</v>
      </c>
      <c r="I519" s="8" t="n">
        <v>0</v>
      </c>
      <c r="J519" s="8" t="n">
        <v>0</v>
      </c>
      <c r="K519" s="8" t="n">
        <v>0</v>
      </c>
      <c r="L519" s="8" t="n">
        <v>0</v>
      </c>
      <c r="M519" s="8" t="n">
        <v>0</v>
      </c>
      <c r="N519" s="8" t="n">
        <v>0</v>
      </c>
      <c r="O519" s="8" t="n">
        <v>1</v>
      </c>
      <c r="P519" s="8" t="n">
        <v>0</v>
      </c>
      <c r="Q519" s="8" t="n">
        <v>1</v>
      </c>
      <c r="R519" s="8" t="n">
        <v>0</v>
      </c>
      <c r="S519" s="8" t="n">
        <v>1</v>
      </c>
      <c r="T519" s="8" t="n">
        <v>0</v>
      </c>
      <c r="U519" s="8" t="n">
        <v>0</v>
      </c>
      <c r="V519" s="8" t="n">
        <v>0</v>
      </c>
      <c r="W519" s="8" t="n">
        <v>0</v>
      </c>
      <c r="X519" s="8" t="n">
        <v>0</v>
      </c>
      <c r="Y519" s="8" t="inlineStr">
        <is>
          <t>K_S T2 play #13; PO T4 play #29; GO T5 play #42 scores N McMurray (1 RBI); CR for J Cadden T6 play #54 and CR for R Bolger T7 play #66 — runs as CR credited to J Cadden (play #55) and R Bolger (play #69); replaced by E Elliott PH T6 play #57</t>
        </is>
      </c>
    </row>
    <row r="520" ht="15.75" customHeight="1" s="35">
      <c r="A520" s="8" t="inlineStr">
        <is>
          <t>2026-03-14_HNTN_at_SRVR</t>
        </is>
      </c>
      <c r="B520" s="2" t="n">
        <v>46095</v>
      </c>
      <c r="C520" s="8" t="inlineStr">
        <is>
          <t>South River Varsity Seahawks</t>
        </is>
      </c>
      <c r="D520" s="8" t="inlineStr">
        <is>
          <t>HNTN</t>
        </is>
      </c>
      <c r="E520" s="8" t="inlineStr">
        <is>
          <t>C Wargo</t>
        </is>
      </c>
      <c r="F520" s="8" t="n">
        <v>3</v>
      </c>
      <c r="G520" s="8" t="n">
        <v>2</v>
      </c>
      <c r="H520" s="8" t="n">
        <v>0</v>
      </c>
      <c r="I520" s="8" t="n">
        <v>0</v>
      </c>
      <c r="J520" s="8" t="n">
        <v>0</v>
      </c>
      <c r="K520" s="8" t="n">
        <v>0</v>
      </c>
      <c r="L520" s="8" t="n">
        <v>0</v>
      </c>
      <c r="M520" s="8" t="n">
        <v>0</v>
      </c>
      <c r="N520" s="8" t="n">
        <v>1</v>
      </c>
      <c r="O520" s="8" t="n">
        <v>1</v>
      </c>
      <c r="P520" s="8" t="n">
        <v>0</v>
      </c>
      <c r="Q520" s="8" t="n">
        <v>1</v>
      </c>
      <c r="R520" s="8" t="n">
        <v>1</v>
      </c>
      <c r="S520" s="8" t="n">
        <v>0</v>
      </c>
      <c r="T520" s="8" t="n">
        <v>1</v>
      </c>
      <c r="U520" s="8" t="n">
        <v>1</v>
      </c>
      <c r="V520" s="8" t="n">
        <v>0</v>
      </c>
      <c r="W520" s="8" t="n">
        <v>0</v>
      </c>
      <c r="X520" s="8" t="n">
        <v>0</v>
      </c>
      <c r="Y520" s="8" t="inlineStr">
        <is>
          <t>K_S T3 play #17; reaches on SRVR 3B error T4 play #30 (no H); HBP T5 play #43; CS T5 play #44 (Runner Out — catcher unnamed, Flag #12); SB 2nd T4 embedded in R Kessler AB play #31; scores T4 on R Bolger single play #32; replaced by L Bennett PH T6 play #58</t>
        </is>
      </c>
    </row>
    <row r="521" ht="15.75" customHeight="1" s="35">
      <c r="A521" s="8" t="inlineStr">
        <is>
          <t>2026-03-14_HNTN_at_SRVR</t>
        </is>
      </c>
      <c r="B521" s="2" t="n">
        <v>46095</v>
      </c>
      <c r="C521" s="8" t="inlineStr">
        <is>
          <t>South River Varsity Seahawks</t>
        </is>
      </c>
      <c r="D521" s="8" t="inlineStr">
        <is>
          <t>HNTN</t>
        </is>
      </c>
      <c r="E521" s="8" t="inlineStr">
        <is>
          <t>R Kessler</t>
        </is>
      </c>
      <c r="F521" s="8" t="n">
        <v>1</v>
      </c>
      <c r="G521" s="8" t="n">
        <v>0</v>
      </c>
      <c r="H521" s="8" t="n">
        <v>0</v>
      </c>
      <c r="I521" s="8" t="n">
        <v>0</v>
      </c>
      <c r="J521" s="8" t="n">
        <v>0</v>
      </c>
      <c r="K521" s="8" t="n">
        <v>0</v>
      </c>
      <c r="L521" s="8" t="n">
        <v>0</v>
      </c>
      <c r="M521" s="8" t="n">
        <v>1</v>
      </c>
      <c r="N521" s="8" t="n">
        <v>0</v>
      </c>
      <c r="O521" s="8" t="n">
        <v>0</v>
      </c>
      <c r="P521" s="8" t="n">
        <v>0</v>
      </c>
      <c r="Q521" s="8" t="n">
        <v>0</v>
      </c>
      <c r="R521" s="8" t="n">
        <v>1</v>
      </c>
      <c r="S521" s="8" t="n">
        <v>0</v>
      </c>
      <c r="T521" s="8" t="n">
        <v>1</v>
      </c>
      <c r="U521" s="8" t="n">
        <v>0</v>
      </c>
      <c r="V521" s="8" t="n">
        <v>0</v>
      </c>
      <c r="W521" s="8" t="n">
        <v>0</v>
      </c>
      <c r="X521" s="8" t="n">
        <v>0</v>
      </c>
      <c r="Y521" s="8" t="inlineStr">
        <is>
          <t>Walk T4 play #31; SB 2nd T4 embedded in R Bolger AB play #32; scores T4 on R Bolger single play #32; replaced by J Laur PH T6 play #50 (Flag #6); also HNTN SS fielder</t>
        </is>
      </c>
    </row>
    <row r="522" ht="15.75" customHeight="1" s="35">
      <c r="A522" s="8" t="inlineStr">
        <is>
          <t>2026-03-14_HNTN_at_SRVR</t>
        </is>
      </c>
      <c r="B522" s="2" t="n">
        <v>46095</v>
      </c>
      <c r="C522" s="8" t="inlineStr">
        <is>
          <t>South River Varsity Seahawks</t>
        </is>
      </c>
      <c r="D522" s="8" t="inlineStr">
        <is>
          <t>HNTN</t>
        </is>
      </c>
      <c r="E522" s="8" t="inlineStr">
        <is>
          <t>J Laur</t>
        </is>
      </c>
      <c r="F522" s="8" t="n">
        <v>3</v>
      </c>
      <c r="G522" s="8" t="n">
        <v>3</v>
      </c>
      <c r="H522" s="8" t="n">
        <v>3</v>
      </c>
      <c r="I522" s="8" t="n">
        <v>3</v>
      </c>
      <c r="J522" s="8" t="n">
        <v>0</v>
      </c>
      <c r="K522" s="8" t="n">
        <v>0</v>
      </c>
      <c r="L522" s="8" t="n">
        <v>0</v>
      </c>
      <c r="M522" s="8" t="n">
        <v>0</v>
      </c>
      <c r="N522" s="8" t="n">
        <v>0</v>
      </c>
      <c r="O522" s="8" t="n">
        <v>0</v>
      </c>
      <c r="P522" s="8" t="n">
        <v>0</v>
      </c>
      <c r="Q522" s="8" t="n">
        <v>0</v>
      </c>
      <c r="R522" s="8" t="n">
        <v>3</v>
      </c>
      <c r="S522" s="8" t="n">
        <v>0</v>
      </c>
      <c r="T522" s="8" t="n">
        <v>2</v>
      </c>
      <c r="U522" s="8" t="n">
        <v>0</v>
      </c>
      <c r="V522" s="8" t="n">
        <v>0</v>
      </c>
      <c r="W522" s="8" t="n">
        <v>0</v>
      </c>
      <c r="X522" s="8" t="n">
        <v>0</v>
      </c>
      <c r="Y522" s="8" t="inlineStr">
        <is>
          <t>1B T3 play #18; 1B T6 play #50 (PH for R Kessler, Flag #6); 1B T7 play #64; SBs: 2nd T6 embedded in R Bolger AB play #51; 2nd T7 embedded in R Bolger AB play #65; scores T3 on R Bolger 2B play #19 (via PB advance to 2nd first); scores T6 on R Bolger error play #51; scores T7 on R Bolger error play #65; incomplete AB T8 not counted (Flag #4); also pitches B4–B5</t>
        </is>
      </c>
    </row>
    <row r="523" ht="15.75" customHeight="1" s="35">
      <c r="A523" s="8" t="inlineStr">
        <is>
          <t>2026-03-14_HNTN_at_SRVR</t>
        </is>
      </c>
      <c r="B523" s="2" t="n">
        <v>46095</v>
      </c>
      <c r="C523" s="8" t="inlineStr">
        <is>
          <t>South River Varsity Seahawks</t>
        </is>
      </c>
      <c r="D523" s="8" t="inlineStr">
        <is>
          <t>HNTN</t>
        </is>
      </c>
      <c r="E523" s="8" t="inlineStr">
        <is>
          <t>T Burghard</t>
        </is>
      </c>
      <c r="F523" s="8" t="n">
        <v>1</v>
      </c>
      <c r="G523" s="8" t="n">
        <v>1</v>
      </c>
      <c r="H523" s="8" t="n">
        <v>0</v>
      </c>
      <c r="I523" s="8" t="n">
        <v>0</v>
      </c>
      <c r="J523" s="8" t="n">
        <v>0</v>
      </c>
      <c r="K523" s="8" t="n">
        <v>0</v>
      </c>
      <c r="L523" s="8" t="n">
        <v>0</v>
      </c>
      <c r="M523" s="8" t="n">
        <v>0</v>
      </c>
      <c r="N523" s="8" t="n">
        <v>0</v>
      </c>
      <c r="O523" s="8" t="n">
        <v>1</v>
      </c>
      <c r="P523" s="8" t="n">
        <v>1</v>
      </c>
      <c r="Q523" s="8" t="n">
        <v>0</v>
      </c>
      <c r="R523" s="8" t="n">
        <v>0</v>
      </c>
      <c r="S523" s="8" t="n">
        <v>0</v>
      </c>
      <c r="T523" s="8" t="n">
        <v>0</v>
      </c>
      <c r="U523" s="8" t="n">
        <v>0</v>
      </c>
      <c r="V523" s="8" t="n">
        <v>0</v>
      </c>
      <c r="W523" s="8" t="n">
        <v>0</v>
      </c>
      <c r="X523" s="8" t="n">
        <v>0</v>
      </c>
      <c r="Y523" s="8" t="inlineStr">
        <is>
          <t>PH mid-AB for J Hann T7 play #66 (Flag #7); K_L per pitch sequence; also pitches B7</t>
        </is>
      </c>
    </row>
    <row r="524" ht="15.75" customHeight="1" s="35">
      <c r="A524" s="8" t="inlineStr">
        <is>
          <t>2026-03-14_HNTN_at_SRVR</t>
        </is>
      </c>
      <c r="B524" s="2" t="n">
        <v>46095</v>
      </c>
      <c r="C524" s="8" t="inlineStr">
        <is>
          <t>South River Varsity Seahawks</t>
        </is>
      </c>
      <c r="D524" s="8" t="inlineStr">
        <is>
          <t>HNTN</t>
        </is>
      </c>
      <c r="E524" s="8" t="inlineStr">
        <is>
          <t>G Grimes</t>
        </is>
      </c>
      <c r="F524" s="8" t="n">
        <v>1</v>
      </c>
      <c r="G524" s="8" t="n">
        <v>1</v>
      </c>
      <c r="H524" s="8" t="n">
        <v>1</v>
      </c>
      <c r="I524" s="8" t="n">
        <v>0</v>
      </c>
      <c r="J524" s="8" t="n">
        <v>1</v>
      </c>
      <c r="K524" s="8" t="n">
        <v>0</v>
      </c>
      <c r="L524" s="8" t="n">
        <v>0</v>
      </c>
      <c r="M524" s="8" t="n">
        <v>0</v>
      </c>
      <c r="N524" s="8" t="n">
        <v>0</v>
      </c>
      <c r="O524" s="8" t="n">
        <v>0</v>
      </c>
      <c r="P524" s="8" t="n">
        <v>0</v>
      </c>
      <c r="Q524" s="8" t="n">
        <v>0</v>
      </c>
      <c r="R524" s="8" t="n">
        <v>1</v>
      </c>
      <c r="S524" s="8" t="n">
        <v>0</v>
      </c>
      <c r="T524" s="8" t="n">
        <v>0</v>
      </c>
      <c r="U524" s="8" t="n">
        <v>0</v>
      </c>
      <c r="V524" s="8" t="n">
        <v>0</v>
      </c>
      <c r="W524" s="8" t="n">
        <v>0</v>
      </c>
      <c r="X524" s="8" t="n">
        <v>0</v>
      </c>
      <c r="Y524" s="8" t="inlineStr">
        <is>
          <t>PH for J Cadden T7 play #67; 2B play #67 (J Fields advances to 3rd); scores T7 on L Montgomery single play #70; CR for R Bolger T6 play #52 — G Grimes R credited to R Bolger (play #52)</t>
        </is>
      </c>
    </row>
    <row r="525" ht="15.75" customHeight="1" s="35">
      <c r="A525" s="8" t="inlineStr">
        <is>
          <t>2026-03-14_HNTN_at_SRVR</t>
        </is>
      </c>
      <c r="B525" s="2" t="n">
        <v>46095</v>
      </c>
      <c r="C525" s="8" t="inlineStr">
        <is>
          <t>South River Varsity Seahawks</t>
        </is>
      </c>
      <c r="D525" s="8" t="inlineStr">
        <is>
          <t>HNTN</t>
        </is>
      </c>
      <c r="E525" s="8" t="inlineStr">
        <is>
          <t>B Robbins</t>
        </is>
      </c>
      <c r="F525" s="8" t="n">
        <v>2</v>
      </c>
      <c r="G525" s="8" t="n">
        <v>2</v>
      </c>
      <c r="H525" s="8" t="n">
        <v>0</v>
      </c>
      <c r="I525" s="8" t="n">
        <v>0</v>
      </c>
      <c r="J525" s="8" t="n">
        <v>0</v>
      </c>
      <c r="K525" s="8" t="n">
        <v>0</v>
      </c>
      <c r="L525" s="8" t="n">
        <v>0</v>
      </c>
      <c r="M525" s="8" t="n">
        <v>0</v>
      </c>
      <c r="N525" s="8" t="n">
        <v>0</v>
      </c>
      <c r="O525" s="8" t="n">
        <v>2</v>
      </c>
      <c r="P525" s="8" t="n">
        <v>2</v>
      </c>
      <c r="Q525" s="8" t="n">
        <v>0</v>
      </c>
      <c r="R525" s="8" t="n">
        <v>0</v>
      </c>
      <c r="S525" s="8" t="n">
        <v>0</v>
      </c>
      <c r="T525" s="8" t="n">
        <v>0</v>
      </c>
      <c r="U525" s="8" t="n">
        <v>0</v>
      </c>
      <c r="V525" s="8" t="n">
        <v>0</v>
      </c>
      <c r="W525" s="8" t="n">
        <v>0</v>
      </c>
      <c r="X525" s="8" t="n">
        <v>0</v>
      </c>
      <c r="Y525" s="8" t="inlineStr">
        <is>
          <t>PH for R Gaetano T6 play #54; K_L both per pitch sequences (plays #54, #68)</t>
        </is>
      </c>
    </row>
    <row r="526" ht="15.75" customHeight="1" s="35">
      <c r="A526" s="8" t="inlineStr">
        <is>
          <t>2026-03-14_HNTN_at_SRVR</t>
        </is>
      </c>
      <c r="B526" s="2" t="n">
        <v>46095</v>
      </c>
      <c r="C526" s="8" t="inlineStr">
        <is>
          <t>South River Varsity Seahawks</t>
        </is>
      </c>
      <c r="D526" s="8" t="inlineStr">
        <is>
          <t>HNTN</t>
        </is>
      </c>
      <c r="E526" s="8" t="inlineStr">
        <is>
          <t>L Montgomery</t>
        </is>
      </c>
      <c r="F526" s="8" t="n">
        <v>2</v>
      </c>
      <c r="G526" s="8" t="n">
        <v>2</v>
      </c>
      <c r="H526" s="8" t="n">
        <v>1</v>
      </c>
      <c r="I526" s="8" t="n">
        <v>1</v>
      </c>
      <c r="J526" s="8" t="n">
        <v>0</v>
      </c>
      <c r="K526" s="8" t="n">
        <v>0</v>
      </c>
      <c r="L526" s="8" t="n">
        <v>0</v>
      </c>
      <c r="M526" s="8" t="n">
        <v>0</v>
      </c>
      <c r="N526" s="8" t="n">
        <v>0</v>
      </c>
      <c r="O526" s="8" t="n">
        <v>0</v>
      </c>
      <c r="P526" s="8" t="n">
        <v>0</v>
      </c>
      <c r="Q526" s="8" t="n">
        <v>0</v>
      </c>
      <c r="R526" s="8" t="n">
        <v>0</v>
      </c>
      <c r="S526" s="8" t="n">
        <v>1</v>
      </c>
      <c r="T526" s="8" t="n">
        <v>0</v>
      </c>
      <c r="U526" s="8" t="n">
        <v>0</v>
      </c>
      <c r="V526" s="8" t="n">
        <v>0</v>
      </c>
      <c r="W526" s="8" t="n">
        <v>0</v>
      </c>
      <c r="X526" s="8" t="n">
        <v>0</v>
      </c>
      <c r="Y526" s="8" t="inlineStr">
        <is>
          <t>PH for J Walter T6 play #56; 1B T7 play #70 scores G Grimes (1 RBI, fly ball notation — Flag #10)</t>
        </is>
      </c>
    </row>
    <row r="527" ht="15.75" customHeight="1" s="35">
      <c r="A527" s="8" t="inlineStr">
        <is>
          <t>2026-03-14_HNTN_at_SRVR</t>
        </is>
      </c>
      <c r="B527" s="2" t="n">
        <v>46095</v>
      </c>
      <c r="C527" s="8" t="inlineStr">
        <is>
          <t>South River Varsity Seahawks</t>
        </is>
      </c>
      <c r="D527" s="8" t="inlineStr">
        <is>
          <t>HNTN</t>
        </is>
      </c>
      <c r="E527" s="8" t="inlineStr">
        <is>
          <t>E Elliott</t>
        </is>
      </c>
      <c r="F527" s="8" t="n">
        <v>2</v>
      </c>
      <c r="G527" s="8" t="n">
        <v>2</v>
      </c>
      <c r="H527" s="8" t="n">
        <v>2</v>
      </c>
      <c r="I527" s="8" t="n">
        <v>2</v>
      </c>
      <c r="J527" s="8" t="n">
        <v>0</v>
      </c>
      <c r="K527" s="8" t="n">
        <v>0</v>
      </c>
      <c r="L527" s="8" t="n">
        <v>0</v>
      </c>
      <c r="M527" s="8" t="n">
        <v>0</v>
      </c>
      <c r="N527" s="8" t="n">
        <v>0</v>
      </c>
      <c r="O527" s="8" t="n">
        <v>0</v>
      </c>
      <c r="P527" s="8" t="n">
        <v>0</v>
      </c>
      <c r="Q527" s="8" t="n">
        <v>0</v>
      </c>
      <c r="R527" s="8" t="n">
        <v>0</v>
      </c>
      <c r="S527" s="8" t="n">
        <v>1</v>
      </c>
      <c r="T527" s="8" t="n">
        <v>0</v>
      </c>
      <c r="U527" s="8" t="n">
        <v>0</v>
      </c>
      <c r="V527" s="8" t="n">
        <v>0</v>
      </c>
      <c r="W527" s="8" t="n">
        <v>0</v>
      </c>
      <c r="X527" s="8" t="n">
        <v>0</v>
      </c>
      <c r="Y527" s="8" t="inlineStr">
        <is>
          <t>PH for J Fields T6 play #57; 1B T6 play #57 scores N McMurray (1 RBI); 1B T7 play #71 (no run scored; inning ends on L Bennett PO)</t>
        </is>
      </c>
    </row>
    <row r="528" ht="15.75" customHeight="1" s="35">
      <c r="A528" s="8" t="inlineStr">
        <is>
          <t>2026-03-14_HNTN_at_SRVR</t>
        </is>
      </c>
      <c r="B528" s="2" t="n">
        <v>46095</v>
      </c>
      <c r="C528" s="8" t="inlineStr">
        <is>
          <t>South River Varsity Seahawks</t>
        </is>
      </c>
      <c r="D528" s="8" t="inlineStr">
        <is>
          <t>HNTN</t>
        </is>
      </c>
      <c r="E528" s="8" t="inlineStr">
        <is>
          <t>L Bennett</t>
        </is>
      </c>
      <c r="F528" s="8" t="n">
        <v>2</v>
      </c>
      <c r="G528" s="8" t="n">
        <v>2</v>
      </c>
      <c r="H528" s="8" t="n">
        <v>0</v>
      </c>
      <c r="I528" s="8" t="n">
        <v>0</v>
      </c>
      <c r="J528" s="8" t="n">
        <v>0</v>
      </c>
      <c r="K528" s="8" t="n">
        <v>0</v>
      </c>
      <c r="L528" s="8" t="n">
        <v>0</v>
      </c>
      <c r="M528" s="8" t="n">
        <v>0</v>
      </c>
      <c r="N528" s="8" t="n">
        <v>0</v>
      </c>
      <c r="O528" s="8" t="n">
        <v>1</v>
      </c>
      <c r="P528" s="8" t="n">
        <v>0</v>
      </c>
      <c r="Q528" s="8" t="n">
        <v>1</v>
      </c>
      <c r="R528" s="8" t="n">
        <v>0</v>
      </c>
      <c r="S528" s="8" t="n">
        <v>0</v>
      </c>
      <c r="T528" s="8" t="n">
        <v>0</v>
      </c>
      <c r="U528" s="8" t="n">
        <v>0</v>
      </c>
      <c r="V528" s="8" t="n">
        <v>0</v>
      </c>
      <c r="W528" s="8" t="n">
        <v>0</v>
      </c>
      <c r="X528" s="8" t="n">
        <v>0</v>
      </c>
      <c r="Y528" s="8" t="inlineStr">
        <is>
          <t>PH for C Wargo T6 play #58; K_S T6 play #58; PO T7 play #72; CR for R Bolger T4 play #33 — L Bennett out at home on DP play #35, no R credited</t>
        </is>
      </c>
    </row>
    <row r="529" ht="15.75" customHeight="1" s="35">
      <c r="A529" s="8" t="inlineStr">
        <is>
          <t>2026-03-14_HNTN_at_SRVR</t>
        </is>
      </c>
      <c r="B529" s="2" t="n">
        <v>46095</v>
      </c>
      <c r="C529" s="8" t="inlineStr">
        <is>
          <t>Huntingtown Varsity Hurricanes</t>
        </is>
      </c>
      <c r="D529" s="8" t="inlineStr">
        <is>
          <t>SRVR</t>
        </is>
      </c>
      <c r="E529" s="8" t="inlineStr">
        <is>
          <t>SRVR_#1</t>
        </is>
      </c>
      <c r="F529" s="8" t="n">
        <v>4</v>
      </c>
      <c r="G529" s="8" t="n">
        <v>4</v>
      </c>
      <c r="H529" s="8" t="n">
        <v>1</v>
      </c>
      <c r="I529" s="8" t="n">
        <v>1</v>
      </c>
      <c r="J529" s="8" t="n">
        <v>0</v>
      </c>
      <c r="K529" s="8" t="n">
        <v>0</v>
      </c>
      <c r="L529" s="8" t="n">
        <v>0</v>
      </c>
      <c r="M529" s="8" t="n">
        <v>0</v>
      </c>
      <c r="N529" s="8" t="n">
        <v>0</v>
      </c>
      <c r="O529" s="8" t="n">
        <v>1</v>
      </c>
      <c r="P529" s="8" t="n">
        <v>1</v>
      </c>
      <c r="Q529" s="8" t="n">
        <v>0</v>
      </c>
      <c r="R529" s="8" t="n">
        <v>0</v>
      </c>
      <c r="S529" s="8" t="n">
        <v>0</v>
      </c>
      <c r="T529" s="8" t="n">
        <v>0</v>
      </c>
      <c r="U529" s="8" t="n">
        <v>0</v>
      </c>
      <c r="V529" s="8" t="n">
        <v>0</v>
      </c>
      <c r="W529" s="8" t="n">
        <v>0</v>
      </c>
      <c r="X529" s="8" t="n">
        <v>0</v>
      </c>
      <c r="Y529" s="8" t="inlineStr">
        <is>
          <t>K_L B1 play #4; 1B B3 play #24 (fly ball — Flag #10); reaches on HNTN SS error B5 play #46 (no H); FO B7 play #73</t>
        </is>
      </c>
    </row>
    <row r="530" ht="15.75" customHeight="1" s="35">
      <c r="A530" s="8" t="inlineStr">
        <is>
          <t>2026-03-14_HNTN_at_SRVR</t>
        </is>
      </c>
      <c r="B530" s="2" t="n">
        <v>46095</v>
      </c>
      <c r="C530" s="8" t="inlineStr">
        <is>
          <t>Huntingtown Varsity Hurricanes</t>
        </is>
      </c>
      <c r="D530" s="8" t="inlineStr">
        <is>
          <t>SRVR</t>
        </is>
      </c>
      <c r="E530" s="8" t="inlineStr">
        <is>
          <t>SRVR_#2</t>
        </is>
      </c>
      <c r="F530" s="8" t="n">
        <v>4</v>
      </c>
      <c r="G530" s="8" t="n">
        <v>3</v>
      </c>
      <c r="H530" s="8" t="n">
        <v>3</v>
      </c>
      <c r="I530" s="8" t="n">
        <v>3</v>
      </c>
      <c r="J530" s="8" t="n">
        <v>0</v>
      </c>
      <c r="K530" s="8" t="n">
        <v>0</v>
      </c>
      <c r="L530" s="8" t="n">
        <v>0</v>
      </c>
      <c r="M530" s="8" t="n">
        <v>0</v>
      </c>
      <c r="N530" s="8" t="n">
        <v>0</v>
      </c>
      <c r="O530" s="8" t="n">
        <v>0</v>
      </c>
      <c r="P530" s="8" t="n">
        <v>0</v>
      </c>
      <c r="Q530" s="8" t="n">
        <v>0</v>
      </c>
      <c r="R530" s="8" t="n">
        <v>0</v>
      </c>
      <c r="S530" s="8" t="n">
        <v>0</v>
      </c>
      <c r="T530" s="8" t="n">
        <v>0</v>
      </c>
      <c r="U530" s="8" t="n">
        <v>0</v>
      </c>
      <c r="V530" s="8" t="n">
        <v>0</v>
      </c>
      <c r="W530" s="8" t="n">
        <v>1</v>
      </c>
      <c r="X530" s="8" t="n">
        <v>0</v>
      </c>
      <c r="Y530" s="8" t="inlineStr">
        <is>
          <t>1B B1 play #5; SAC bunt B3 play #25 (no AB); 1B B5 play #47 (fly ball — Flag #10); 1B B7 play #74; PB B7 play #76 (advances to 2nd during #4 AB)</t>
        </is>
      </c>
    </row>
    <row r="531" ht="15.75" customHeight="1" s="35">
      <c r="A531" s="8" t="inlineStr">
        <is>
          <t>2026-03-14_HNTN_at_SRVR</t>
        </is>
      </c>
      <c r="B531" s="2" t="n">
        <v>46095</v>
      </c>
      <c r="C531" s="8" t="inlineStr">
        <is>
          <t>Huntingtown Varsity Hurricanes</t>
        </is>
      </c>
      <c r="D531" s="8" t="inlineStr">
        <is>
          <t>SRVR</t>
        </is>
      </c>
      <c r="E531" s="8" t="inlineStr">
        <is>
          <t>SRVR_#3</t>
        </is>
      </c>
      <c r="F531" s="8" t="n">
        <v>4</v>
      </c>
      <c r="G531" s="8" t="n">
        <v>4</v>
      </c>
      <c r="H531" s="8" t="n">
        <v>1</v>
      </c>
      <c r="I531" s="8" t="n">
        <v>1</v>
      </c>
      <c r="J531" s="8" t="n">
        <v>0</v>
      </c>
      <c r="K531" s="8" t="n">
        <v>0</v>
      </c>
      <c r="L531" s="8" t="n">
        <v>0</v>
      </c>
      <c r="M531" s="8" t="n">
        <v>0</v>
      </c>
      <c r="N531" s="8" t="n">
        <v>0</v>
      </c>
      <c r="O531" s="8" t="n">
        <v>2</v>
      </c>
      <c r="P531" s="8" t="n">
        <v>1</v>
      </c>
      <c r="Q531" s="8" t="n">
        <v>1</v>
      </c>
      <c r="R531" s="8" t="n">
        <v>0</v>
      </c>
      <c r="S531" s="8" t="n">
        <v>0</v>
      </c>
      <c r="T531" s="8" t="n">
        <v>0</v>
      </c>
      <c r="U531" s="8" t="n">
        <v>0</v>
      </c>
      <c r="V531" s="8" t="n">
        <v>0</v>
      </c>
      <c r="W531" s="8" t="n">
        <v>0</v>
      </c>
      <c r="X531" s="8" t="n">
        <v>0</v>
      </c>
      <c r="Y531" s="8" t="inlineStr">
        <is>
          <t>1B B1 play #6 (fly ball — Flag #10); FO B3 play #26; K_L B5 play #48; K_S B7 play #75</t>
        </is>
      </c>
    </row>
    <row r="532" ht="15.75" customHeight="1" s="35">
      <c r="A532" s="8" t="inlineStr">
        <is>
          <t>2026-03-14_HNTN_at_SRVR</t>
        </is>
      </c>
      <c r="B532" s="2" t="n">
        <v>46095</v>
      </c>
      <c r="C532" s="8" t="inlineStr">
        <is>
          <t>Huntingtown Varsity Hurricanes</t>
        </is>
      </c>
      <c r="D532" s="8" t="inlineStr">
        <is>
          <t>SRVR</t>
        </is>
      </c>
      <c r="E532" s="8" t="inlineStr">
        <is>
          <t>SRVR_#4</t>
        </is>
      </c>
      <c r="F532" s="8" t="n">
        <v>4</v>
      </c>
      <c r="G532" s="8" t="n">
        <v>3</v>
      </c>
      <c r="H532" s="8" t="n">
        <v>0</v>
      </c>
      <c r="I532" s="8" t="n">
        <v>0</v>
      </c>
      <c r="J532" s="8" t="n">
        <v>0</v>
      </c>
      <c r="K532" s="8" t="n">
        <v>0</v>
      </c>
      <c r="L532" s="8" t="n">
        <v>0</v>
      </c>
      <c r="M532" s="8" t="n">
        <v>1</v>
      </c>
      <c r="N532" s="8" t="n">
        <v>0</v>
      </c>
      <c r="O532" s="8" t="n">
        <v>2</v>
      </c>
      <c r="P532" s="8" t="n">
        <v>1</v>
      </c>
      <c r="Q532" s="8" t="n">
        <v>1</v>
      </c>
      <c r="R532" s="8" t="n">
        <v>0</v>
      </c>
      <c r="S532" s="8" t="n">
        <v>0</v>
      </c>
      <c r="T532" s="8" t="n">
        <v>0</v>
      </c>
      <c r="U532" s="8" t="n">
        <v>0</v>
      </c>
      <c r="V532" s="8" t="n">
        <v>0</v>
      </c>
      <c r="W532" s="8" t="n">
        <v>0</v>
      </c>
      <c r="X532" s="8" t="n">
        <v>0</v>
      </c>
      <c r="Y532" s="8" t="inlineStr">
        <is>
          <t>Walk B1 play #7; K_S B3 play #27; K_L B5 play #49; PO B7 play #76</t>
        </is>
      </c>
    </row>
    <row r="533" ht="15.75" customHeight="1" s="35">
      <c r="A533" s="8" t="inlineStr">
        <is>
          <t>2026-03-14_HNTN_at_SRVR</t>
        </is>
      </c>
      <c r="B533" s="2" t="n">
        <v>46095</v>
      </c>
      <c r="C533" s="8" t="inlineStr">
        <is>
          <t>Huntingtown Varsity Hurricanes</t>
        </is>
      </c>
      <c r="D533" s="8" t="inlineStr">
        <is>
          <t>SRVR</t>
        </is>
      </c>
      <c r="E533" s="8" t="inlineStr">
        <is>
          <t>SRVR_#5</t>
        </is>
      </c>
      <c r="F533" s="8" t="n">
        <v>3</v>
      </c>
      <c r="G533" s="8" t="n">
        <v>3</v>
      </c>
      <c r="H533" s="8" t="n">
        <v>0</v>
      </c>
      <c r="I533" s="8" t="n">
        <v>0</v>
      </c>
      <c r="J533" s="8" t="n">
        <v>0</v>
      </c>
      <c r="K533" s="8" t="n">
        <v>0</v>
      </c>
      <c r="L533" s="8" t="n">
        <v>0</v>
      </c>
      <c r="M533" s="8" t="n">
        <v>0</v>
      </c>
      <c r="N533" s="8" t="n">
        <v>0</v>
      </c>
      <c r="O533" s="8" t="n">
        <v>2</v>
      </c>
      <c r="P533" s="8" t="n">
        <v>2</v>
      </c>
      <c r="Q533" s="8" t="n">
        <v>0</v>
      </c>
      <c r="R533" s="8" t="n">
        <v>0</v>
      </c>
      <c r="S533" s="8" t="n">
        <v>0</v>
      </c>
      <c r="T533" s="8" t="n">
        <v>0</v>
      </c>
      <c r="U533" s="8" t="n">
        <v>0</v>
      </c>
      <c r="V533" s="8" t="n">
        <v>0</v>
      </c>
      <c r="W533" s="8" t="n">
        <v>0</v>
      </c>
      <c r="X533" s="8" t="n">
        <v>0</v>
      </c>
      <c r="Y533" s="8" t="inlineStr">
        <is>
          <t>K_L B1 play #8; K_L B4 play #36; GO B6 play #59</t>
        </is>
      </c>
    </row>
    <row r="534" ht="15.75" customHeight="1" s="35">
      <c r="A534" s="8" t="inlineStr">
        <is>
          <t>2026-03-14_HNTN_at_SRVR</t>
        </is>
      </c>
      <c r="B534" s="2" t="n">
        <v>46095</v>
      </c>
      <c r="C534" s="8" t="inlineStr">
        <is>
          <t>Huntingtown Varsity Hurricanes</t>
        </is>
      </c>
      <c r="D534" s="8" t="inlineStr">
        <is>
          <t>SRVR</t>
        </is>
      </c>
      <c r="E534" s="8" t="inlineStr">
        <is>
          <t>SRVR_#6</t>
        </is>
      </c>
      <c r="F534" s="8" t="n">
        <v>3</v>
      </c>
      <c r="G534" s="8" t="n">
        <v>3</v>
      </c>
      <c r="H534" s="8" t="n">
        <v>1</v>
      </c>
      <c r="I534" s="8" t="n">
        <v>1</v>
      </c>
      <c r="J534" s="8" t="n">
        <v>0</v>
      </c>
      <c r="K534" s="8" t="n">
        <v>0</v>
      </c>
      <c r="L534" s="8" t="n">
        <v>0</v>
      </c>
      <c r="M534" s="8" t="n">
        <v>0</v>
      </c>
      <c r="N534" s="8" t="n">
        <v>0</v>
      </c>
      <c r="O534" s="8" t="n">
        <v>2</v>
      </c>
      <c r="P534" s="8" t="n">
        <v>0</v>
      </c>
      <c r="Q534" s="8" t="n">
        <v>2</v>
      </c>
      <c r="R534" s="8" t="n">
        <v>0</v>
      </c>
      <c r="S534" s="8" t="n">
        <v>0</v>
      </c>
      <c r="T534" s="8" t="n">
        <v>0</v>
      </c>
      <c r="U534" s="8" t="n">
        <v>0</v>
      </c>
      <c r="V534" s="8" t="n">
        <v>0</v>
      </c>
      <c r="W534" s="8" t="n">
        <v>0</v>
      </c>
      <c r="X534" s="8" t="n">
        <v>0</v>
      </c>
      <c r="Y534" s="8" t="inlineStr">
        <is>
          <t>K_S B1 play #9; 1B B4 play #37; K_S B6 play #60</t>
        </is>
      </c>
    </row>
    <row r="535" ht="15.75" customHeight="1" s="35">
      <c r="A535" s="8" t="inlineStr">
        <is>
          <t>2026-03-14_HNTN_at_SRVR</t>
        </is>
      </c>
      <c r="B535" s="2" t="n">
        <v>46095</v>
      </c>
      <c r="C535" s="8" t="inlineStr">
        <is>
          <t>Huntingtown Varsity Hurricanes</t>
        </is>
      </c>
      <c r="D535" s="8" t="inlineStr">
        <is>
          <t>SRVR</t>
        </is>
      </c>
      <c r="E535" s="8" t="inlineStr">
        <is>
          <t>SRVR_#7</t>
        </is>
      </c>
      <c r="F535" s="8" t="n">
        <v>3</v>
      </c>
      <c r="G535" s="8" t="n">
        <v>3</v>
      </c>
      <c r="H535" s="8" t="n">
        <v>2</v>
      </c>
      <c r="I535" s="8" t="n">
        <v>2</v>
      </c>
      <c r="J535" s="8" t="n">
        <v>0</v>
      </c>
      <c r="K535" s="8" t="n">
        <v>0</v>
      </c>
      <c r="L535" s="8" t="n">
        <v>0</v>
      </c>
      <c r="M535" s="8" t="n">
        <v>0</v>
      </c>
      <c r="N535" s="8" t="n">
        <v>0</v>
      </c>
      <c r="O535" s="8" t="n">
        <v>0</v>
      </c>
      <c r="P535" s="8" t="n">
        <v>0</v>
      </c>
      <c r="Q535" s="8" t="n">
        <v>0</v>
      </c>
      <c r="R535" s="8" t="n">
        <v>0</v>
      </c>
      <c r="S535" s="8" t="n">
        <v>0</v>
      </c>
      <c r="T535" s="8" t="n">
        <v>0</v>
      </c>
      <c r="U535" s="8" t="n">
        <v>0</v>
      </c>
      <c r="V535" s="8" t="n">
        <v>0</v>
      </c>
      <c r="W535" s="8" t="n">
        <v>0</v>
      </c>
      <c r="X535" s="8" t="n">
        <v>0</v>
      </c>
      <c r="Y535" s="8" t="inlineStr">
        <is>
          <t>GO B2 play #14; 1B B4 play #38 (unusual FC-like play — Flag #11); 1B B6 play #61 (fly ball — Flag #10)</t>
        </is>
      </c>
    </row>
    <row r="536" ht="15.75" customHeight="1" s="35">
      <c r="A536" s="8" t="inlineStr">
        <is>
          <t>2026-03-14_HNTN_at_SRVR</t>
        </is>
      </c>
      <c r="B536" s="2" t="n">
        <v>46095</v>
      </c>
      <c r="C536" s="8" t="inlineStr">
        <is>
          <t>Huntingtown Varsity Hurricanes</t>
        </is>
      </c>
      <c r="D536" s="8" t="inlineStr">
        <is>
          <t>SRVR</t>
        </is>
      </c>
      <c r="E536" s="8" t="inlineStr">
        <is>
          <t>SRVR_#8</t>
        </is>
      </c>
      <c r="F536" s="8" t="n">
        <v>3</v>
      </c>
      <c r="G536" s="8" t="n">
        <v>2</v>
      </c>
      <c r="H536" s="8" t="n">
        <v>0</v>
      </c>
      <c r="I536" s="8" t="n">
        <v>0</v>
      </c>
      <c r="J536" s="8" t="n">
        <v>0</v>
      </c>
      <c r="K536" s="8" t="n">
        <v>0</v>
      </c>
      <c r="L536" s="8" t="n">
        <v>0</v>
      </c>
      <c r="M536" s="8" t="n">
        <v>1</v>
      </c>
      <c r="N536" s="8" t="n">
        <v>0</v>
      </c>
      <c r="O536" s="8" t="n">
        <v>2</v>
      </c>
      <c r="P536" s="8" t="n">
        <v>1</v>
      </c>
      <c r="Q536" s="8" t="n">
        <v>1</v>
      </c>
      <c r="R536" s="8" t="n">
        <v>0</v>
      </c>
      <c r="S536" s="8" t="n">
        <v>0</v>
      </c>
      <c r="T536" s="8" t="n">
        <v>0</v>
      </c>
      <c r="U536" s="8" t="n">
        <v>0</v>
      </c>
      <c r="V536" s="8" t="n">
        <v>0</v>
      </c>
      <c r="W536" s="8" t="n">
        <v>0</v>
      </c>
      <c r="X536" s="8" t="n">
        <v>0</v>
      </c>
      <c r="Y536" s="8" t="inlineStr">
        <is>
          <t>K_L B2 play #15; K_S B4 play #39; walk B6 play #62</t>
        </is>
      </c>
    </row>
    <row r="537" ht="15.75" customHeight="1" s="35">
      <c r="A537" s="8" t="inlineStr">
        <is>
          <t>2026-03-14_HNTN_at_SRVR</t>
        </is>
      </c>
      <c r="B537" s="2" t="n">
        <v>46095</v>
      </c>
      <c r="C537" s="8" t="inlineStr">
        <is>
          <t>Huntingtown Varsity Hurricanes</t>
        </is>
      </c>
      <c r="D537" s="8" t="inlineStr">
        <is>
          <t>SRVR</t>
        </is>
      </c>
      <c r="E537" s="8" t="inlineStr">
        <is>
          <t>SRVR_#9</t>
        </is>
      </c>
      <c r="F537" s="8" t="n">
        <v>3</v>
      </c>
      <c r="G537" s="8" t="n">
        <v>3</v>
      </c>
      <c r="H537" s="8" t="n">
        <v>0</v>
      </c>
      <c r="I537" s="8" t="n">
        <v>0</v>
      </c>
      <c r="J537" s="8" t="n">
        <v>0</v>
      </c>
      <c r="K537" s="8" t="n">
        <v>0</v>
      </c>
      <c r="L537" s="8" t="n">
        <v>0</v>
      </c>
      <c r="M537" s="8" t="n">
        <v>0</v>
      </c>
      <c r="N537" s="8" t="n">
        <v>0</v>
      </c>
      <c r="O537" s="8" t="n">
        <v>1</v>
      </c>
      <c r="P537" s="8" t="n">
        <v>1</v>
      </c>
      <c r="Q537" s="8" t="n">
        <v>0</v>
      </c>
      <c r="R537" s="8" t="n">
        <v>0</v>
      </c>
      <c r="S537" s="8" t="n">
        <v>0</v>
      </c>
      <c r="T537" s="8" t="n">
        <v>0</v>
      </c>
      <c r="U537" s="8" t="n">
        <v>0</v>
      </c>
      <c r="V537" s="8" t="n">
        <v>0</v>
      </c>
      <c r="W537" s="8" t="n">
        <v>0</v>
      </c>
      <c r="X537" s="8" t="n">
        <v>0</v>
      </c>
      <c r="Y537" s="8" t="inlineStr">
        <is>
          <t>GO B2 play #16; FO B5 play #45; K_L B6 play #63</t>
        </is>
      </c>
    </row>
    <row r="538" ht="15.75" customHeight="1" s="35">
      <c r="A538" s="8" t="inlineStr">
        <is>
          <t>2026-03-18_NRTH_at_HNTN</t>
        </is>
      </c>
      <c r="B538" s="2" t="n">
        <v>46099</v>
      </c>
      <c r="C538" s="8" t="inlineStr">
        <is>
          <t>North County</t>
        </is>
      </c>
      <c r="D538" s="8" t="inlineStr">
        <is>
          <t>HNTN</t>
        </is>
      </c>
      <c r="E538" s="8" t="inlineStr">
        <is>
          <t>R Bolger</t>
        </is>
      </c>
      <c r="F538" s="8" t="n">
        <v>2</v>
      </c>
      <c r="G538" s="8" t="n">
        <v>2</v>
      </c>
      <c r="H538" s="8" t="n">
        <v>1</v>
      </c>
      <c r="I538" s="8" t="n">
        <v>1</v>
      </c>
      <c r="J538" s="8" t="n">
        <v>0</v>
      </c>
      <c r="K538" s="8" t="n">
        <v>0</v>
      </c>
      <c r="L538" s="8" t="n">
        <v>0</v>
      </c>
      <c r="M538" s="8" t="n">
        <v>0</v>
      </c>
      <c r="N538" s="8" t="n">
        <v>0</v>
      </c>
      <c r="O538" s="8" t="n">
        <v>0</v>
      </c>
      <c r="P538" s="8" t="n">
        <v>0</v>
      </c>
      <c r="Q538" s="8" t="n">
        <v>0</v>
      </c>
      <c r="R538" s="8" t="n">
        <v>1</v>
      </c>
      <c r="S538" s="8" t="n">
        <v>0</v>
      </c>
      <c r="T538" s="8" t="n">
        <v>1</v>
      </c>
      <c r="U538" s="8" t="n">
        <v>0</v>
      </c>
      <c r="V538" s="8" t="n">
        <v>0</v>
      </c>
      <c r="W538" s="8" t="n">
        <v>0</v>
      </c>
      <c r="X538" s="8" t="n">
        <v>0</v>
      </c>
      <c r="Y538" s="8" t="inlineStr">
        <is>
          <t>LO B1 play #4; 1B B4 play #37; SB 2nd B4 embedded in J Hann AB play #38; CR J Walter in for R Bolger B4 play #39 — J Walter's R credited to R Bolger (play #39)</t>
        </is>
      </c>
    </row>
    <row r="539" ht="15.75" customHeight="1" s="35">
      <c r="A539" s="8" t="inlineStr">
        <is>
          <t>2026-03-18_NRTH_at_HNTN</t>
        </is>
      </c>
      <c r="B539" s="2" t="n">
        <v>46099</v>
      </c>
      <c r="C539" s="8" t="inlineStr">
        <is>
          <t>North County</t>
        </is>
      </c>
      <c r="D539" s="8" t="inlineStr">
        <is>
          <t>HNTN</t>
        </is>
      </c>
      <c r="E539" s="8" t="inlineStr">
        <is>
          <t>J Hann</t>
        </is>
      </c>
      <c r="F539" s="8" t="n">
        <v>2</v>
      </c>
      <c r="G539" s="8" t="n">
        <v>2</v>
      </c>
      <c r="H539" s="8" t="n">
        <v>1</v>
      </c>
      <c r="I539" s="8" t="n">
        <v>1</v>
      </c>
      <c r="J539" s="8" t="n">
        <v>0</v>
      </c>
      <c r="K539" s="8" t="n">
        <v>0</v>
      </c>
      <c r="L539" s="8" t="n">
        <v>0</v>
      </c>
      <c r="M539" s="8" t="n">
        <v>0</v>
      </c>
      <c r="N539" s="8" t="n">
        <v>0</v>
      </c>
      <c r="O539" s="8" t="n">
        <v>0</v>
      </c>
      <c r="P539" s="8" t="n">
        <v>0</v>
      </c>
      <c r="Q539" s="8" t="n">
        <v>0</v>
      </c>
      <c r="R539" s="8" t="n">
        <v>1</v>
      </c>
      <c r="S539" s="8" t="n">
        <v>0</v>
      </c>
      <c r="T539" s="8" t="n">
        <v>1</v>
      </c>
      <c r="U539" s="8" t="n">
        <v>0</v>
      </c>
      <c r="V539" s="8" t="n">
        <v>0</v>
      </c>
      <c r="W539" s="8" t="n">
        <v>0</v>
      </c>
      <c r="X539" s="8" t="n">
        <v>0</v>
      </c>
      <c r="Y539" s="8" t="inlineStr">
        <is>
          <t>Reaches on NRTH 3B error B1 play #5 (no H); 1B B2 play #20; SB 2nd B2 embedded in J Cadden LO play #21; scores B1 on R Gaetano FC play #8; replaced by T Burghard PH B6 play #55</t>
        </is>
      </c>
    </row>
    <row r="540" ht="15.75" customHeight="1" s="35">
      <c r="A540" s="8" t="inlineStr">
        <is>
          <t>2026-03-18_NRTH_at_HNTN</t>
        </is>
      </c>
      <c r="B540" s="2" t="n">
        <v>46099</v>
      </c>
      <c r="C540" s="8" t="inlineStr">
        <is>
          <t>North County</t>
        </is>
      </c>
      <c r="D540" s="8" t="inlineStr">
        <is>
          <t>HNTN</t>
        </is>
      </c>
      <c r="E540" s="8" t="inlineStr">
        <is>
          <t>J Cadden</t>
        </is>
      </c>
      <c r="F540" s="8" t="n">
        <v>4</v>
      </c>
      <c r="G540" s="8" t="n">
        <v>3</v>
      </c>
      <c r="H540" s="8" t="n">
        <v>2</v>
      </c>
      <c r="I540" s="8" t="n">
        <v>2</v>
      </c>
      <c r="J540" s="8" t="n">
        <v>0</v>
      </c>
      <c r="K540" s="8" t="n">
        <v>0</v>
      </c>
      <c r="L540" s="8" t="n">
        <v>0</v>
      </c>
      <c r="M540" s="8" t="n">
        <v>1</v>
      </c>
      <c r="N540" s="8" t="n">
        <v>0</v>
      </c>
      <c r="O540" s="8" t="n">
        <v>0</v>
      </c>
      <c r="P540" s="8" t="n">
        <v>0</v>
      </c>
      <c r="Q540" s="8" t="n">
        <v>0</v>
      </c>
      <c r="R540" s="8" t="n">
        <v>3</v>
      </c>
      <c r="S540" s="8" t="n">
        <v>2</v>
      </c>
      <c r="T540" s="8" t="n">
        <v>2</v>
      </c>
      <c r="U540" s="8" t="n">
        <v>0</v>
      </c>
      <c r="V540" s="8" t="n">
        <v>0</v>
      </c>
      <c r="W540" s="8" t="n">
        <v>0</v>
      </c>
      <c r="X540" s="8" t="n">
        <v>0</v>
      </c>
      <c r="Y540" s="8" t="inlineStr">
        <is>
          <t>Walk B1 play #6; LO B2 play #21; 1B B4 play #39 scores J Walter (CR-R Bolger) and R Kessler (2 RBI); 1B B6 play #56; SBs: 3rd B4 embedded in N McMurray AB play #40; CR C Wargo in B6 play #57 — C Wargo SB (steals 2nd) and R credited to J Cadden; scores B1 on B Marlowe 2B play #9; scores B4 on N McMurray SAC fly play #40; scores B6 via CR C Wargo on catcher error play #57</t>
        </is>
      </c>
    </row>
    <row r="541" ht="15.75" customHeight="1" s="35">
      <c r="A541" s="8" t="inlineStr">
        <is>
          <t>2026-03-18_NRTH_at_HNTN</t>
        </is>
      </c>
      <c r="B541" s="2" t="n">
        <v>46099</v>
      </c>
      <c r="C541" s="8" t="inlineStr">
        <is>
          <t>North County</t>
        </is>
      </c>
      <c r="D541" s="8" t="inlineStr">
        <is>
          <t>HNTN</t>
        </is>
      </c>
      <c r="E541" s="8" t="inlineStr">
        <is>
          <t>N McMurray</t>
        </is>
      </c>
      <c r="F541" s="8" t="n">
        <v>4</v>
      </c>
      <c r="G541" s="8" t="n">
        <v>1</v>
      </c>
      <c r="H541" s="8" t="n">
        <v>0</v>
      </c>
      <c r="I541" s="8" t="n">
        <v>0</v>
      </c>
      <c r="J541" s="8" t="n">
        <v>0</v>
      </c>
      <c r="K541" s="8" t="n">
        <v>0</v>
      </c>
      <c r="L541" s="8" t="n">
        <v>0</v>
      </c>
      <c r="M541" s="8" t="n">
        <v>1</v>
      </c>
      <c r="N541" s="8" t="n">
        <v>0</v>
      </c>
      <c r="O541" s="8" t="n">
        <v>0</v>
      </c>
      <c r="P541" s="8" t="n">
        <v>0</v>
      </c>
      <c r="Q541" s="8" t="n">
        <v>0</v>
      </c>
      <c r="R541" s="8" t="n">
        <v>0</v>
      </c>
      <c r="S541" s="8" t="n">
        <v>2</v>
      </c>
      <c r="T541" s="8" t="n">
        <v>0</v>
      </c>
      <c r="U541" s="8" t="n">
        <v>0</v>
      </c>
      <c r="V541" s="8" t="n">
        <v>0</v>
      </c>
      <c r="W541" s="8" t="n">
        <v>0</v>
      </c>
      <c r="X541" s="8" t="n">
        <v>0</v>
      </c>
      <c r="Y541" s="8" t="inlineStr">
        <is>
          <t>Walk B1 play #7; out at 2B on R Gaetano FC B1 play #8; FO B3 play #27; SAC fly B4 play #40 scores J Cadden (1 RBI); SAC fly B6 play #57 scores T Burghard (1 RBI) — C Wargo (CR-J Cadden) scores on catcher error, no RBI (error run)</t>
        </is>
      </c>
    </row>
    <row r="542" ht="15.75" customHeight="1" s="35">
      <c r="A542" s="8" t="inlineStr">
        <is>
          <t>2026-03-18_NRTH_at_HNTN</t>
        </is>
      </c>
      <c r="B542" s="2" t="n">
        <v>46099</v>
      </c>
      <c r="C542" s="8" t="inlineStr">
        <is>
          <t>North County</t>
        </is>
      </c>
      <c r="D542" s="8" t="inlineStr">
        <is>
          <t>HNTN</t>
        </is>
      </c>
      <c r="E542" s="8" t="inlineStr">
        <is>
          <t>R Gaetano</t>
        </is>
      </c>
      <c r="F542" s="8" t="n">
        <v>3</v>
      </c>
      <c r="G542" s="8" t="n">
        <v>2</v>
      </c>
      <c r="H542" s="8" t="n">
        <v>0</v>
      </c>
      <c r="I542" s="8" t="n">
        <v>0</v>
      </c>
      <c r="J542" s="8" t="n">
        <v>0</v>
      </c>
      <c r="K542" s="8" t="n">
        <v>0</v>
      </c>
      <c r="L542" s="8" t="n">
        <v>0</v>
      </c>
      <c r="M542" s="8" t="n">
        <v>1</v>
      </c>
      <c r="N542" s="8" t="n">
        <v>0</v>
      </c>
      <c r="O542" s="8" t="n">
        <v>0</v>
      </c>
      <c r="P542" s="8" t="n">
        <v>0</v>
      </c>
      <c r="Q542" s="8" t="n">
        <v>0</v>
      </c>
      <c r="R542" s="8" t="n">
        <v>0</v>
      </c>
      <c r="S542" s="8" t="n">
        <v>1</v>
      </c>
      <c r="T542" s="8" t="n">
        <v>0</v>
      </c>
      <c r="U542" s="8" t="n">
        <v>0</v>
      </c>
      <c r="V542" s="8" t="n">
        <v>0</v>
      </c>
      <c r="W542" s="8" t="n">
        <v>0</v>
      </c>
      <c r="X542" s="8" t="n">
        <v>1</v>
      </c>
      <c r="Y542" s="8" t="inlineStr">
        <is>
          <t>FC B1 play #8 scores J Hann (1 RBI) — N McMurray out advancing; walk B3 play #28; out at 2B on B Marlowe FC B3 play #29; GO B4 play #41; replaced by G Grimes PH B6 play #58</t>
        </is>
      </c>
    </row>
    <row r="543" ht="15.75" customHeight="1" s="35">
      <c r="A543" s="8" t="inlineStr">
        <is>
          <t>2026-03-18_NRTH_at_HNTN</t>
        </is>
      </c>
      <c r="B543" s="2" t="n">
        <v>46099</v>
      </c>
      <c r="C543" s="8" t="inlineStr">
        <is>
          <t>North County</t>
        </is>
      </c>
      <c r="D543" s="8" t="inlineStr">
        <is>
          <t>HNTN</t>
        </is>
      </c>
      <c r="E543" s="8" t="inlineStr">
        <is>
          <t>B Marlowe</t>
        </is>
      </c>
      <c r="F543" s="8" t="n">
        <v>3</v>
      </c>
      <c r="G543" s="8" t="n">
        <v>3</v>
      </c>
      <c r="H543" s="8" t="n">
        <v>1</v>
      </c>
      <c r="I543" s="8" t="n">
        <v>0</v>
      </c>
      <c r="J543" s="8" t="n">
        <v>1</v>
      </c>
      <c r="K543" s="8" t="n">
        <v>0</v>
      </c>
      <c r="L543" s="8" t="n">
        <v>0</v>
      </c>
      <c r="M543" s="8" t="n">
        <v>0</v>
      </c>
      <c r="N543" s="8" t="n">
        <v>0</v>
      </c>
      <c r="O543" s="8" t="n">
        <v>0</v>
      </c>
      <c r="P543" s="8" t="n">
        <v>0</v>
      </c>
      <c r="Q543" s="8" t="n">
        <v>0</v>
      </c>
      <c r="R543" s="8" t="n">
        <v>1</v>
      </c>
      <c r="S543" s="8" t="n">
        <v>1</v>
      </c>
      <c r="T543" s="8" t="n">
        <v>0</v>
      </c>
      <c r="U543" s="8" t="n">
        <v>0</v>
      </c>
      <c r="V543" s="8" t="n">
        <v>0</v>
      </c>
      <c r="W543" s="8" t="n">
        <v>0</v>
      </c>
      <c r="X543" s="8" t="n">
        <v>1</v>
      </c>
      <c r="Y543" s="8" t="inlineStr">
        <is>
          <t>2B B1 play #9 scores J Cadden (1 RBI); FC B3 play #29 — R Gaetano out, B Marlowe advances to 2nd on throw (no error, Flag #13); GO B5 play #45; scores B3 on J Laur single play #30; replaced by B Robbins PH B6 play #59</t>
        </is>
      </c>
    </row>
    <row r="544" ht="15.75" customHeight="1" s="35">
      <c r="A544" s="8" t="inlineStr">
        <is>
          <t>2026-03-18_NRTH_at_HNTN</t>
        </is>
      </c>
      <c r="B544" s="2" t="n">
        <v>46099</v>
      </c>
      <c r="C544" s="8" t="inlineStr">
        <is>
          <t>North County</t>
        </is>
      </c>
      <c r="D544" s="8" t="inlineStr">
        <is>
          <t>HNTN</t>
        </is>
      </c>
      <c r="E544" s="8" t="inlineStr">
        <is>
          <t>J Laur</t>
        </is>
      </c>
      <c r="F544" s="8" t="n">
        <v>3</v>
      </c>
      <c r="G544" s="8" t="n">
        <v>3</v>
      </c>
      <c r="H544" s="8" t="n">
        <v>1</v>
      </c>
      <c r="I544" s="8" t="n">
        <v>1</v>
      </c>
      <c r="J544" s="8" t="n">
        <v>0</v>
      </c>
      <c r="K544" s="8" t="n">
        <v>0</v>
      </c>
      <c r="L544" s="8" t="n">
        <v>0</v>
      </c>
      <c r="M544" s="8" t="n">
        <v>0</v>
      </c>
      <c r="N544" s="8" t="n">
        <v>0</v>
      </c>
      <c r="O544" s="8" t="n">
        <v>0</v>
      </c>
      <c r="P544" s="8" t="n">
        <v>0</v>
      </c>
      <c r="Q544" s="8" t="n">
        <v>0</v>
      </c>
      <c r="R544" s="8" t="n">
        <v>0</v>
      </c>
      <c r="S544" s="8" t="n">
        <v>1</v>
      </c>
      <c r="T544" s="8" t="n">
        <v>0</v>
      </c>
      <c r="U544" s="8" t="n">
        <v>0</v>
      </c>
      <c r="V544" s="8" t="n">
        <v>0</v>
      </c>
      <c r="W544" s="8" t="n">
        <v>0</v>
      </c>
      <c r="X544" s="8" t="n">
        <v>0</v>
      </c>
      <c r="Y544" s="8" t="inlineStr">
        <is>
          <t>FO B1 play #10; 1B B3 play #30 scores B Marlowe (1 RBI); FO B5 play #46; replaced by J Fields PH B6 play #60</t>
        </is>
      </c>
    </row>
    <row r="545" ht="15.75" customHeight="1" s="35">
      <c r="A545" s="8" t="inlineStr">
        <is>
          <t>2026-03-18_NRTH_at_HNTN</t>
        </is>
      </c>
      <c r="B545" s="2" t="n">
        <v>46099</v>
      </c>
      <c r="C545" s="8" t="inlineStr">
        <is>
          <t>North County</t>
        </is>
      </c>
      <c r="D545" s="8" t="inlineStr">
        <is>
          <t>HNTN</t>
        </is>
      </c>
      <c r="E545" s="8" t="inlineStr">
        <is>
          <t>C Wargo</t>
        </is>
      </c>
      <c r="F545" s="8" t="n">
        <v>1</v>
      </c>
      <c r="G545" s="8" t="n">
        <v>0</v>
      </c>
      <c r="H545" s="8" t="n">
        <v>0</v>
      </c>
      <c r="I545" s="8" t="n">
        <v>0</v>
      </c>
      <c r="J545" s="8" t="n">
        <v>0</v>
      </c>
      <c r="K545" s="8" t="n">
        <v>0</v>
      </c>
      <c r="L545" s="8" t="n">
        <v>0</v>
      </c>
      <c r="M545" s="8" t="n">
        <v>1</v>
      </c>
      <c r="N545" s="8" t="n">
        <v>0</v>
      </c>
      <c r="O545" s="8" t="n">
        <v>0</v>
      </c>
      <c r="P545" s="8" t="n">
        <v>0</v>
      </c>
      <c r="Q545" s="8" t="n">
        <v>0</v>
      </c>
      <c r="R545" s="8" t="n">
        <v>1</v>
      </c>
      <c r="S545" s="8" t="n">
        <v>0</v>
      </c>
      <c r="T545" s="8" t="n">
        <v>2</v>
      </c>
      <c r="U545" s="8" t="n">
        <v>0</v>
      </c>
      <c r="V545" s="8" t="n">
        <v>0</v>
      </c>
      <c r="W545" s="8" t="n">
        <v>0</v>
      </c>
      <c r="X545" s="8" t="n">
        <v>0</v>
      </c>
      <c r="Y545" s="8" t="inlineStr">
        <is>
          <t>Walk B2 play #17; steals 2nd and home during R Bolger AB play #19 (Flags #11, #12) — 2 SBs credited to C Wargo; CR for J Cadden B6 play #57 — C Wargo's R and SB as CR credited to J Cadden; E Elliott PH for C Wargo in C Wargo's original batting slot B6 play #61 (Flag #8)</t>
        </is>
      </c>
    </row>
    <row r="546" ht="15.75" customHeight="1" s="35">
      <c r="A546" s="8" t="inlineStr">
        <is>
          <t>2026-03-18_NRTH_at_HNTN</t>
        </is>
      </c>
      <c r="B546" s="2" t="n">
        <v>46099</v>
      </c>
      <c r="C546" s="8" t="inlineStr">
        <is>
          <t>North County</t>
        </is>
      </c>
      <c r="D546" s="8" t="inlineStr">
        <is>
          <t>HNTN</t>
        </is>
      </c>
      <c r="E546" s="8" t="inlineStr">
        <is>
          <t>R Kessler</t>
        </is>
      </c>
      <c r="F546" s="8" t="n">
        <v>2</v>
      </c>
      <c r="G546" s="8" t="n">
        <v>1</v>
      </c>
      <c r="H546" s="8" t="n">
        <v>0</v>
      </c>
      <c r="I546" s="8" t="n">
        <v>0</v>
      </c>
      <c r="J546" s="8" t="n">
        <v>0</v>
      </c>
      <c r="K546" s="8" t="n">
        <v>0</v>
      </c>
      <c r="L546" s="8" t="n">
        <v>0</v>
      </c>
      <c r="M546" s="8" t="n">
        <v>1</v>
      </c>
      <c r="N546" s="8" t="n">
        <v>0</v>
      </c>
      <c r="O546" s="8" t="n">
        <v>1</v>
      </c>
      <c r="P546" s="8" t="n">
        <v>0</v>
      </c>
      <c r="Q546" s="8" t="n">
        <v>1</v>
      </c>
      <c r="R546" s="8" t="n">
        <v>1</v>
      </c>
      <c r="S546" s="8" t="n">
        <v>0</v>
      </c>
      <c r="T546" s="8" t="n">
        <v>0</v>
      </c>
      <c r="U546" s="8" t="n">
        <v>0</v>
      </c>
      <c r="V546" s="8" t="n">
        <v>0</v>
      </c>
      <c r="W546" s="8" t="n">
        <v>0</v>
      </c>
      <c r="X546" s="8" t="n">
        <v>0</v>
      </c>
      <c r="Y546" s="8" t="inlineStr">
        <is>
          <t>K_S B2 play #18; walk B4 play #36; scores B4 on J Cadden single play #39; also HNTN fielder (3B play #23 error; SS play #66 error)</t>
        </is>
      </c>
    </row>
    <row r="547" ht="15.75" customHeight="1" s="35">
      <c r="A547" s="8" t="inlineStr">
        <is>
          <t>2026-03-18_NRTH_at_HNTN</t>
        </is>
      </c>
      <c r="B547" s="2" t="n">
        <v>46099</v>
      </c>
      <c r="C547" s="8" t="inlineStr">
        <is>
          <t>North County</t>
        </is>
      </c>
      <c r="D547" s="8" t="inlineStr">
        <is>
          <t>HNTN</t>
        </is>
      </c>
      <c r="E547" s="8" t="inlineStr">
        <is>
          <t>L Montgomery</t>
        </is>
      </c>
      <c r="F547" s="8" t="n">
        <v>1</v>
      </c>
      <c r="G547" s="8" t="n">
        <v>1</v>
      </c>
      <c r="H547" s="8" t="n">
        <v>0</v>
      </c>
      <c r="I547" s="8" t="n">
        <v>0</v>
      </c>
      <c r="J547" s="8" t="n">
        <v>0</v>
      </c>
      <c r="K547" s="8" t="n">
        <v>0</v>
      </c>
      <c r="L547" s="8" t="n">
        <v>0</v>
      </c>
      <c r="M547" s="8" t="n">
        <v>0</v>
      </c>
      <c r="N547" s="8" t="n">
        <v>0</v>
      </c>
      <c r="O547" s="8" t="n">
        <v>0</v>
      </c>
      <c r="P547" s="8" t="n">
        <v>0</v>
      </c>
      <c r="Q547" s="8" t="n">
        <v>0</v>
      </c>
      <c r="R547" s="8" t="n">
        <v>0</v>
      </c>
      <c r="S547" s="8" t="n">
        <v>0</v>
      </c>
      <c r="T547" s="8" t="n">
        <v>0</v>
      </c>
      <c r="U547" s="8" t="n">
        <v>0</v>
      </c>
      <c r="V547" s="8" t="n">
        <v>0</v>
      </c>
      <c r="W547" s="8" t="n">
        <v>0</v>
      </c>
      <c r="X547" s="8" t="n">
        <v>0</v>
      </c>
      <c r="Y547" s="8" t="inlineStr">
        <is>
          <t>LO B5 play #47; bats in apparent C Wargo slot (slot 8) with no logged substitution; incomplete AB B7 play #72 not counted (Flag #4)</t>
        </is>
      </c>
    </row>
    <row r="548" ht="15.75" customHeight="1" s="35">
      <c r="A548" s="8" t="inlineStr">
        <is>
          <t>2026-03-18_NRTH_at_HNTN</t>
        </is>
      </c>
      <c r="B548" s="2" t="n">
        <v>46099</v>
      </c>
      <c r="C548" s="8" t="inlineStr">
        <is>
          <t>North County</t>
        </is>
      </c>
      <c r="D548" s="8" t="inlineStr">
        <is>
          <t>HNTN</t>
        </is>
      </c>
      <c r="E548" s="8" t="inlineStr">
        <is>
          <t>T Burghard</t>
        </is>
      </c>
      <c r="F548" s="8" t="n">
        <v>1</v>
      </c>
      <c r="G548" s="8" t="n">
        <v>0</v>
      </c>
      <c r="H548" s="8" t="n">
        <v>0</v>
      </c>
      <c r="I548" s="8" t="n">
        <v>0</v>
      </c>
      <c r="J548" s="8" t="n">
        <v>0</v>
      </c>
      <c r="K548" s="8" t="n">
        <v>0</v>
      </c>
      <c r="L548" s="8" t="n">
        <v>0</v>
      </c>
      <c r="M548" s="8" t="n">
        <v>0</v>
      </c>
      <c r="N548" s="8" t="n">
        <v>1</v>
      </c>
      <c r="O548" s="8" t="n">
        <v>0</v>
      </c>
      <c r="P548" s="8" t="n">
        <v>0</v>
      </c>
      <c r="Q548" s="8" t="n">
        <v>0</v>
      </c>
      <c r="R548" s="8" t="n">
        <v>1</v>
      </c>
      <c r="S548" s="8" t="n">
        <v>0</v>
      </c>
      <c r="T548" s="8" t="n">
        <v>0</v>
      </c>
      <c r="U548" s="8" t="n">
        <v>0</v>
      </c>
      <c r="V548" s="8" t="n">
        <v>0</v>
      </c>
      <c r="W548" s="8" t="n">
        <v>0</v>
      </c>
      <c r="X548" s="8" t="n">
        <v>0</v>
      </c>
      <c r="Y548" s="8" t="inlineStr">
        <is>
          <t>PH for J Hann B6 play #55; HBP (#16 pitching); advances to 3rd on DI (embedded play #57); scores on N McMurray SAC fly play #57 (1 RBI for N McMurray); also HNTN starting pitcher T1–T3</t>
        </is>
      </c>
    </row>
    <row r="549" ht="15.75" customHeight="1" s="35">
      <c r="A549" s="8" t="inlineStr">
        <is>
          <t>2026-03-18_NRTH_at_HNTN</t>
        </is>
      </c>
      <c r="B549" s="2" t="n">
        <v>46099</v>
      </c>
      <c r="C549" s="8" t="inlineStr">
        <is>
          <t>North County</t>
        </is>
      </c>
      <c r="D549" s="8" t="inlineStr">
        <is>
          <t>HNTN</t>
        </is>
      </c>
      <c r="E549" s="8" t="inlineStr">
        <is>
          <t>G Grimes</t>
        </is>
      </c>
      <c r="F549" s="8" t="n">
        <v>1</v>
      </c>
      <c r="G549" s="8" t="n">
        <v>1</v>
      </c>
      <c r="H549" s="8" t="n">
        <v>1</v>
      </c>
      <c r="I549" s="8" t="n">
        <v>0</v>
      </c>
      <c r="J549" s="8" t="n">
        <v>1</v>
      </c>
      <c r="K549" s="8" t="n">
        <v>0</v>
      </c>
      <c r="L549" s="8" t="n">
        <v>0</v>
      </c>
      <c r="M549" s="8" t="n">
        <v>0</v>
      </c>
      <c r="N549" s="8" t="n">
        <v>0</v>
      </c>
      <c r="O549" s="8" t="n">
        <v>0</v>
      </c>
      <c r="P549" s="8" t="n">
        <v>0</v>
      </c>
      <c r="Q549" s="8" t="n">
        <v>0</v>
      </c>
      <c r="R549" s="8" t="n">
        <v>0</v>
      </c>
      <c r="S549" s="8" t="n">
        <v>0</v>
      </c>
      <c r="T549" s="8" t="n">
        <v>0</v>
      </c>
      <c r="U549" s="8" t="n">
        <v>0</v>
      </c>
      <c r="V549" s="8" t="n">
        <v>0</v>
      </c>
      <c r="W549" s="8" t="n">
        <v>0</v>
      </c>
      <c r="X549" s="8" t="n">
        <v>0</v>
      </c>
      <c r="Y549" s="8" t="inlineStr">
        <is>
          <t>PH for R Gaetano B6 play #58; 2B (does not score — inning ends on E Elliott K)</t>
        </is>
      </c>
    </row>
    <row r="550" ht="15.75" customHeight="1" s="35">
      <c r="A550" s="8" t="inlineStr">
        <is>
          <t>2026-03-18_NRTH_at_HNTN</t>
        </is>
      </c>
      <c r="B550" s="2" t="n">
        <v>46099</v>
      </c>
      <c r="C550" s="8" t="inlineStr">
        <is>
          <t>North County</t>
        </is>
      </c>
      <c r="D550" s="8" t="inlineStr">
        <is>
          <t>HNTN</t>
        </is>
      </c>
      <c r="E550" s="8" t="inlineStr">
        <is>
          <t>B Robbins</t>
        </is>
      </c>
      <c r="F550" s="8" t="n">
        <v>1</v>
      </c>
      <c r="G550" s="8" t="n">
        <v>0</v>
      </c>
      <c r="H550" s="8" t="n">
        <v>0</v>
      </c>
      <c r="I550" s="8" t="n">
        <v>0</v>
      </c>
      <c r="J550" s="8" t="n">
        <v>0</v>
      </c>
      <c r="K550" s="8" t="n">
        <v>0</v>
      </c>
      <c r="L550" s="8" t="n">
        <v>0</v>
      </c>
      <c r="M550" s="8" t="n">
        <v>0</v>
      </c>
      <c r="N550" s="8" t="n">
        <v>1</v>
      </c>
      <c r="O550" s="8" t="n">
        <v>0</v>
      </c>
      <c r="P550" s="8" t="n">
        <v>0</v>
      </c>
      <c r="Q550" s="8" t="n">
        <v>0</v>
      </c>
      <c r="R550" s="8" t="n">
        <v>0</v>
      </c>
      <c r="S550" s="8" t="n">
        <v>0</v>
      </c>
      <c r="T550" s="8" t="n">
        <v>0</v>
      </c>
      <c r="U550" s="8" t="n">
        <v>0</v>
      </c>
      <c r="V550" s="8" t="n">
        <v>0</v>
      </c>
      <c r="W550" s="8" t="n">
        <v>0</v>
      </c>
      <c r="X550" s="8" t="n">
        <v>0</v>
      </c>
      <c r="Y550" s="8" t="inlineStr">
        <is>
          <t>PH for B Marlowe B6 play #59; HBP (#16 pitching); does not score; also HNTN 1B fielder T7</t>
        </is>
      </c>
    </row>
    <row r="551" ht="15.75" customHeight="1" s="35">
      <c r="A551" s="8" t="inlineStr">
        <is>
          <t>2026-03-18_NRTH_at_HNTN</t>
        </is>
      </c>
      <c r="B551" s="2" t="n">
        <v>46099</v>
      </c>
      <c r="C551" s="8" t="inlineStr">
        <is>
          <t>North County</t>
        </is>
      </c>
      <c r="D551" s="8" t="inlineStr">
        <is>
          <t>HNTN</t>
        </is>
      </c>
      <c r="E551" s="8" t="inlineStr">
        <is>
          <t>J Fields</t>
        </is>
      </c>
      <c r="F551" s="8" t="n">
        <v>1</v>
      </c>
      <c r="G551" s="8" t="n">
        <v>0</v>
      </c>
      <c r="H551" s="8" t="n">
        <v>0</v>
      </c>
      <c r="I551" s="8" t="n">
        <v>0</v>
      </c>
      <c r="J551" s="8" t="n">
        <v>0</v>
      </c>
      <c r="K551" s="8" t="n">
        <v>0</v>
      </c>
      <c r="L551" s="8" t="n">
        <v>0</v>
      </c>
      <c r="M551" s="8" t="n">
        <v>1</v>
      </c>
      <c r="N551" s="8" t="n">
        <v>0</v>
      </c>
      <c r="O551" s="8" t="n">
        <v>0</v>
      </c>
      <c r="P551" s="8" t="n">
        <v>0</v>
      </c>
      <c r="Q551" s="8" t="n">
        <v>0</v>
      </c>
      <c r="R551" s="8" t="n">
        <v>0</v>
      </c>
      <c r="S551" s="8" t="n">
        <v>0</v>
      </c>
      <c r="T551" s="8" t="n">
        <v>0</v>
      </c>
      <c r="U551" s="8" t="n">
        <v>0</v>
      </c>
      <c r="V551" s="8" t="n">
        <v>0</v>
      </c>
      <c r="W551" s="8" t="n">
        <v>0</v>
      </c>
      <c r="X551" s="8" t="n">
        <v>0</v>
      </c>
      <c r="Y551" s="8" t="inlineStr">
        <is>
          <t>PH for J Laur B6 play #60; walk (#9 pitching); does not score; also HNTN pitcher T4–T5</t>
        </is>
      </c>
    </row>
    <row r="552" ht="15.75" customHeight="1" s="35">
      <c r="A552" s="8" t="inlineStr">
        <is>
          <t>2026-03-18_NRTH_at_HNTN</t>
        </is>
      </c>
      <c r="B552" s="2" t="n">
        <v>46099</v>
      </c>
      <c r="C552" s="8" t="inlineStr">
        <is>
          <t>North County</t>
        </is>
      </c>
      <c r="D552" s="8" t="inlineStr">
        <is>
          <t>HNTN</t>
        </is>
      </c>
      <c r="E552" s="8" t="inlineStr">
        <is>
          <t>E Elliott</t>
        </is>
      </c>
      <c r="F552" s="8" t="n">
        <v>1</v>
      </c>
      <c r="G552" s="8" t="n">
        <v>1</v>
      </c>
      <c r="H552" s="8" t="n">
        <v>0</v>
      </c>
      <c r="I552" s="8" t="n">
        <v>0</v>
      </c>
      <c r="J552" s="8" t="n">
        <v>0</v>
      </c>
      <c r="K552" s="8" t="n">
        <v>0</v>
      </c>
      <c r="L552" s="8" t="n">
        <v>0</v>
      </c>
      <c r="M552" s="8" t="n">
        <v>0</v>
      </c>
      <c r="N552" s="8" t="n">
        <v>0</v>
      </c>
      <c r="O552" s="8" t="n">
        <v>1</v>
      </c>
      <c r="P552" s="8" t="n">
        <v>0</v>
      </c>
      <c r="Q552" s="8" t="n">
        <v>1</v>
      </c>
      <c r="R552" s="8" t="n">
        <v>0</v>
      </c>
      <c r="S552" s="8" t="n">
        <v>0</v>
      </c>
      <c r="T552" s="8" t="n">
        <v>0</v>
      </c>
      <c r="U552" s="8" t="n">
        <v>0</v>
      </c>
      <c r="V552" s="8" t="n">
        <v>0</v>
      </c>
      <c r="W552" s="8" t="n">
        <v>0</v>
      </c>
      <c r="X552" s="8" t="n">
        <v>0</v>
      </c>
      <c r="Y552" s="8" t="inlineStr">
        <is>
          <t>PH for C Wargo in C Wargo's original batting slot B6 play #61 (Flag #8); K_S</t>
        </is>
      </c>
    </row>
    <row r="553" ht="15.75" customHeight="1" s="35">
      <c r="A553" s="8" t="inlineStr">
        <is>
          <t>2026-03-18_NRTH_at_HNTN</t>
        </is>
      </c>
      <c r="B553" s="2" t="n">
        <v>46099</v>
      </c>
      <c r="C553" s="8" t="inlineStr">
        <is>
          <t>Huntingtown Varsity Hurricanes</t>
        </is>
      </c>
      <c r="D553" s="8" t="inlineStr">
        <is>
          <t>NRTH</t>
        </is>
      </c>
      <c r="E553" s="8" t="inlineStr">
        <is>
          <t>NRTH_#20</t>
        </is>
      </c>
      <c r="F553" s="8" t="n">
        <v>4</v>
      </c>
      <c r="G553" s="8" t="n">
        <v>4</v>
      </c>
      <c r="H553" s="8" t="n">
        <v>0</v>
      </c>
      <c r="I553" s="8" t="n">
        <v>0</v>
      </c>
      <c r="J553" s="8" t="n">
        <v>0</v>
      </c>
      <c r="K553" s="8" t="n">
        <v>0</v>
      </c>
      <c r="L553" s="8" t="n">
        <v>0</v>
      </c>
      <c r="M553" s="8" t="n">
        <v>0</v>
      </c>
      <c r="N553" s="8" t="n">
        <v>0</v>
      </c>
      <c r="O553" s="8" t="n">
        <v>0</v>
      </c>
      <c r="P553" s="8" t="n">
        <v>0</v>
      </c>
      <c r="Q553" s="8" t="n">
        <v>0</v>
      </c>
      <c r="R553" s="8" t="n">
        <v>0</v>
      </c>
      <c r="S553" s="8" t="n">
        <v>0</v>
      </c>
      <c r="T553" s="8" t="n">
        <v>0</v>
      </c>
      <c r="U553" s="8" t="n">
        <v>0</v>
      </c>
      <c r="V553" s="8" t="n">
        <v>0</v>
      </c>
      <c r="W553" s="8" t="n">
        <v>0</v>
      </c>
      <c r="X553" s="8" t="n">
        <v>0</v>
      </c>
      <c r="Y553" s="8" t="inlineStr">
        <is>
          <t>FO T1 play #1; reaches on HNTN 3B error T3 play #23 (advances to 2nd on same error, no H); GO T5 play #44; FO T7 play #65; steals 3rd T3 play #26 (embedded, DI not credited as SB)</t>
        </is>
      </c>
    </row>
    <row r="554" ht="15.75" customHeight="1" s="35">
      <c r="A554" s="8" t="inlineStr">
        <is>
          <t>2026-03-18_NRTH_at_HNTN</t>
        </is>
      </c>
      <c r="B554" s="2" t="n">
        <v>46099</v>
      </c>
      <c r="C554" s="8" t="inlineStr">
        <is>
          <t>Huntingtown Varsity Hurricanes</t>
        </is>
      </c>
      <c r="D554" s="8" t="inlineStr">
        <is>
          <t>NRTH</t>
        </is>
      </c>
      <c r="E554" s="8" t="inlineStr">
        <is>
          <t>NRTH_#5</t>
        </is>
      </c>
      <c r="F554" s="8" t="n">
        <v>4</v>
      </c>
      <c r="G554" s="8" t="n">
        <v>3</v>
      </c>
      <c r="H554" s="8" t="n">
        <v>0</v>
      </c>
      <c r="I554" s="8" t="n">
        <v>0</v>
      </c>
      <c r="J554" s="8" t="n">
        <v>0</v>
      </c>
      <c r="K554" s="8" t="n">
        <v>0</v>
      </c>
      <c r="L554" s="8" t="n">
        <v>0</v>
      </c>
      <c r="M554" s="8" t="n">
        <v>1</v>
      </c>
      <c r="N554" s="8" t="n">
        <v>0</v>
      </c>
      <c r="O554" s="8" t="n">
        <v>2</v>
      </c>
      <c r="P554" s="8" t="n">
        <v>1</v>
      </c>
      <c r="Q554" s="8" t="n">
        <v>1</v>
      </c>
      <c r="R554" s="8" t="n">
        <v>1</v>
      </c>
      <c r="S554" s="8" t="n">
        <v>0</v>
      </c>
      <c r="T554" s="8" t="n">
        <v>0</v>
      </c>
      <c r="U554" s="8" t="n">
        <v>0</v>
      </c>
      <c r="V554" s="8" t="n">
        <v>0</v>
      </c>
      <c r="W554" s="8" t="n">
        <v>0</v>
      </c>
      <c r="X554" s="8" t="n">
        <v>0</v>
      </c>
      <c r="Y554" s="8" t="inlineStr">
        <is>
          <t>K_L T1 play #2; walk T3 play #24; K_S T6 play #48; reaches on HNTN SS error T7 play #66 (no H); scores T7 on #9 single play #69</t>
        </is>
      </c>
    </row>
    <row r="555" ht="15.75" customHeight="1" s="35">
      <c r="A555" s="8" t="inlineStr">
        <is>
          <t>2026-03-18_NRTH_at_HNTN</t>
        </is>
      </c>
      <c r="B555" s="2" t="n">
        <v>46099</v>
      </c>
      <c r="C555" s="8" t="inlineStr">
        <is>
          <t>Huntingtown Varsity Hurricanes</t>
        </is>
      </c>
      <c r="D555" s="8" t="inlineStr">
        <is>
          <t>NRTH</t>
        </is>
      </c>
      <c r="E555" s="8" t="inlineStr">
        <is>
          <t>NRTH_#13</t>
        </is>
      </c>
      <c r="F555" s="8" t="n">
        <v>4</v>
      </c>
      <c r="G555" s="8" t="n">
        <v>4</v>
      </c>
      <c r="H555" s="8" t="n">
        <v>2</v>
      </c>
      <c r="I555" s="8" t="n">
        <v>1</v>
      </c>
      <c r="J555" s="8" t="n">
        <v>1</v>
      </c>
      <c r="K555" s="8" t="n">
        <v>0</v>
      </c>
      <c r="L555" s="8" t="n">
        <v>0</v>
      </c>
      <c r="M555" s="8" t="n">
        <v>0</v>
      </c>
      <c r="N555" s="8" t="n">
        <v>0</v>
      </c>
      <c r="O555" s="8" t="n">
        <v>0</v>
      </c>
      <c r="P555" s="8" t="n">
        <v>0</v>
      </c>
      <c r="Q555" s="8" t="n">
        <v>0</v>
      </c>
      <c r="R555" s="8" t="n">
        <v>2</v>
      </c>
      <c r="S555" s="8" t="n">
        <v>2</v>
      </c>
      <c r="T555" s="8" t="n">
        <v>0</v>
      </c>
      <c r="U555" s="8" t="n">
        <v>0</v>
      </c>
      <c r="V555" s="8" t="n">
        <v>0</v>
      </c>
      <c r="W555" s="8" t="n">
        <v>0</v>
      </c>
      <c r="X555" s="8" t="n">
        <v>0</v>
      </c>
      <c r="Y555" s="8" t="inlineStr">
        <is>
          <t>GO T1 play #3; FO T3 play #25; 2B T6 play #49; 1B T7 play #67 scores #6 and #1 (2 RBI); scores T6 on HNTN SS J Cadden error play #51 (no RBI); scores T7 on #9 single play #69</t>
        </is>
      </c>
    </row>
    <row r="556" ht="15.75" customHeight="1" s="35">
      <c r="A556" s="8" t="inlineStr">
        <is>
          <t>2026-03-18_NRTH_at_HNTN</t>
        </is>
      </c>
      <c r="B556" s="2" t="n">
        <v>46099</v>
      </c>
      <c r="C556" s="8" t="inlineStr">
        <is>
          <t>Huntingtown Varsity Hurricanes</t>
        </is>
      </c>
      <c r="D556" s="8" t="inlineStr">
        <is>
          <t>NRTH</t>
        </is>
      </c>
      <c r="E556" s="8" t="inlineStr">
        <is>
          <t>NRTH_#7</t>
        </is>
      </c>
      <c r="F556" s="8" t="n">
        <v>2</v>
      </c>
      <c r="G556" s="8" t="n">
        <v>2</v>
      </c>
      <c r="H556" s="8" t="n">
        <v>0</v>
      </c>
      <c r="I556" s="8" t="n">
        <v>0</v>
      </c>
      <c r="J556" s="8" t="n">
        <v>0</v>
      </c>
      <c r="K556" s="8" t="n">
        <v>0</v>
      </c>
      <c r="L556" s="8" t="n">
        <v>0</v>
      </c>
      <c r="M556" s="8" t="n">
        <v>0</v>
      </c>
      <c r="N556" s="8" t="n">
        <v>0</v>
      </c>
      <c r="O556" s="8" t="n">
        <v>1</v>
      </c>
      <c r="P556" s="8" t="n">
        <v>0</v>
      </c>
      <c r="Q556" s="8" t="n">
        <v>1</v>
      </c>
      <c r="R556" s="8" t="n">
        <v>0</v>
      </c>
      <c r="S556" s="8" t="n">
        <v>0</v>
      </c>
      <c r="T556" s="8" t="n">
        <v>0</v>
      </c>
      <c r="U556" s="8" t="n">
        <v>0</v>
      </c>
      <c r="V556" s="8" t="n">
        <v>0</v>
      </c>
      <c r="W556" s="8" t="n">
        <v>0</v>
      </c>
      <c r="X556" s="8" t="n">
        <v>0</v>
      </c>
      <c r="Y556" s="8" t="inlineStr">
        <is>
          <t>FO T2 play #11; K_S T3 play #26; replaced by NRTH_#16 PH T6 play #50 (Flag #7); also NRTH pitcher B4–B5</t>
        </is>
      </c>
    </row>
    <row r="557" ht="15.75" customHeight="1" s="35">
      <c r="A557" s="8" t="inlineStr">
        <is>
          <t>2026-03-18_NRTH_at_HNTN</t>
        </is>
      </c>
      <c r="B557" s="2" t="n">
        <v>46099</v>
      </c>
      <c r="C557" s="8" t="inlineStr">
        <is>
          <t>Huntingtown Varsity Hurricanes</t>
        </is>
      </c>
      <c r="D557" s="8" t="inlineStr">
        <is>
          <t>NRTH</t>
        </is>
      </c>
      <c r="E557" s="8" t="inlineStr">
        <is>
          <t>NRTH_#9</t>
        </is>
      </c>
      <c r="F557" s="8" t="n">
        <v>4</v>
      </c>
      <c r="G557" s="8" t="n">
        <v>4</v>
      </c>
      <c r="H557" s="8" t="n">
        <v>2</v>
      </c>
      <c r="I557" s="8" t="n">
        <v>2</v>
      </c>
      <c r="J557" s="8" t="n">
        <v>0</v>
      </c>
      <c r="K557" s="8" t="n">
        <v>0</v>
      </c>
      <c r="L557" s="8" t="n">
        <v>0</v>
      </c>
      <c r="M557" s="8" t="n">
        <v>0</v>
      </c>
      <c r="N557" s="8" t="n">
        <v>0</v>
      </c>
      <c r="O557" s="8" t="n">
        <v>0</v>
      </c>
      <c r="P557" s="8" t="n">
        <v>0</v>
      </c>
      <c r="Q557" s="8" t="n">
        <v>0</v>
      </c>
      <c r="R557" s="8" t="n">
        <v>1</v>
      </c>
      <c r="S557" s="8" t="n">
        <v>2</v>
      </c>
      <c r="T557" s="8" t="n">
        <v>0</v>
      </c>
      <c r="U557" s="8" t="n">
        <v>0</v>
      </c>
      <c r="V557" s="8" t="n">
        <v>0</v>
      </c>
      <c r="W557" s="8" t="n">
        <v>0</v>
      </c>
      <c r="X557" s="8" t="n">
        <v>0</v>
      </c>
      <c r="Y557" s="8" t="inlineStr">
        <is>
          <t>1B T2 play #12; LO T4 play #32; reaches on HNTN SS J Cadden error T6 play #51 (no H); 1B T7 play #69 scores #13 and #5 (2 RBI); scores T2 on #24 FC play #15; also NRTH pitcher B6 partial</t>
        </is>
      </c>
    </row>
    <row r="558" ht="15.75" customHeight="1" s="35">
      <c r="A558" s="8" t="inlineStr">
        <is>
          <t>2026-03-18_NRTH_at_HNTN</t>
        </is>
      </c>
      <c r="B558" s="2" t="n">
        <v>46099</v>
      </c>
      <c r="C558" s="8" t="inlineStr">
        <is>
          <t>Huntingtown Varsity Hurricanes</t>
        </is>
      </c>
      <c r="D558" s="8" t="inlineStr">
        <is>
          <t>NRTH</t>
        </is>
      </c>
      <c r="E558" s="8" t="inlineStr">
        <is>
          <t>NRTH_#10</t>
        </is>
      </c>
      <c r="F558" s="8" t="n">
        <v>4</v>
      </c>
      <c r="G558" s="8" t="n">
        <v>4</v>
      </c>
      <c r="H558" s="8" t="n">
        <v>3</v>
      </c>
      <c r="I558" s="8" t="n">
        <v>2</v>
      </c>
      <c r="J558" s="8" t="n">
        <v>1</v>
      </c>
      <c r="K558" s="8" t="n">
        <v>0</v>
      </c>
      <c r="L558" s="8" t="n">
        <v>0</v>
      </c>
      <c r="M558" s="8" t="n">
        <v>0</v>
      </c>
      <c r="N558" s="8" t="n">
        <v>0</v>
      </c>
      <c r="O558" s="8" t="n">
        <v>0</v>
      </c>
      <c r="P558" s="8" t="n">
        <v>0</v>
      </c>
      <c r="Q558" s="8" t="n">
        <v>0</v>
      </c>
      <c r="R558" s="8" t="n">
        <v>0</v>
      </c>
      <c r="S558" s="8" t="n">
        <v>0</v>
      </c>
      <c r="T558" s="8" t="n">
        <v>0</v>
      </c>
      <c r="U558" s="8" t="n">
        <v>0</v>
      </c>
      <c r="V558" s="8" t="n">
        <v>0</v>
      </c>
      <c r="W558" s="8" t="n">
        <v>0</v>
      </c>
      <c r="X558" s="8" t="n">
        <v>0</v>
      </c>
      <c r="Y558" s="8" t="inlineStr">
        <is>
          <t>1B T2 play #13; FO T4 play #33; 2B T6 play #52; 1B T7 play #70; does not score</t>
        </is>
      </c>
    </row>
    <row r="559" ht="15.75" customHeight="1" s="35">
      <c r="A559" s="8" t="inlineStr">
        <is>
          <t>2026-03-18_NRTH_at_HNTN</t>
        </is>
      </c>
      <c r="B559" s="2" t="n">
        <v>46099</v>
      </c>
      <c r="C559" s="8" t="inlineStr">
        <is>
          <t>Huntingtown Varsity Hurricanes</t>
        </is>
      </c>
      <c r="D559" s="8" t="inlineStr">
        <is>
          <t>NRTH</t>
        </is>
      </c>
      <c r="E559" s="8" t="inlineStr">
        <is>
          <t>NRTH_#2</t>
        </is>
      </c>
      <c r="F559" s="8" t="n">
        <v>4</v>
      </c>
      <c r="G559" s="8" t="n">
        <v>3</v>
      </c>
      <c r="H559" s="8" t="n">
        <v>1</v>
      </c>
      <c r="I559" s="8" t="n">
        <v>1</v>
      </c>
      <c r="J559" s="8" t="n">
        <v>0</v>
      </c>
      <c r="K559" s="8" t="n">
        <v>0</v>
      </c>
      <c r="L559" s="8" t="n">
        <v>0</v>
      </c>
      <c r="M559" s="8" t="n">
        <v>1</v>
      </c>
      <c r="N559" s="8" t="n">
        <v>0</v>
      </c>
      <c r="O559" s="8" t="n">
        <v>0</v>
      </c>
      <c r="P559" s="8" t="n">
        <v>0</v>
      </c>
      <c r="Q559" s="8" t="n">
        <v>0</v>
      </c>
      <c r="R559" s="8" t="n">
        <v>0</v>
      </c>
      <c r="S559" s="8" t="n">
        <v>0</v>
      </c>
      <c r="T559" s="8" t="n">
        <v>0</v>
      </c>
      <c r="U559" s="8" t="n">
        <v>0</v>
      </c>
      <c r="V559" s="8" t="n">
        <v>0</v>
      </c>
      <c r="W559" s="8" t="n">
        <v>0</v>
      </c>
      <c r="X559" s="8" t="n">
        <v>0</v>
      </c>
      <c r="Y559" s="8" t="inlineStr">
        <is>
          <t>1B T2 play #14 (fly ball notation — Flag #10); walk T4 play #34; GO T6 play #53; GO T7 play #71</t>
        </is>
      </c>
    </row>
    <row r="560" ht="15.75" customHeight="1" s="35">
      <c r="A560" s="8" t="inlineStr">
        <is>
          <t>2026-03-18_NRTH_at_HNTN</t>
        </is>
      </c>
      <c r="B560" s="2" t="n">
        <v>46099</v>
      </c>
      <c r="C560" s="8" t="inlineStr">
        <is>
          <t>Huntingtown Varsity Hurricanes</t>
        </is>
      </c>
      <c r="D560" s="8" t="inlineStr">
        <is>
          <t>NRTH</t>
        </is>
      </c>
      <c r="E560" s="8" t="inlineStr">
        <is>
          <t>NRTH_#24</t>
        </is>
      </c>
      <c r="F560" s="8" t="n">
        <v>2</v>
      </c>
      <c r="G560" s="8" t="n">
        <v>2</v>
      </c>
      <c r="H560" s="8" t="n">
        <v>0</v>
      </c>
      <c r="I560" s="8" t="n">
        <v>0</v>
      </c>
      <c r="J560" s="8" t="n">
        <v>0</v>
      </c>
      <c r="K560" s="8" t="n">
        <v>0</v>
      </c>
      <c r="L560" s="8" t="n">
        <v>0</v>
      </c>
      <c r="M560" s="8" t="n">
        <v>0</v>
      </c>
      <c r="N560" s="8" t="n">
        <v>0</v>
      </c>
      <c r="O560" s="8" t="n">
        <v>1</v>
      </c>
      <c r="P560" s="8" t="n">
        <v>0</v>
      </c>
      <c r="Q560" s="8" t="n">
        <v>1</v>
      </c>
      <c r="R560" s="8" t="n">
        <v>0</v>
      </c>
      <c r="S560" s="8" t="n">
        <v>1</v>
      </c>
      <c r="T560" s="8" t="n">
        <v>0</v>
      </c>
      <c r="U560" s="8" t="n">
        <v>0</v>
      </c>
      <c r="V560" s="8" t="n">
        <v>0</v>
      </c>
      <c r="W560" s="8" t="n">
        <v>0</v>
      </c>
      <c r="X560" s="8" t="n">
        <v>1</v>
      </c>
      <c r="Y560" s="8" t="inlineStr">
        <is>
          <t>FC T2 play #15 — #2 out, #9 scores (1 RBI); K_S T4 play #35; replaced by NRTH_#11 PH T7 play #62</t>
        </is>
      </c>
    </row>
    <row r="561" ht="15.75" customHeight="1" s="35">
      <c r="A561" s="8" t="inlineStr">
        <is>
          <t>2026-03-18_NRTH_at_HNTN</t>
        </is>
      </c>
      <c r="B561" s="2" t="n">
        <v>46099</v>
      </c>
      <c r="C561" s="8" t="inlineStr">
        <is>
          <t>Huntingtown Varsity Hurricanes</t>
        </is>
      </c>
      <c r="D561" s="8" t="inlineStr">
        <is>
          <t>NRTH</t>
        </is>
      </c>
      <c r="E561" s="8" t="inlineStr">
        <is>
          <t>NRTH_#1</t>
        </is>
      </c>
      <c r="F561" s="8" t="n">
        <v>3</v>
      </c>
      <c r="G561" s="8" t="n">
        <v>3</v>
      </c>
      <c r="H561" s="8" t="n">
        <v>0</v>
      </c>
      <c r="I561" s="8" t="n">
        <v>0</v>
      </c>
      <c r="J561" s="8" t="n">
        <v>0</v>
      </c>
      <c r="K561" s="8" t="n">
        <v>0</v>
      </c>
      <c r="L561" s="8" t="n">
        <v>0</v>
      </c>
      <c r="M561" s="8" t="n">
        <v>0</v>
      </c>
      <c r="N561" s="8" t="n">
        <v>0</v>
      </c>
      <c r="O561" s="8" t="n">
        <v>0</v>
      </c>
      <c r="P561" s="8" t="n">
        <v>0</v>
      </c>
      <c r="Q561" s="8" t="n">
        <v>0</v>
      </c>
      <c r="R561" s="8" t="n">
        <v>1</v>
      </c>
      <c r="S561" s="8" t="n">
        <v>0</v>
      </c>
      <c r="T561" s="8" t="n">
        <v>0</v>
      </c>
      <c r="U561" s="8" t="n">
        <v>0</v>
      </c>
      <c r="V561" s="8" t="n">
        <v>0</v>
      </c>
      <c r="W561" s="8" t="n">
        <v>0</v>
      </c>
      <c r="X561" s="8" t="n">
        <v>0</v>
      </c>
      <c r="Y561" s="8" t="inlineStr">
        <is>
          <t>FO T2 play #16; GO T5 play #42; reaches on HNTN 3B L Montgomery error T7 play #63 (no H); scores T7 on #13 single play #67</t>
        </is>
      </c>
    </row>
    <row r="562" ht="15.75" customHeight="1" s="35">
      <c r="A562" s="8" t="inlineStr">
        <is>
          <t>2026-03-18_NRTH_at_HNTN</t>
        </is>
      </c>
      <c r="B562" s="2" t="n">
        <v>46099</v>
      </c>
      <c r="C562" s="8" t="inlineStr">
        <is>
          <t>Huntingtown Varsity Hurricanes</t>
        </is>
      </c>
      <c r="D562" s="8" t="inlineStr">
        <is>
          <t>NRTH</t>
        </is>
      </c>
      <c r="E562" s="8" t="inlineStr">
        <is>
          <t>NRTH_#6</t>
        </is>
      </c>
      <c r="F562" s="8" t="n">
        <v>3</v>
      </c>
      <c r="G562" s="8" t="n">
        <v>3</v>
      </c>
      <c r="H562" s="8" t="n">
        <v>1</v>
      </c>
      <c r="I562" s="8" t="n">
        <v>1</v>
      </c>
      <c r="J562" s="8" t="n">
        <v>0</v>
      </c>
      <c r="K562" s="8" t="n">
        <v>0</v>
      </c>
      <c r="L562" s="8" t="n">
        <v>0</v>
      </c>
      <c r="M562" s="8" t="n">
        <v>0</v>
      </c>
      <c r="N562" s="8" t="n">
        <v>0</v>
      </c>
      <c r="O562" s="8" t="n">
        <v>0</v>
      </c>
      <c r="P562" s="8" t="n">
        <v>0</v>
      </c>
      <c r="Q562" s="8" t="n">
        <v>0</v>
      </c>
      <c r="R562" s="8" t="n">
        <v>1</v>
      </c>
      <c r="S562" s="8" t="n">
        <v>1</v>
      </c>
      <c r="T562" s="8" t="n">
        <v>0</v>
      </c>
      <c r="U562" s="8" t="n">
        <v>0</v>
      </c>
      <c r="V562" s="8" t="n">
        <v>0</v>
      </c>
      <c r="W562" s="8" t="n">
        <v>0</v>
      </c>
      <c r="X562" s="8" t="n">
        <v>0</v>
      </c>
      <c r="Y562" s="8" t="inlineStr">
        <is>
          <t>LO T3 play #22; GO T5 play #43; 1B T7 play #64 scores #11 (1 RBI); scores T7 on #13 single play #67</t>
        </is>
      </c>
    </row>
    <row r="563" ht="15.75" customHeight="1" s="35">
      <c r="A563" s="8" t="inlineStr">
        <is>
          <t>2026-03-18_NRTH_at_HNTN</t>
        </is>
      </c>
      <c r="B563" s="2" t="n">
        <v>46099</v>
      </c>
      <c r="C563" s="8" t="inlineStr">
        <is>
          <t>Huntingtown Varsity Hurricanes</t>
        </is>
      </c>
      <c r="D563" s="8" t="inlineStr">
        <is>
          <t>NRTH</t>
        </is>
      </c>
      <c r="E563" s="8" t="inlineStr">
        <is>
          <t>NRTH_#11</t>
        </is>
      </c>
      <c r="F563" s="8" t="n">
        <v>1</v>
      </c>
      <c r="G563" s="8" t="n">
        <v>0</v>
      </c>
      <c r="H563" s="8" t="n">
        <v>0</v>
      </c>
      <c r="I563" s="8" t="n">
        <v>0</v>
      </c>
      <c r="J563" s="8" t="n">
        <v>0</v>
      </c>
      <c r="K563" s="8" t="n">
        <v>0</v>
      </c>
      <c r="L563" s="8" t="n">
        <v>0</v>
      </c>
      <c r="M563" s="8" t="n">
        <v>1</v>
      </c>
      <c r="N563" s="8" t="n">
        <v>0</v>
      </c>
      <c r="O563" s="8" t="n">
        <v>0</v>
      </c>
      <c r="P563" s="8" t="n">
        <v>0</v>
      </c>
      <c r="Q563" s="8" t="n">
        <v>0</v>
      </c>
      <c r="R563" s="8" t="n">
        <v>1</v>
      </c>
      <c r="S563" s="8" t="n">
        <v>0</v>
      </c>
      <c r="T563" s="8" t="n">
        <v>0</v>
      </c>
      <c r="U563" s="8" t="n">
        <v>0</v>
      </c>
      <c r="V563" s="8" t="n">
        <v>0</v>
      </c>
      <c r="W563" s="8" t="n">
        <v>0</v>
      </c>
      <c r="X563" s="8" t="n">
        <v>0</v>
      </c>
      <c r="Y563" s="8" t="inlineStr">
        <is>
          <t>PH for NRTH_#24 T7 play #62; walk; scores T7 on #6 single play #64</t>
        </is>
      </c>
    </row>
    <row r="564" ht="15.75" customHeight="1" s="35">
      <c r="A564" s="8" t="inlineStr">
        <is>
          <t>2026-03-18_NRTH_at_HNTN</t>
        </is>
      </c>
      <c r="B564" s="2" t="n">
        <v>46099</v>
      </c>
      <c r="C564" s="8" t="inlineStr">
        <is>
          <t>Huntingtown Varsity Hurricanes</t>
        </is>
      </c>
      <c r="D564" s="8" t="inlineStr">
        <is>
          <t>NRTH</t>
        </is>
      </c>
      <c r="E564" s="8" t="inlineStr">
        <is>
          <t>NRTH_#16</t>
        </is>
      </c>
      <c r="F564" s="8" t="n">
        <v>2</v>
      </c>
      <c r="G564" s="8" t="n">
        <v>2</v>
      </c>
      <c r="H564" s="8" t="n">
        <v>0</v>
      </c>
      <c r="I564" s="8" t="n">
        <v>0</v>
      </c>
      <c r="J564" s="8" t="n">
        <v>0</v>
      </c>
      <c r="K564" s="8" t="n">
        <v>0</v>
      </c>
      <c r="L564" s="8" t="n">
        <v>0</v>
      </c>
      <c r="M564" s="8" t="n">
        <v>0</v>
      </c>
      <c r="N564" s="8" t="n">
        <v>0</v>
      </c>
      <c r="O564" s="8" t="n">
        <v>0</v>
      </c>
      <c r="P564" s="8" t="n">
        <v>0</v>
      </c>
      <c r="Q564" s="8" t="n">
        <v>0</v>
      </c>
      <c r="R564" s="8" t="n">
        <v>0</v>
      </c>
      <c r="S564" s="8" t="n">
        <v>0</v>
      </c>
      <c r="T564" s="8" t="n">
        <v>0</v>
      </c>
      <c r="U564" s="8" t="n">
        <v>0</v>
      </c>
      <c r="V564" s="8" t="n">
        <v>0</v>
      </c>
      <c r="W564" s="8" t="n">
        <v>0</v>
      </c>
      <c r="X564" s="8" t="n">
        <v>0</v>
      </c>
      <c r="Y564" s="8" t="inlineStr">
        <is>
          <t>PH for NRTH_#7 T6 play #50 (Flag #7); GO T6 play #50; GO T7 play #68; also NRTH pitcher B6 partial (entry inferred, Flag #7)</t>
        </is>
      </c>
    </row>
    <row r="565" ht="15.75" customHeight="1" s="35">
      <c r="A565" s="8" t="inlineStr">
        <is>
          <t>2026-03-20_CLVR_at_HNTN</t>
        </is>
      </c>
      <c r="B565" s="2" t="n">
        <v>46101</v>
      </c>
      <c r="C565" s="8" t="inlineStr">
        <is>
          <t>Calvert HS</t>
        </is>
      </c>
      <c r="D565" s="8" t="inlineStr">
        <is>
          <t>HNTN</t>
        </is>
      </c>
      <c r="E565" s="8" t="inlineStr">
        <is>
          <t>R Bolger</t>
        </is>
      </c>
      <c r="F565" s="8" t="n">
        <v>3</v>
      </c>
      <c r="G565" s="8" t="n">
        <v>2</v>
      </c>
      <c r="H565" s="8" t="n">
        <v>0</v>
      </c>
      <c r="I565" s="8" t="n">
        <v>0</v>
      </c>
      <c r="J565" s="8" t="n">
        <v>0</v>
      </c>
      <c r="K565" s="8" t="n">
        <v>0</v>
      </c>
      <c r="L565" s="8" t="n">
        <v>0</v>
      </c>
      <c r="M565" s="8" t="n">
        <v>1</v>
      </c>
      <c r="N565" s="8" t="n">
        <v>0</v>
      </c>
      <c r="O565" s="8" t="n">
        <v>2</v>
      </c>
      <c r="P565" s="8" t="n">
        <v>2</v>
      </c>
      <c r="Q565" s="8" t="n">
        <v>0</v>
      </c>
      <c r="R565" s="8" t="n">
        <v>1</v>
      </c>
      <c r="S565" s="8" t="n">
        <v>0</v>
      </c>
      <c r="T565" s="8" t="n">
        <v>0</v>
      </c>
      <c r="U565" s="8" t="n">
        <v>1</v>
      </c>
      <c r="V565" s="8" t="n">
        <v>0</v>
      </c>
      <c r="W565" s="8" t="n">
        <v>0</v>
      </c>
      <c r="X565" s="8" t="n">
        <v>0</v>
      </c>
      <c r="Y565" s="8" t="inlineStr">
        <is>
          <t>Dropped 3rd strike B1 play #5 (K_L, reaches on PB by C Sacker — not a hit); walk B2 play #17; K_L B5 play #37; CR L Bennett in B1 play #9 — L Bennett's R credited to R Bolger (play #9); CS B2 Runner Out play #18</t>
        </is>
      </c>
    </row>
    <row r="566" ht="15.75" customHeight="1" s="35">
      <c r="A566" s="8" t="inlineStr">
        <is>
          <t>2026-03-20_CLVR_at_HNTN</t>
        </is>
      </c>
      <c r="B566" s="2" t="n">
        <v>46101</v>
      </c>
      <c r="C566" s="8" t="inlineStr">
        <is>
          <t>Calvert HS</t>
        </is>
      </c>
      <c r="D566" s="8" t="inlineStr">
        <is>
          <t>HNTN</t>
        </is>
      </c>
      <c r="E566" s="8" t="inlineStr">
        <is>
          <t>J Hann</t>
        </is>
      </c>
      <c r="F566" s="8" t="n">
        <v>3</v>
      </c>
      <c r="G566" s="8" t="n">
        <v>3</v>
      </c>
      <c r="H566" s="8" t="n">
        <v>0</v>
      </c>
      <c r="I566" s="8" t="n">
        <v>0</v>
      </c>
      <c r="J566" s="8" t="n">
        <v>0</v>
      </c>
      <c r="K566" s="8" t="n">
        <v>0</v>
      </c>
      <c r="L566" s="8" t="n">
        <v>0</v>
      </c>
      <c r="M566" s="8" t="n">
        <v>0</v>
      </c>
      <c r="N566" s="8" t="n">
        <v>0</v>
      </c>
      <c r="O566" s="8" t="n">
        <v>2</v>
      </c>
      <c r="P566" s="8" t="n">
        <v>0</v>
      </c>
      <c r="Q566" s="8" t="n">
        <v>2</v>
      </c>
      <c r="R566" s="8" t="n">
        <v>0</v>
      </c>
      <c r="S566" s="8" t="n">
        <v>0</v>
      </c>
      <c r="T566" s="8" t="n">
        <v>0</v>
      </c>
      <c r="U566" s="8" t="n">
        <v>0</v>
      </c>
      <c r="V566" s="8" t="n">
        <v>0</v>
      </c>
      <c r="W566" s="8" t="n">
        <v>0</v>
      </c>
      <c r="X566" s="8" t="n">
        <v>0</v>
      </c>
      <c r="Y566" s="8" t="inlineStr">
        <is>
          <t>K_S B1 play #6; K_S B3 play #22; GO B5 play #38</t>
        </is>
      </c>
    </row>
    <row r="567" ht="15.75" customHeight="1" s="35">
      <c r="A567" s="8" t="inlineStr">
        <is>
          <t>2026-03-20_CLVR_at_HNTN</t>
        </is>
      </c>
      <c r="B567" s="2" t="n">
        <v>46101</v>
      </c>
      <c r="C567" s="8" t="inlineStr">
        <is>
          <t>Calvert HS</t>
        </is>
      </c>
      <c r="D567" s="8" t="inlineStr">
        <is>
          <t>HNTN</t>
        </is>
      </c>
      <c r="E567" s="8" t="inlineStr">
        <is>
          <t>J Cadden</t>
        </is>
      </c>
      <c r="F567" s="8" t="n">
        <v>3</v>
      </c>
      <c r="G567" s="8" t="n">
        <v>2</v>
      </c>
      <c r="H567" s="8" t="n">
        <v>0</v>
      </c>
      <c r="I567" s="8" t="n">
        <v>0</v>
      </c>
      <c r="J567" s="8" t="n">
        <v>0</v>
      </c>
      <c r="K567" s="8" t="n">
        <v>0</v>
      </c>
      <c r="L567" s="8" t="n">
        <v>0</v>
      </c>
      <c r="M567" s="8" t="n">
        <v>1</v>
      </c>
      <c r="N567" s="8" t="n">
        <v>0</v>
      </c>
      <c r="O567" s="8" t="n">
        <v>0</v>
      </c>
      <c r="P567" s="8" t="n">
        <v>0</v>
      </c>
      <c r="Q567" s="8" t="n">
        <v>0</v>
      </c>
      <c r="R567" s="8" t="n">
        <v>0</v>
      </c>
      <c r="S567" s="8" t="n">
        <v>0</v>
      </c>
      <c r="T567" s="8" t="n">
        <v>0</v>
      </c>
      <c r="U567" s="8" t="n">
        <v>0</v>
      </c>
      <c r="V567" s="8" t="n">
        <v>0</v>
      </c>
      <c r="W567" s="8" t="n">
        <v>0</v>
      </c>
      <c r="X567" s="8" t="n">
        <v>0</v>
      </c>
      <c r="Y567" s="8" t="inlineStr">
        <is>
          <t>Walk B1 play #7; out at 2B on N McMurray FC B1 play #8; FO B3 play #23; GO B5 play #39</t>
        </is>
      </c>
    </row>
    <row r="568" ht="15.75" customHeight="1" s="35">
      <c r="A568" s="8" t="inlineStr">
        <is>
          <t>2026-03-20_CLVR_at_HNTN</t>
        </is>
      </c>
      <c r="B568" s="2" t="n">
        <v>46101</v>
      </c>
      <c r="C568" s="8" t="inlineStr">
        <is>
          <t>Calvert HS</t>
        </is>
      </c>
      <c r="D568" s="8" t="inlineStr">
        <is>
          <t>HNTN</t>
        </is>
      </c>
      <c r="E568" s="8" t="inlineStr">
        <is>
          <t>N McMurray</t>
        </is>
      </c>
      <c r="F568" s="8" t="n">
        <v>3</v>
      </c>
      <c r="G568" s="8" t="n">
        <v>3</v>
      </c>
      <c r="H568" s="8" t="n">
        <v>0</v>
      </c>
      <c r="I568" s="8" t="n">
        <v>0</v>
      </c>
      <c r="J568" s="8" t="n">
        <v>0</v>
      </c>
      <c r="K568" s="8" t="n">
        <v>0</v>
      </c>
      <c r="L568" s="8" t="n">
        <v>0</v>
      </c>
      <c r="M568" s="8" t="n">
        <v>0</v>
      </c>
      <c r="N568" s="8" t="n">
        <v>0</v>
      </c>
      <c r="O568" s="8" t="n">
        <v>1</v>
      </c>
      <c r="P568" s="8" t="n">
        <v>0</v>
      </c>
      <c r="Q568" s="8" t="n">
        <v>1</v>
      </c>
      <c r="R568" s="8" t="n">
        <v>1</v>
      </c>
      <c r="S568" s="8" t="n">
        <v>0</v>
      </c>
      <c r="T568" s="8" t="n">
        <v>0</v>
      </c>
      <c r="U568" s="8" t="n">
        <v>0</v>
      </c>
      <c r="V568" s="8" t="n">
        <v>0</v>
      </c>
      <c r="W568" s="8" t="n">
        <v>0</v>
      </c>
      <c r="X568" s="8" t="n">
        <v>1</v>
      </c>
      <c r="Y568" s="8" t="inlineStr">
        <is>
          <t>FC B1 play #8 (J Cadden out advancing); LO B3 play #24; K_S B6 play #44; CR L Montgomery in B1 play #9 — L Montgomery's R credited to N McMurray (scores on WP play #10, Flag #13); also HNTN starting pitcher T1–T5</t>
        </is>
      </c>
    </row>
    <row r="569" ht="15.75" customHeight="1" s="35">
      <c r="A569" s="8" t="inlineStr">
        <is>
          <t>2026-03-20_CLVR_at_HNTN</t>
        </is>
      </c>
      <c r="B569" s="2" t="n">
        <v>46101</v>
      </c>
      <c r="C569" s="8" t="inlineStr">
        <is>
          <t>Calvert HS</t>
        </is>
      </c>
      <c r="D569" s="8" t="inlineStr">
        <is>
          <t>HNTN</t>
        </is>
      </c>
      <c r="E569" s="8" t="inlineStr">
        <is>
          <t>R Gaetano</t>
        </is>
      </c>
      <c r="F569" s="8" t="n">
        <v>3</v>
      </c>
      <c r="G569" s="8" t="n">
        <v>2</v>
      </c>
      <c r="H569" s="8" t="n">
        <v>2</v>
      </c>
      <c r="I569" s="8" t="n">
        <v>2</v>
      </c>
      <c r="J569" s="8" t="n">
        <v>0</v>
      </c>
      <c r="K569" s="8" t="n">
        <v>0</v>
      </c>
      <c r="L569" s="8" t="n">
        <v>0</v>
      </c>
      <c r="M569" s="8" t="n">
        <v>1</v>
      </c>
      <c r="N569" s="8" t="n">
        <v>0</v>
      </c>
      <c r="O569" s="8" t="n">
        <v>0</v>
      </c>
      <c r="P569" s="8" t="n">
        <v>0</v>
      </c>
      <c r="Q569" s="8" t="n">
        <v>0</v>
      </c>
      <c r="R569" s="8" t="n">
        <v>1</v>
      </c>
      <c r="S569" s="8" t="n">
        <v>1</v>
      </c>
      <c r="T569" s="8" t="n">
        <v>0</v>
      </c>
      <c r="U569" s="8" t="n">
        <v>0</v>
      </c>
      <c r="V569" s="8" t="n">
        <v>0</v>
      </c>
      <c r="W569" s="8" t="n">
        <v>0</v>
      </c>
      <c r="X569" s="8" t="n">
        <v>0</v>
      </c>
      <c r="Y569" s="8" t="inlineStr">
        <is>
          <t>1B B1 play #9 scores L Bennett (CR-R Bolger = 1 RBI); advances to 3rd on WP(s) but doesn't score B1; 1B B4 play #28; walk B6 play #45; scores B6 on catcher C Sacker error embedded in B Marlowe walk play #46 (no RBI — error run)</t>
        </is>
      </c>
    </row>
    <row r="570" ht="15.75" customHeight="1" s="35">
      <c r="A570" s="8" t="inlineStr">
        <is>
          <t>2026-03-20_CLVR_at_HNTN</t>
        </is>
      </c>
      <c r="B570" s="2" t="n">
        <v>46101</v>
      </c>
      <c r="C570" s="8" t="inlineStr">
        <is>
          <t>Calvert HS</t>
        </is>
      </c>
      <c r="D570" s="8" t="inlineStr">
        <is>
          <t>HNTN</t>
        </is>
      </c>
      <c r="E570" s="8" t="inlineStr">
        <is>
          <t>B Marlowe</t>
        </is>
      </c>
      <c r="F570" s="8" t="n">
        <v>3</v>
      </c>
      <c r="G570" s="8" t="n">
        <v>2</v>
      </c>
      <c r="H570" s="8" t="n">
        <v>0</v>
      </c>
      <c r="I570" s="8" t="n">
        <v>0</v>
      </c>
      <c r="J570" s="8" t="n">
        <v>0</v>
      </c>
      <c r="K570" s="8" t="n">
        <v>0</v>
      </c>
      <c r="L570" s="8" t="n">
        <v>0</v>
      </c>
      <c r="M570" s="8" t="n">
        <v>1</v>
      </c>
      <c r="N570" s="8" t="n">
        <v>0</v>
      </c>
      <c r="O570" s="8" t="n">
        <v>2</v>
      </c>
      <c r="P570" s="8" t="n">
        <v>0</v>
      </c>
      <c r="Q570" s="8" t="n">
        <v>2</v>
      </c>
      <c r="R570" s="8" t="n">
        <v>0</v>
      </c>
      <c r="S570" s="8" t="n">
        <v>0</v>
      </c>
      <c r="T570" s="8" t="n">
        <v>0</v>
      </c>
      <c r="U570" s="8" t="n">
        <v>0</v>
      </c>
      <c r="V570" s="8" t="n">
        <v>0</v>
      </c>
      <c r="W570" s="8" t="n">
        <v>0</v>
      </c>
      <c r="X570" s="8" t="n">
        <v>0</v>
      </c>
      <c r="Y570" s="8" t="inlineStr">
        <is>
          <t>K_S B1 play #10; K_S B4 play #29; walk B6 play #46 (2 WPs and catcher error occur during AB); advances to 3rd on WP/error B6 but doesn't score (inning ends on C Wargo K)</t>
        </is>
      </c>
    </row>
    <row r="571" ht="15.75" customHeight="1" s="35">
      <c r="A571" s="8" t="inlineStr">
        <is>
          <t>2026-03-20_CLVR_at_HNTN</t>
        </is>
      </c>
      <c r="B571" s="2" t="n">
        <v>46101</v>
      </c>
      <c r="C571" s="8" t="inlineStr">
        <is>
          <t>Calvert HS</t>
        </is>
      </c>
      <c r="D571" s="8" t="inlineStr">
        <is>
          <t>HNTN</t>
        </is>
      </c>
      <c r="E571" s="8" t="inlineStr">
        <is>
          <t>J Laur</t>
        </is>
      </c>
      <c r="F571" s="8" t="n">
        <v>2</v>
      </c>
      <c r="G571" s="8" t="n">
        <v>2</v>
      </c>
      <c r="H571" s="8" t="n">
        <v>0</v>
      </c>
      <c r="I571" s="8" t="n">
        <v>0</v>
      </c>
      <c r="J571" s="8" t="n">
        <v>0</v>
      </c>
      <c r="K571" s="8" t="n">
        <v>0</v>
      </c>
      <c r="L571" s="8" t="n">
        <v>0</v>
      </c>
      <c r="M571" s="8" t="n">
        <v>0</v>
      </c>
      <c r="N571" s="8" t="n">
        <v>0</v>
      </c>
      <c r="O571" s="8" t="n">
        <v>0</v>
      </c>
      <c r="P571" s="8" t="n">
        <v>0</v>
      </c>
      <c r="Q571" s="8" t="n">
        <v>0</v>
      </c>
      <c r="R571" s="8" t="n">
        <v>0</v>
      </c>
      <c r="S571" s="8" t="n">
        <v>0</v>
      </c>
      <c r="T571" s="8" t="n">
        <v>0</v>
      </c>
      <c r="U571" s="8" t="n">
        <v>0</v>
      </c>
      <c r="V571" s="8" t="n">
        <v>0</v>
      </c>
      <c r="W571" s="8" t="n">
        <v>0</v>
      </c>
      <c r="X571" s="8" t="n">
        <v>0</v>
      </c>
      <c r="Y571" s="8" t="inlineStr">
        <is>
          <t>GO B2 play #14; PO B6 play #47; replaced by T Burghard PH in B4 play #30 (Flag #8); re-enters as PR for T Burghard B4 play #31 (circular substitution, Flag #8); also pitches T6–T7 (inferred entry, Flag #6)</t>
        </is>
      </c>
    </row>
    <row r="572" ht="15.75" customHeight="1" s="35">
      <c r="A572" s="8" t="inlineStr">
        <is>
          <t>2026-03-20_CLVR_at_HNTN</t>
        </is>
      </c>
      <c r="B572" s="2" t="n">
        <v>46101</v>
      </c>
      <c r="C572" s="8" t="inlineStr">
        <is>
          <t>Calvert HS</t>
        </is>
      </c>
      <c r="D572" s="8" t="inlineStr">
        <is>
          <t>HNTN</t>
        </is>
      </c>
      <c r="E572" s="8" t="inlineStr">
        <is>
          <t>C Wargo</t>
        </is>
      </c>
      <c r="F572" s="8" t="n">
        <v>3</v>
      </c>
      <c r="G572" s="8" t="n">
        <v>3</v>
      </c>
      <c r="H572" s="8" t="n">
        <v>1</v>
      </c>
      <c r="I572" s="8" t="n">
        <v>1</v>
      </c>
      <c r="J572" s="8" t="n">
        <v>0</v>
      </c>
      <c r="K572" s="8" t="n">
        <v>0</v>
      </c>
      <c r="L572" s="8" t="n">
        <v>0</v>
      </c>
      <c r="M572" s="8" t="n">
        <v>0</v>
      </c>
      <c r="N572" s="8" t="n">
        <v>0</v>
      </c>
      <c r="O572" s="8" t="n">
        <v>1</v>
      </c>
      <c r="P572" s="8" t="n">
        <v>1</v>
      </c>
      <c r="Q572" s="8" t="n">
        <v>0</v>
      </c>
      <c r="R572" s="8" t="n">
        <v>1</v>
      </c>
      <c r="S572" s="8" t="n">
        <v>0</v>
      </c>
      <c r="T572" s="8" t="n">
        <v>3</v>
      </c>
      <c r="U572" s="8" t="n">
        <v>0</v>
      </c>
      <c r="V572" s="8" t="n">
        <v>0</v>
      </c>
      <c r="W572" s="8" t="n">
        <v>0</v>
      </c>
      <c r="X572" s="8" t="n">
        <v>0</v>
      </c>
      <c r="Y572" s="8" t="inlineStr">
        <is>
          <t>1B B2 play #15 (pop fly to catcher — Flag #9); FO B4 play #31; K_L B6 play #48; SBs: 2nd B2 play #17 embedded in R Bolger walk; 3rd and home B2 play #18 embedded in Runner Out entry (Flags #10, #11); scores B2 via steal of home</t>
        </is>
      </c>
    </row>
    <row r="573" ht="15.75" customHeight="1" s="35">
      <c r="A573" s="8" t="inlineStr">
        <is>
          <t>2026-03-20_CLVR_at_HNTN</t>
        </is>
      </c>
      <c r="B573" s="2" t="n">
        <v>46101</v>
      </c>
      <c r="C573" s="8" t="inlineStr">
        <is>
          <t>Calvert HS</t>
        </is>
      </c>
      <c r="D573" s="8" t="inlineStr">
        <is>
          <t>HNTN</t>
        </is>
      </c>
      <c r="E573" s="8" t="inlineStr">
        <is>
          <t>J Walter</t>
        </is>
      </c>
      <c r="F573" s="8" t="n">
        <v>2</v>
      </c>
      <c r="G573" s="8" t="n">
        <v>2</v>
      </c>
      <c r="H573" s="8" t="n">
        <v>0</v>
      </c>
      <c r="I573" s="8" t="n">
        <v>0</v>
      </c>
      <c r="J573" s="8" t="n">
        <v>0</v>
      </c>
      <c r="K573" s="8" t="n">
        <v>0</v>
      </c>
      <c r="L573" s="8" t="n">
        <v>0</v>
      </c>
      <c r="M573" s="8" t="n">
        <v>0</v>
      </c>
      <c r="N573" s="8" t="n">
        <v>0</v>
      </c>
      <c r="O573" s="8" t="n">
        <v>2</v>
      </c>
      <c r="P573" s="8" t="n">
        <v>0</v>
      </c>
      <c r="Q573" s="8" t="n">
        <v>2</v>
      </c>
      <c r="R573" s="8" t="n">
        <v>0</v>
      </c>
      <c r="S573" s="8" t="n">
        <v>0</v>
      </c>
      <c r="T573" s="8" t="n">
        <v>0</v>
      </c>
      <c r="U573" s="8" t="n">
        <v>0</v>
      </c>
      <c r="V573" s="8" t="n">
        <v>0</v>
      </c>
      <c r="W573" s="8" t="n">
        <v>0</v>
      </c>
      <c r="X573" s="8" t="n">
        <v>0</v>
      </c>
      <c r="Y573" s="8" t="inlineStr">
        <is>
          <t>K_S B2 play #16; K_S B4 play #32 (play description says 'looking' but pitch seq final pitch 'Strike 3 swinging' — K_S per Section 4); incomplete AB B7 play #54 not counted (Flag #4)</t>
        </is>
      </c>
    </row>
    <row r="574" ht="15.75" customHeight="1" s="35">
      <c r="A574" s="8" t="inlineStr">
        <is>
          <t>2026-03-20_CLVR_at_HNTN</t>
        </is>
      </c>
      <c r="B574" s="2" t="n">
        <v>46101</v>
      </c>
      <c r="C574" s="8" t="inlineStr">
        <is>
          <t>Calvert HS</t>
        </is>
      </c>
      <c r="D574" s="8" t="inlineStr">
        <is>
          <t>HNTN</t>
        </is>
      </c>
      <c r="E574" s="8" t="inlineStr">
        <is>
          <t>T Burghard</t>
        </is>
      </c>
      <c r="F574" s="8" t="n">
        <v>1</v>
      </c>
      <c r="G574" s="8" t="n">
        <v>0</v>
      </c>
      <c r="H574" s="8" t="n">
        <v>0</v>
      </c>
      <c r="I574" s="8" t="n">
        <v>0</v>
      </c>
      <c r="J574" s="8" t="n">
        <v>0</v>
      </c>
      <c r="K574" s="8" t="n">
        <v>0</v>
      </c>
      <c r="L574" s="8" t="n">
        <v>0</v>
      </c>
      <c r="M574" s="8" t="n">
        <v>1</v>
      </c>
      <c r="N574" s="8" t="n">
        <v>0</v>
      </c>
      <c r="O574" s="8" t="n">
        <v>0</v>
      </c>
      <c r="P574" s="8" t="n">
        <v>0</v>
      </c>
      <c r="Q574" s="8" t="n">
        <v>0</v>
      </c>
      <c r="R574" s="8" t="n">
        <v>0</v>
      </c>
      <c r="S574" s="8" t="n">
        <v>0</v>
      </c>
      <c r="T574" s="8" t="n">
        <v>0</v>
      </c>
      <c r="U574" s="8" t="n">
        <v>0</v>
      </c>
      <c r="V574" s="8" t="n">
        <v>0</v>
      </c>
      <c r="W574" s="8" t="n">
        <v>0</v>
      </c>
      <c r="X574" s="8" t="n">
        <v>0</v>
      </c>
      <c r="Y574" s="8" t="inlineStr">
        <is>
          <t>PH for J Laur B4 play #30 (Flag #8); walk; replaced on base by PR J Laur play #31 (circular substitution, Flag #8)</t>
        </is>
      </c>
    </row>
    <row r="575" ht="15.75" customHeight="1" s="35">
      <c r="A575" s="8" t="inlineStr">
        <is>
          <t>2026-03-20_CLVR_at_HNTN</t>
        </is>
      </c>
      <c r="B575" s="2" t="n">
        <v>46101</v>
      </c>
      <c r="C575" s="8" t="inlineStr">
        <is>
          <t>Huntingtown Varsity Hurricanes</t>
        </is>
      </c>
      <c r="D575" s="8" t="inlineStr">
        <is>
          <t>CLVR</t>
        </is>
      </c>
      <c r="E575" s="8" t="inlineStr">
        <is>
          <t>G Groom</t>
        </is>
      </c>
      <c r="F575" s="8" t="n">
        <v>3</v>
      </c>
      <c r="G575" s="8" t="n">
        <v>3</v>
      </c>
      <c r="H575" s="8" t="n">
        <v>0</v>
      </c>
      <c r="I575" s="8" t="n">
        <v>0</v>
      </c>
      <c r="J575" s="8" t="n">
        <v>0</v>
      </c>
      <c r="K575" s="8" t="n">
        <v>0</v>
      </c>
      <c r="L575" s="8" t="n">
        <v>0</v>
      </c>
      <c r="M575" s="8" t="n">
        <v>0</v>
      </c>
      <c r="N575" s="8" t="n">
        <v>0</v>
      </c>
      <c r="O575" s="8" t="n">
        <v>0</v>
      </c>
      <c r="P575" s="8" t="n">
        <v>0</v>
      </c>
      <c r="Q575" s="8" t="n">
        <v>0</v>
      </c>
      <c r="R575" s="8" t="n">
        <v>0</v>
      </c>
      <c r="S575" s="8" t="n">
        <v>0</v>
      </c>
      <c r="T575" s="8" t="n">
        <v>0</v>
      </c>
      <c r="U575" s="8" t="n">
        <v>0</v>
      </c>
      <c r="V575" s="8" t="n">
        <v>0</v>
      </c>
      <c r="W575" s="8" t="n">
        <v>0</v>
      </c>
      <c r="X575" s="8" t="n">
        <v>0</v>
      </c>
      <c r="Y575" s="8" t="inlineStr">
        <is>
          <t>LO T1 play #1; FO T3 play #21; FO T6 play #41; also CLVR SS fielder</t>
        </is>
      </c>
    </row>
    <row r="576" ht="15.75" customHeight="1" s="35">
      <c r="A576" s="8" t="inlineStr">
        <is>
          <t>2026-03-20_CLVR_at_HNTN</t>
        </is>
      </c>
      <c r="B576" s="2" t="n">
        <v>46101</v>
      </c>
      <c r="C576" s="8" t="inlineStr">
        <is>
          <t>Huntingtown Varsity Hurricanes</t>
        </is>
      </c>
      <c r="D576" s="8" t="inlineStr">
        <is>
          <t>CLVR</t>
        </is>
      </c>
      <c r="E576" s="8" t="inlineStr">
        <is>
          <t>J Rodenhaver</t>
        </is>
      </c>
      <c r="F576" s="8" t="n">
        <v>3</v>
      </c>
      <c r="G576" s="8" t="n">
        <v>3</v>
      </c>
      <c r="H576" s="8" t="n">
        <v>1</v>
      </c>
      <c r="I576" s="8" t="n">
        <v>1</v>
      </c>
      <c r="J576" s="8" t="n">
        <v>0</v>
      </c>
      <c r="K576" s="8" t="n">
        <v>0</v>
      </c>
      <c r="L576" s="8" t="n">
        <v>0</v>
      </c>
      <c r="M576" s="8" t="n">
        <v>0</v>
      </c>
      <c r="N576" s="8" t="n">
        <v>0</v>
      </c>
      <c r="O576" s="8" t="n">
        <v>0</v>
      </c>
      <c r="P576" s="8" t="n">
        <v>0</v>
      </c>
      <c r="Q576" s="8" t="n">
        <v>0</v>
      </c>
      <c r="R576" s="8" t="n">
        <v>0</v>
      </c>
      <c r="S576" s="8" t="n">
        <v>0</v>
      </c>
      <c r="T576" s="8" t="n">
        <v>1</v>
      </c>
      <c r="U576" s="8" t="n">
        <v>0</v>
      </c>
      <c r="V576" s="8" t="n">
        <v>0</v>
      </c>
      <c r="W576" s="8" t="n">
        <v>0</v>
      </c>
      <c r="X576" s="8" t="n">
        <v>0</v>
      </c>
      <c r="Y576" s="8" t="inlineStr">
        <is>
          <t>Reaches on HNTN 3B J Laur error T1 play #2 (no H); 1B T6 play #42; GO T4 play #25; SB 2nd T1 embedded in D Sauls AB play #4</t>
        </is>
      </c>
    </row>
    <row r="577" ht="15.75" customHeight="1" s="35">
      <c r="A577" s="8" t="inlineStr">
        <is>
          <t>2026-03-20_CLVR_at_HNTN</t>
        </is>
      </c>
      <c r="B577" s="2" t="n">
        <v>46101</v>
      </c>
      <c r="C577" s="8" t="inlineStr">
        <is>
          <t>Huntingtown Varsity Hurricanes</t>
        </is>
      </c>
      <c r="D577" s="8" t="inlineStr">
        <is>
          <t>CLVR</t>
        </is>
      </c>
      <c r="E577" s="8" t="inlineStr">
        <is>
          <t>J Lee</t>
        </is>
      </c>
      <c r="F577" s="8" t="n">
        <v>3</v>
      </c>
      <c r="G577" s="8" t="n">
        <v>3</v>
      </c>
      <c r="H577" s="8" t="n">
        <v>0</v>
      </c>
      <c r="I577" s="8" t="n">
        <v>0</v>
      </c>
      <c r="J577" s="8" t="n">
        <v>0</v>
      </c>
      <c r="K577" s="8" t="n">
        <v>0</v>
      </c>
      <c r="L577" s="8" t="n">
        <v>0</v>
      </c>
      <c r="M577" s="8" t="n">
        <v>0</v>
      </c>
      <c r="N577" s="8" t="n">
        <v>0</v>
      </c>
      <c r="O577" s="8" t="n">
        <v>3</v>
      </c>
      <c r="P577" s="8" t="n">
        <v>2</v>
      </c>
      <c r="Q577" s="8" t="n">
        <v>1</v>
      </c>
      <c r="R577" s="8" t="n">
        <v>0</v>
      </c>
      <c r="S577" s="8" t="n">
        <v>0</v>
      </c>
      <c r="T577" s="8" t="n">
        <v>0</v>
      </c>
      <c r="U577" s="8" t="n">
        <v>0</v>
      </c>
      <c r="V577" s="8" t="n">
        <v>0</v>
      </c>
      <c r="W577" s="8" t="n">
        <v>0</v>
      </c>
      <c r="X577" s="8" t="n">
        <v>0</v>
      </c>
      <c r="Y577" s="8" t="inlineStr">
        <is>
          <t>K_L T1 play #3; K_S T4 play #26; K_L T6 play #43; also CLVR starting pitcher B1–B5 (Flag #5)</t>
        </is>
      </c>
    </row>
    <row r="578" ht="15.75" customHeight="1" s="35">
      <c r="A578" s="8" t="inlineStr">
        <is>
          <t>2026-03-20_CLVR_at_HNTN</t>
        </is>
      </c>
      <c r="B578" s="2" t="n">
        <v>46101</v>
      </c>
      <c r="C578" s="8" t="inlineStr">
        <is>
          <t>Huntingtown Varsity Hurricanes</t>
        </is>
      </c>
      <c r="D578" s="8" t="inlineStr">
        <is>
          <t>CLVR</t>
        </is>
      </c>
      <c r="E578" s="8" t="inlineStr">
        <is>
          <t>D Sauls</t>
        </is>
      </c>
      <c r="F578" s="8" t="n">
        <v>3</v>
      </c>
      <c r="G578" s="8" t="n">
        <v>2</v>
      </c>
      <c r="H578" s="8" t="n">
        <v>0</v>
      </c>
      <c r="I578" s="8" t="n">
        <v>0</v>
      </c>
      <c r="J578" s="8" t="n">
        <v>0</v>
      </c>
      <c r="K578" s="8" t="n">
        <v>0</v>
      </c>
      <c r="L578" s="8" t="n">
        <v>0</v>
      </c>
      <c r="M578" s="8" t="n">
        <v>1</v>
      </c>
      <c r="N578" s="8" t="n">
        <v>0</v>
      </c>
      <c r="O578" s="8" t="n">
        <v>2</v>
      </c>
      <c r="P578" s="8" t="n">
        <v>1</v>
      </c>
      <c r="Q578" s="8" t="n">
        <v>1</v>
      </c>
      <c r="R578" s="8" t="n">
        <v>0</v>
      </c>
      <c r="S578" s="8" t="n">
        <v>0</v>
      </c>
      <c r="T578" s="8" t="n">
        <v>0</v>
      </c>
      <c r="U578" s="8" t="n">
        <v>0</v>
      </c>
      <c r="V578" s="8" t="n">
        <v>0</v>
      </c>
      <c r="W578" s="8" t="n">
        <v>0</v>
      </c>
      <c r="X578" s="8" t="n">
        <v>0</v>
      </c>
      <c r="Y578" s="8" t="inlineStr">
        <is>
          <t>K_L T1 play #4; K_S T4 play #27; walk T7 play #49; advances to 3rd on M Merriman 2B but doesn't score</t>
        </is>
      </c>
    </row>
    <row r="579" ht="15.75" customHeight="1" s="35">
      <c r="A579" s="8" t="inlineStr">
        <is>
          <t>2026-03-20_CLVR_at_HNTN</t>
        </is>
      </c>
      <c r="B579" s="2" t="n">
        <v>46101</v>
      </c>
      <c r="C579" s="8" t="inlineStr">
        <is>
          <t>Huntingtown Varsity Hurricanes</t>
        </is>
      </c>
      <c r="D579" s="8" t="inlineStr">
        <is>
          <t>CLVR</t>
        </is>
      </c>
      <c r="E579" s="8" t="inlineStr">
        <is>
          <t>M Merriman</t>
        </is>
      </c>
      <c r="F579" s="8" t="n">
        <v>3</v>
      </c>
      <c r="G579" s="8" t="n">
        <v>3</v>
      </c>
      <c r="H579" s="8" t="n">
        <v>1</v>
      </c>
      <c r="I579" s="8" t="n">
        <v>0</v>
      </c>
      <c r="J579" s="8" t="n">
        <v>1</v>
      </c>
      <c r="K579" s="8" t="n">
        <v>0</v>
      </c>
      <c r="L579" s="8" t="n">
        <v>0</v>
      </c>
      <c r="M579" s="8" t="n">
        <v>0</v>
      </c>
      <c r="N579" s="8" t="n">
        <v>0</v>
      </c>
      <c r="O579" s="8" t="n">
        <v>0</v>
      </c>
      <c r="P579" s="8" t="n">
        <v>0</v>
      </c>
      <c r="Q579" s="8" t="n">
        <v>0</v>
      </c>
      <c r="R579" s="8" t="n">
        <v>0</v>
      </c>
      <c r="S579" s="8" t="n">
        <v>0</v>
      </c>
      <c r="T579" s="8" t="n">
        <v>0</v>
      </c>
      <c r="U579" s="8" t="n">
        <v>0</v>
      </c>
      <c r="V579" s="8" t="n">
        <v>0</v>
      </c>
      <c r="W579" s="8" t="n">
        <v>0</v>
      </c>
      <c r="X579" s="8" t="n">
        <v>0</v>
      </c>
      <c r="Y579" s="8" t="inlineStr">
        <is>
          <t>GO T2 play #11; PO T5 play #33; 2B T7 play #50 (D Sauls to 3rd); does not score</t>
        </is>
      </c>
    </row>
    <row r="580" ht="15.75" customHeight="1" s="35">
      <c r="A580" s="8" t="inlineStr">
        <is>
          <t>2026-03-20_CLVR_at_HNTN</t>
        </is>
      </c>
      <c r="B580" s="2" t="n">
        <v>46101</v>
      </c>
      <c r="C580" s="8" t="inlineStr">
        <is>
          <t>Huntingtown Varsity Hurricanes</t>
        </is>
      </c>
      <c r="D580" s="8" t="inlineStr">
        <is>
          <t>CLVR</t>
        </is>
      </c>
      <c r="E580" s="8" t="inlineStr">
        <is>
          <t>J Leichtweis</t>
        </is>
      </c>
      <c r="F580" s="8" t="n">
        <v>3</v>
      </c>
      <c r="G580" s="8" t="n">
        <v>3</v>
      </c>
      <c r="H580" s="8" t="n">
        <v>0</v>
      </c>
      <c r="I580" s="8" t="n">
        <v>0</v>
      </c>
      <c r="J580" s="8" t="n">
        <v>0</v>
      </c>
      <c r="K580" s="8" t="n">
        <v>0</v>
      </c>
      <c r="L580" s="8" t="n">
        <v>0</v>
      </c>
      <c r="M580" s="8" t="n">
        <v>0</v>
      </c>
      <c r="N580" s="8" t="n">
        <v>0</v>
      </c>
      <c r="O580" s="8" t="n">
        <v>1</v>
      </c>
      <c r="P580" s="8" t="n">
        <v>0</v>
      </c>
      <c r="Q580" s="8" t="n">
        <v>1</v>
      </c>
      <c r="R580" s="8" t="n">
        <v>0</v>
      </c>
      <c r="S580" s="8" t="n">
        <v>0</v>
      </c>
      <c r="T580" s="8" t="n">
        <v>0</v>
      </c>
      <c r="U580" s="8" t="n">
        <v>0</v>
      </c>
      <c r="V580" s="8" t="n">
        <v>0</v>
      </c>
      <c r="W580" s="8" t="n">
        <v>0</v>
      </c>
      <c r="X580" s="8" t="n">
        <v>0</v>
      </c>
      <c r="Y580" s="8" t="inlineStr">
        <is>
          <t>FO T2 play #12; PO T5 play #34; K_S T7 play #51; also CLVR pitcher B6 (inferred entry, Flag #7)</t>
        </is>
      </c>
    </row>
    <row r="581" ht="15.75" customHeight="1" s="35">
      <c r="A581" s="8" t="inlineStr">
        <is>
          <t>2026-03-20_CLVR_at_HNTN</t>
        </is>
      </c>
      <c r="B581" s="2" t="n">
        <v>46101</v>
      </c>
      <c r="C581" s="8" t="inlineStr">
        <is>
          <t>Huntingtown Varsity Hurricanes</t>
        </is>
      </c>
      <c r="D581" s="8" t="inlineStr">
        <is>
          <t>CLVR</t>
        </is>
      </c>
      <c r="E581" s="8" t="inlineStr">
        <is>
          <t>N D'Agostino</t>
        </is>
      </c>
      <c r="F581" s="8" t="n">
        <v>3</v>
      </c>
      <c r="G581" s="8" t="n">
        <v>3</v>
      </c>
      <c r="H581" s="8" t="n">
        <v>1</v>
      </c>
      <c r="I581" s="8" t="n">
        <v>1</v>
      </c>
      <c r="J581" s="8" t="n">
        <v>0</v>
      </c>
      <c r="K581" s="8" t="n">
        <v>0</v>
      </c>
      <c r="L581" s="8" t="n">
        <v>0</v>
      </c>
      <c r="M581" s="8" t="n">
        <v>0</v>
      </c>
      <c r="N581" s="8" t="n">
        <v>0</v>
      </c>
      <c r="O581" s="8" t="n">
        <v>1</v>
      </c>
      <c r="P581" s="8" t="n">
        <v>1</v>
      </c>
      <c r="Q581" s="8" t="n">
        <v>0</v>
      </c>
      <c r="R581" s="8" t="n">
        <v>0</v>
      </c>
      <c r="S581" s="8" t="n">
        <v>0</v>
      </c>
      <c r="T581" s="8" t="n">
        <v>0</v>
      </c>
      <c r="U581" s="8" t="n">
        <v>0</v>
      </c>
      <c r="V581" s="8" t="n">
        <v>0</v>
      </c>
      <c r="W581" s="8" t="n">
        <v>0</v>
      </c>
      <c r="X581" s="8" t="n">
        <v>0</v>
      </c>
      <c r="Y581" s="8" t="inlineStr">
        <is>
          <t>FO T2 play #13; 1B T5 play #35 (doesn't score); K_L T7 play #52</t>
        </is>
      </c>
    </row>
    <row r="582" ht="15.75" customHeight="1" s="35">
      <c r="A582" s="8" t="inlineStr">
        <is>
          <t>2026-03-20_CLVR_at_HNTN</t>
        </is>
      </c>
      <c r="B582" s="2" t="n">
        <v>46101</v>
      </c>
      <c r="C582" s="8" t="inlineStr">
        <is>
          <t>Huntingtown Varsity Hurricanes</t>
        </is>
      </c>
      <c r="D582" s="8" t="inlineStr">
        <is>
          <t>CLVR</t>
        </is>
      </c>
      <c r="E582" s="8" t="inlineStr">
        <is>
          <t>C Sacker</t>
        </is>
      </c>
      <c r="F582" s="8" t="n">
        <v>2</v>
      </c>
      <c r="G582" s="8" t="n">
        <v>2</v>
      </c>
      <c r="H582" s="8" t="n">
        <v>0</v>
      </c>
      <c r="I582" s="8" t="n">
        <v>0</v>
      </c>
      <c r="J582" s="8" t="n">
        <v>0</v>
      </c>
      <c r="K582" s="8" t="n">
        <v>0</v>
      </c>
      <c r="L582" s="8" t="n">
        <v>0</v>
      </c>
      <c r="M582" s="8" t="n">
        <v>0</v>
      </c>
      <c r="N582" s="8" t="n">
        <v>0</v>
      </c>
      <c r="O582" s="8" t="n">
        <v>0</v>
      </c>
      <c r="P582" s="8" t="n">
        <v>0</v>
      </c>
      <c r="Q582" s="8" t="n">
        <v>0</v>
      </c>
      <c r="R582" s="8" t="n">
        <v>0</v>
      </c>
      <c r="S582" s="8" t="n">
        <v>0</v>
      </c>
      <c r="T582" s="8" t="n">
        <v>0</v>
      </c>
      <c r="U582" s="8" t="n">
        <v>0</v>
      </c>
      <c r="V582" s="8" t="n">
        <v>0</v>
      </c>
      <c r="W582" s="8" t="n">
        <v>0</v>
      </c>
      <c r="X582" s="8" t="n">
        <v>0</v>
      </c>
      <c r="Y582" s="8" t="inlineStr">
        <is>
          <t>GO T3 play #19; FO T5 play #36; replaced by CLVR_#13 PH T7 play #53; also CLVR catcher — 2 errors plays #46, #47 (Flags #14, #15)</t>
        </is>
      </c>
    </row>
    <row r="583" ht="15.75" customHeight="1" s="35">
      <c r="A583" s="8" t="inlineStr">
        <is>
          <t>2026-03-20_CLVR_at_HNTN</t>
        </is>
      </c>
      <c r="B583" s="2" t="n">
        <v>46101</v>
      </c>
      <c r="C583" s="8" t="inlineStr">
        <is>
          <t>Huntingtown Varsity Hurricanes</t>
        </is>
      </c>
      <c r="D583" s="8" t="inlineStr">
        <is>
          <t>CLVR</t>
        </is>
      </c>
      <c r="E583" s="8" t="inlineStr">
        <is>
          <t>C Hall</t>
        </is>
      </c>
      <c r="F583" s="8" t="n">
        <v>2</v>
      </c>
      <c r="G583" s="8" t="n">
        <v>2</v>
      </c>
      <c r="H583" s="8" t="n">
        <v>0</v>
      </c>
      <c r="I583" s="8" t="n">
        <v>0</v>
      </c>
      <c r="J583" s="8" t="n">
        <v>0</v>
      </c>
      <c r="K583" s="8" t="n">
        <v>0</v>
      </c>
      <c r="L583" s="8" t="n">
        <v>0</v>
      </c>
      <c r="M583" s="8" t="n">
        <v>0</v>
      </c>
      <c r="N583" s="8" t="n">
        <v>0</v>
      </c>
      <c r="O583" s="8" t="n">
        <v>0</v>
      </c>
      <c r="P583" s="8" t="n">
        <v>0</v>
      </c>
      <c r="Q583" s="8" t="n">
        <v>0</v>
      </c>
      <c r="R583" s="8" t="n">
        <v>0</v>
      </c>
      <c r="S583" s="8" t="n">
        <v>0</v>
      </c>
      <c r="T583" s="8" t="n">
        <v>0</v>
      </c>
      <c r="U583" s="8" t="n">
        <v>0</v>
      </c>
      <c r="V583" s="8" t="n">
        <v>0</v>
      </c>
      <c r="W583" s="8" t="n">
        <v>0</v>
      </c>
      <c r="X583" s="8" t="n">
        <v>0</v>
      </c>
      <c r="Y583" s="8" t="inlineStr">
        <is>
          <t>PO T3 play #20; FO T6 play #40</t>
        </is>
      </c>
    </row>
    <row r="584" ht="15.75" customHeight="1" s="35">
      <c r="A584" s="8" t="inlineStr">
        <is>
          <t>2026-03-20_CLVR_at_HNTN</t>
        </is>
      </c>
      <c r="B584" s="2" t="n">
        <v>46101</v>
      </c>
      <c r="C584" s="8" t="inlineStr">
        <is>
          <t>Huntingtown Varsity Hurricanes</t>
        </is>
      </c>
      <c r="D584" s="8" t="inlineStr">
        <is>
          <t>CLVR</t>
        </is>
      </c>
      <c r="E584" s="8" t="inlineStr">
        <is>
          <t>CLVR_#13</t>
        </is>
      </c>
      <c r="F584" s="8" t="n">
        <v>1</v>
      </c>
      <c r="G584" s="8" t="n">
        <v>1</v>
      </c>
      <c r="H584" s="8" t="n">
        <v>0</v>
      </c>
      <c r="I584" s="8" t="n">
        <v>0</v>
      </c>
      <c r="J584" s="8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8" t="n">
        <v>1</v>
      </c>
      <c r="P584" s="8" t="n">
        <v>0</v>
      </c>
      <c r="Q584" s="8" t="n">
        <v>1</v>
      </c>
      <c r="R584" s="8" t="n">
        <v>0</v>
      </c>
      <c r="S584" s="8" t="n">
        <v>0</v>
      </c>
      <c r="T584" s="8" t="n">
        <v>0</v>
      </c>
      <c r="U584" s="8" t="n">
        <v>0</v>
      </c>
      <c r="V584" s="8" t="n">
        <v>0</v>
      </c>
      <c r="W584" s="8" t="n">
        <v>0</v>
      </c>
      <c r="X584" s="8" t="n">
        <v>0</v>
      </c>
      <c r="Y584" s="8" t="inlineStr">
        <is>
          <t>PH for C Sacker T7 play #53; K_S; identified by jersey number only — Flag #12</t>
        </is>
      </c>
    </row>
    <row r="585" ht="15.75" customHeight="1" s="35">
      <c r="A585" s="8" t="inlineStr">
        <is>
          <t>2026-03-23_PTXN_at_HNTN</t>
        </is>
      </c>
      <c r="B585" s="2" t="n">
        <v>46104</v>
      </c>
      <c r="C585" s="8" t="inlineStr">
        <is>
          <t>Patuxent</t>
        </is>
      </c>
      <c r="D585" s="8" t="inlineStr">
        <is>
          <t>HNTN</t>
        </is>
      </c>
      <c r="E585" s="8" t="inlineStr">
        <is>
          <t>N McMurray</t>
        </is>
      </c>
      <c r="F585" s="8" t="n">
        <v>4</v>
      </c>
      <c r="G585" s="8" t="n">
        <v>4</v>
      </c>
      <c r="H585" s="8" t="n">
        <v>2</v>
      </c>
      <c r="I585" s="8" t="n">
        <v>2</v>
      </c>
      <c r="J585" s="8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8" t="n">
        <v>1</v>
      </c>
      <c r="P585" s="8" t="n">
        <v>0</v>
      </c>
      <c r="Q585" s="8" t="n">
        <v>1</v>
      </c>
      <c r="R585" s="8" t="n">
        <v>2</v>
      </c>
      <c r="S585" s="8" t="n">
        <v>1</v>
      </c>
      <c r="T585" s="8" t="n">
        <v>0</v>
      </c>
      <c r="U585" s="8" t="n">
        <v>0</v>
      </c>
      <c r="V585" s="8" t="n">
        <v>0</v>
      </c>
      <c r="W585" s="8" t="n">
        <v>0</v>
      </c>
      <c r="X585" s="8" t="n">
        <v>0</v>
      </c>
      <c r="Y585" s="8" t="inlineStr">
        <is>
          <t>Reaches on PTXN 3B error B1 play #5 (advances to 2nd on same error, no H); 1B B2 play #18 (fly ball notation, Flag #10) scores C Wargo from 3rd (1 RBI); advances to 3rd on T Lakey CF error play #18; 1B B4 play #40; scores B1 on J Hann single play #9 and B4 on J Cadden single play #42; K_S B6 play #57</t>
        </is>
      </c>
    </row>
    <row r="586" ht="15.75" customHeight="1" s="35">
      <c r="A586" s="8" t="inlineStr">
        <is>
          <t>2026-03-23_PTXN_at_HNTN</t>
        </is>
      </c>
      <c r="B586" s="2" t="n">
        <v>46104</v>
      </c>
      <c r="C586" s="8" t="inlineStr">
        <is>
          <t>Patuxent</t>
        </is>
      </c>
      <c r="D586" s="8" t="inlineStr">
        <is>
          <t>HNTN</t>
        </is>
      </c>
      <c r="E586" s="8" t="inlineStr">
        <is>
          <t>R Bolger</t>
        </is>
      </c>
      <c r="F586" s="8" t="n">
        <v>4</v>
      </c>
      <c r="G586" s="8" t="n">
        <v>4</v>
      </c>
      <c r="H586" s="8" t="n">
        <v>2</v>
      </c>
      <c r="I586" s="8" t="n">
        <v>2</v>
      </c>
      <c r="J586" s="8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8" t="n">
        <v>0</v>
      </c>
      <c r="P586" s="8" t="n">
        <v>0</v>
      </c>
      <c r="Q586" s="8" t="n">
        <v>0</v>
      </c>
      <c r="R586" s="8" t="n">
        <v>0</v>
      </c>
      <c r="S586" s="8" t="n">
        <v>1</v>
      </c>
      <c r="T586" s="8" t="n">
        <v>0</v>
      </c>
      <c r="U586" s="8" t="n">
        <v>0</v>
      </c>
      <c r="V586" s="8" t="n">
        <v>0</v>
      </c>
      <c r="W586" s="8" t="n">
        <v>0</v>
      </c>
      <c r="X586" s="8" t="n">
        <v>1</v>
      </c>
      <c r="Y586" s="8" t="inlineStr">
        <is>
          <t>FO B1 play #6; 1B B2 play #19; FC B4 play #41 (G Grimes out advancing); walk-off 1B B6 play #58 scores C Wargo (1 RBI, Flag #13); CR L Montgomery in B4 play #42 and B6 play #59 — L Montgomery does not score either time</t>
        </is>
      </c>
    </row>
    <row r="587" ht="15.75" customHeight="1" s="35">
      <c r="A587" s="8" t="inlineStr">
        <is>
          <t>2026-03-23_PTXN_at_HNTN</t>
        </is>
      </c>
      <c r="B587" s="2" t="n">
        <v>46104</v>
      </c>
      <c r="C587" s="8" t="inlineStr">
        <is>
          <t>Patuxent</t>
        </is>
      </c>
      <c r="D587" s="8" t="inlineStr">
        <is>
          <t>HNTN</t>
        </is>
      </c>
      <c r="E587" s="8" t="inlineStr">
        <is>
          <t>J Cadden</t>
        </is>
      </c>
      <c r="F587" s="8" t="n">
        <v>4</v>
      </c>
      <c r="G587" s="8" t="n">
        <v>3</v>
      </c>
      <c r="H587" s="8" t="n">
        <v>2</v>
      </c>
      <c r="I587" s="8" t="n">
        <v>2</v>
      </c>
      <c r="J587" s="8" t="n">
        <v>0</v>
      </c>
      <c r="K587" s="8" t="n">
        <v>0</v>
      </c>
      <c r="L587" s="8" t="n">
        <v>0</v>
      </c>
      <c r="M587" s="8" t="n">
        <v>1</v>
      </c>
      <c r="N587" s="8" t="n">
        <v>0</v>
      </c>
      <c r="O587" s="8" t="n">
        <v>1</v>
      </c>
      <c r="P587" s="8" t="n">
        <v>0</v>
      </c>
      <c r="Q587" s="8" t="n">
        <v>1</v>
      </c>
      <c r="R587" s="8" t="n">
        <v>1</v>
      </c>
      <c r="S587" s="8" t="n">
        <v>1</v>
      </c>
      <c r="T587" s="8" t="n">
        <v>0</v>
      </c>
      <c r="U587" s="8" t="n">
        <v>0</v>
      </c>
      <c r="V587" s="8" t="n">
        <v>0</v>
      </c>
      <c r="W587" s="8" t="n">
        <v>0</v>
      </c>
      <c r="X587" s="8" t="n">
        <v>0</v>
      </c>
      <c r="Y587" s="8" t="inlineStr">
        <is>
          <t>Walk B1 play #7; K_S B2 play #20; 1B B4 play #42 scores N McMurray (1 RBI); 1B B6 play #59; scores B1 on PB during J Laur AB play #10 (no RBI for J Laur)</t>
        </is>
      </c>
    </row>
    <row r="588" ht="15.75" customHeight="1" s="35">
      <c r="A588" s="8" t="inlineStr">
        <is>
          <t>2026-03-23_PTXN_at_HNTN</t>
        </is>
      </c>
      <c r="B588" s="2" t="n">
        <v>46104</v>
      </c>
      <c r="C588" s="8" t="inlineStr">
        <is>
          <t>Patuxent</t>
        </is>
      </c>
      <c r="D588" s="8" t="inlineStr">
        <is>
          <t>HNTN</t>
        </is>
      </c>
      <c r="E588" s="8" t="inlineStr">
        <is>
          <t>R Gaetano</t>
        </is>
      </c>
      <c r="F588" s="8" t="n">
        <v>4</v>
      </c>
      <c r="G588" s="8" t="n">
        <v>4</v>
      </c>
      <c r="H588" s="8" t="n">
        <v>0</v>
      </c>
      <c r="I588" s="8" t="n">
        <v>0</v>
      </c>
      <c r="J588" s="8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8" t="n">
        <v>0</v>
      </c>
      <c r="P588" s="8" t="n">
        <v>0</v>
      </c>
      <c r="Q588" s="8" t="n">
        <v>0</v>
      </c>
      <c r="R588" s="8" t="n">
        <v>0</v>
      </c>
      <c r="S588" s="8" t="n">
        <v>0</v>
      </c>
      <c r="T588" s="8" t="n">
        <v>0</v>
      </c>
      <c r="U588" s="8" t="n">
        <v>0</v>
      </c>
      <c r="V588" s="8" t="n">
        <v>0</v>
      </c>
      <c r="W588" s="8" t="n">
        <v>0</v>
      </c>
      <c r="X588" s="8" t="n">
        <v>0</v>
      </c>
      <c r="Y588" s="8" t="inlineStr">
        <is>
          <t>FO B1 play #8; GO B3 play #24; GO B4 play #43; GO B6 play #60</t>
        </is>
      </c>
    </row>
    <row r="589" ht="15.75" customHeight="1" s="35">
      <c r="A589" s="8" t="inlineStr">
        <is>
          <t>2026-03-23_PTXN_at_HNTN</t>
        </is>
      </c>
      <c r="B589" s="2" t="n">
        <v>46104</v>
      </c>
      <c r="C589" s="8" t="inlineStr">
        <is>
          <t>Patuxent</t>
        </is>
      </c>
      <c r="D589" s="8" t="inlineStr">
        <is>
          <t>HNTN</t>
        </is>
      </c>
      <c r="E589" s="8" t="inlineStr">
        <is>
          <t>J Hann</t>
        </is>
      </c>
      <c r="F589" s="8" t="n">
        <v>3</v>
      </c>
      <c r="G589" s="8" t="n">
        <v>3</v>
      </c>
      <c r="H589" s="8" t="n">
        <v>1</v>
      </c>
      <c r="I589" s="8" t="n">
        <v>1</v>
      </c>
      <c r="J589" s="8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8" t="n">
        <v>1</v>
      </c>
      <c r="P589" s="8" t="n">
        <v>0</v>
      </c>
      <c r="Q589" s="8" t="n">
        <v>1</v>
      </c>
      <c r="R589" s="8" t="n">
        <v>0</v>
      </c>
      <c r="S589" s="8" t="n">
        <v>1</v>
      </c>
      <c r="T589" s="8" t="n">
        <v>0</v>
      </c>
      <c r="U589" s="8" t="n">
        <v>0</v>
      </c>
      <c r="V589" s="8" t="n">
        <v>0</v>
      </c>
      <c r="W589" s="8" t="n">
        <v>0</v>
      </c>
      <c r="X589" s="8" t="n">
        <v>0</v>
      </c>
      <c r="Y589" s="8" t="inlineStr">
        <is>
          <t>1B B1 play #9 (fly ball notation, Flag #10) scores N McMurray (1 RBI); FO B3 play #25; K_S B5 play #48; incomplete AB B7 play #66 not counted (Flag #4)</t>
        </is>
      </c>
    </row>
    <row r="590" ht="15.75" customHeight="1" s="35">
      <c r="A590" s="8" t="inlineStr">
        <is>
          <t>2026-03-23_PTXN_at_HNTN</t>
        </is>
      </c>
      <c r="B590" s="2" t="n">
        <v>46104</v>
      </c>
      <c r="C590" s="8" t="inlineStr">
        <is>
          <t>Patuxent</t>
        </is>
      </c>
      <c r="D590" s="8" t="inlineStr">
        <is>
          <t>HNTN</t>
        </is>
      </c>
      <c r="E590" s="8" t="inlineStr">
        <is>
          <t>J Laur</t>
        </is>
      </c>
      <c r="F590" s="8" t="n">
        <v>3</v>
      </c>
      <c r="G590" s="8" t="n">
        <v>3</v>
      </c>
      <c r="H590" s="8" t="n">
        <v>1</v>
      </c>
      <c r="I590" s="8" t="n">
        <v>1</v>
      </c>
      <c r="J590" s="8" t="n">
        <v>0</v>
      </c>
      <c r="K590" s="8" t="n">
        <v>0</v>
      </c>
      <c r="L590" s="8" t="n">
        <v>0</v>
      </c>
      <c r="M590" s="8" t="n">
        <v>0</v>
      </c>
      <c r="N590" s="8" t="n">
        <v>0</v>
      </c>
      <c r="O590" s="8" t="n">
        <v>0</v>
      </c>
      <c r="P590" s="8" t="n">
        <v>0</v>
      </c>
      <c r="Q590" s="8" t="n">
        <v>0</v>
      </c>
      <c r="R590" s="8" t="n">
        <v>0</v>
      </c>
      <c r="S590" s="8" t="n">
        <v>0</v>
      </c>
      <c r="T590" s="8" t="n">
        <v>0</v>
      </c>
      <c r="U590" s="8" t="n">
        <v>0</v>
      </c>
      <c r="V590" s="8" t="n">
        <v>0</v>
      </c>
      <c r="W590" s="8" t="n">
        <v>0</v>
      </c>
      <c r="X590" s="8" t="n">
        <v>0</v>
      </c>
      <c r="Y590" s="8" t="inlineStr">
        <is>
          <t>LO B1 play #10 — PB during AB scores J Cadden and advances J Hann (no RBI for J Laur — PB run); 1B B3 play #26 (out at 2B on B Marlowe FC play #27); FO B5 play #49</t>
        </is>
      </c>
    </row>
    <row r="591" ht="15.75" customHeight="1" s="35">
      <c r="A591" s="8" t="inlineStr">
        <is>
          <t>2026-03-23_PTXN_at_HNTN</t>
        </is>
      </c>
      <c r="B591" s="2" t="n">
        <v>46104</v>
      </c>
      <c r="C591" s="8" t="inlineStr">
        <is>
          <t>Patuxent</t>
        </is>
      </c>
      <c r="D591" s="8" t="inlineStr">
        <is>
          <t>HNTN</t>
        </is>
      </c>
      <c r="E591" s="8" t="inlineStr">
        <is>
          <t>B Marlowe</t>
        </is>
      </c>
      <c r="F591" s="8" t="n">
        <v>3</v>
      </c>
      <c r="G591" s="8" t="n">
        <v>3</v>
      </c>
      <c r="H591" s="8" t="n">
        <v>1</v>
      </c>
      <c r="I591" s="8" t="n">
        <v>1</v>
      </c>
      <c r="J591" s="8" t="n">
        <v>0</v>
      </c>
      <c r="K591" s="8" t="n">
        <v>0</v>
      </c>
      <c r="L591" s="8" t="n">
        <v>0</v>
      </c>
      <c r="M591" s="8" t="n">
        <v>0</v>
      </c>
      <c r="N591" s="8" t="n">
        <v>0</v>
      </c>
      <c r="O591" s="8" t="n">
        <v>1</v>
      </c>
      <c r="P591" s="8" t="n">
        <v>1</v>
      </c>
      <c r="Q591" s="8" t="n">
        <v>0</v>
      </c>
      <c r="R591" s="8" t="n">
        <v>0</v>
      </c>
      <c r="S591" s="8" t="n">
        <v>0</v>
      </c>
      <c r="T591" s="8" t="n">
        <v>0</v>
      </c>
      <c r="U591" s="8" t="n">
        <v>0</v>
      </c>
      <c r="V591" s="8" t="n">
        <v>0</v>
      </c>
      <c r="W591" s="8" t="n">
        <v>0</v>
      </c>
      <c r="X591" s="8" t="n">
        <v>1</v>
      </c>
      <c r="Y591" s="8" t="inlineStr">
        <is>
          <t>1B B2 play #15 (out at 2B on C Wargo FC play #16); FC B3 play #27 (J Laur out at 2B); K_L B5 play #50</t>
        </is>
      </c>
    </row>
    <row r="592" ht="15.75" customHeight="1" s="35">
      <c r="A592" s="8" t="inlineStr">
        <is>
          <t>2026-03-23_PTXN_at_HNTN</t>
        </is>
      </c>
      <c r="B592" s="2" t="n">
        <v>46104</v>
      </c>
      <c r="C592" s="8" t="inlineStr">
        <is>
          <t>Patuxent</t>
        </is>
      </c>
      <c r="D592" s="8" t="inlineStr">
        <is>
          <t>HNTN</t>
        </is>
      </c>
      <c r="E592" s="8" t="inlineStr">
        <is>
          <t>C Wargo</t>
        </is>
      </c>
      <c r="F592" s="8" t="n">
        <v>3</v>
      </c>
      <c r="G592" s="8" t="n">
        <v>3</v>
      </c>
      <c r="H592" s="8" t="n">
        <v>1</v>
      </c>
      <c r="I592" s="8" t="n">
        <v>1</v>
      </c>
      <c r="J592" s="8" t="n">
        <v>0</v>
      </c>
      <c r="K592" s="8" t="n">
        <v>0</v>
      </c>
      <c r="L592" s="8" t="n">
        <v>0</v>
      </c>
      <c r="M592" s="8" t="n">
        <v>0</v>
      </c>
      <c r="N592" s="8" t="n">
        <v>0</v>
      </c>
      <c r="O592" s="8" t="n">
        <v>0</v>
      </c>
      <c r="P592" s="8" t="n">
        <v>0</v>
      </c>
      <c r="Q592" s="8" t="n">
        <v>0</v>
      </c>
      <c r="R592" s="8" t="n">
        <v>2</v>
      </c>
      <c r="S592" s="8" t="n">
        <v>0</v>
      </c>
      <c r="T592" s="8" t="n">
        <v>1</v>
      </c>
      <c r="U592" s="8" t="n">
        <v>0</v>
      </c>
      <c r="V592" s="8" t="n">
        <v>0</v>
      </c>
      <c r="W592" s="8" t="n">
        <v>0</v>
      </c>
      <c r="X592" s="8" t="n">
        <v>1</v>
      </c>
      <c r="Y592" s="8" t="inlineStr">
        <is>
          <t>FC B2 play #16 (B Marlowe out at 2B); SB 3rd B2 embedded in N McMurray AB play #18; scores B2 on N McMurray single play #18; LO B4 play #38; 1B B6 play #55; advances to 2nd on PB B6 play #56; advances to 3rd on G Grimes SAC bunt play #56; scores B6 on R Bolger walk-off single play #58</t>
        </is>
      </c>
    </row>
    <row r="593" ht="15.75" customHeight="1" s="35">
      <c r="A593" s="8" t="inlineStr">
        <is>
          <t>2026-03-23_PTXN_at_HNTN</t>
        </is>
      </c>
      <c r="B593" s="2" t="n">
        <v>46104</v>
      </c>
      <c r="C593" s="8" t="inlineStr">
        <is>
          <t>Patuxent</t>
        </is>
      </c>
      <c r="D593" s="8" t="inlineStr">
        <is>
          <t>HNTN</t>
        </is>
      </c>
      <c r="E593" s="8" t="inlineStr">
        <is>
          <t>G Grimes</t>
        </is>
      </c>
      <c r="F593" s="8" t="n">
        <v>3</v>
      </c>
      <c r="G593" s="8" t="n">
        <v>1</v>
      </c>
      <c r="H593" s="8" t="n">
        <v>0</v>
      </c>
      <c r="I593" s="8" t="n">
        <v>0</v>
      </c>
      <c r="J593" s="8" t="n">
        <v>0</v>
      </c>
      <c r="K593" s="8" t="n">
        <v>0</v>
      </c>
      <c r="L593" s="8" t="n">
        <v>0</v>
      </c>
      <c r="M593" s="8" t="n">
        <v>0</v>
      </c>
      <c r="N593" s="8" t="n">
        <v>1</v>
      </c>
      <c r="O593" s="8" t="n">
        <v>1</v>
      </c>
      <c r="P593" s="8" t="n">
        <v>0</v>
      </c>
      <c r="Q593" s="8" t="n">
        <v>1</v>
      </c>
      <c r="R593" s="8" t="n">
        <v>0</v>
      </c>
      <c r="S593" s="8" t="n">
        <v>0</v>
      </c>
      <c r="T593" s="8" t="n">
        <v>0</v>
      </c>
      <c r="U593" s="8" t="n">
        <v>0</v>
      </c>
      <c r="V593" s="8" t="n">
        <v>0</v>
      </c>
      <c r="W593" s="8" t="n">
        <v>1</v>
      </c>
      <c r="X593" s="8" t="n">
        <v>0</v>
      </c>
      <c r="Y593" s="8" t="inlineStr">
        <is>
          <t>K_S B2 play #17; HBP B4 play #39 (out advancing to 3rd on R Bolger FC play #41); SAC bunt B6 play #56 (C Wargo advances to 3rd via PB then bunt)</t>
        </is>
      </c>
    </row>
    <row r="594" ht="15.75" customHeight="1" s="35">
      <c r="A594" s="8" t="inlineStr">
        <is>
          <t>2026-03-23_PTXN_at_HNTN</t>
        </is>
      </c>
      <c r="B594" s="2" t="n">
        <v>46104</v>
      </c>
      <c r="C594" s="8" t="inlineStr">
        <is>
          <t>Huntingtown Varsity Hurricanes</t>
        </is>
      </c>
      <c r="D594" s="8" t="inlineStr">
        <is>
          <t>PTXN</t>
        </is>
      </c>
      <c r="E594" s="8" t="inlineStr">
        <is>
          <t>B Cowan</t>
        </is>
      </c>
      <c r="F594" s="8" t="n">
        <v>3</v>
      </c>
      <c r="G594" s="8" t="n">
        <v>3</v>
      </c>
      <c r="H594" s="8" t="n">
        <v>0</v>
      </c>
      <c r="I594" s="8" t="n">
        <v>0</v>
      </c>
      <c r="J594" s="8" t="n">
        <v>0</v>
      </c>
      <c r="K594" s="8" t="n">
        <v>0</v>
      </c>
      <c r="L594" s="8" t="n">
        <v>0</v>
      </c>
      <c r="M594" s="8" t="n">
        <v>0</v>
      </c>
      <c r="N594" s="8" t="n">
        <v>0</v>
      </c>
      <c r="O594" s="8" t="n">
        <v>1</v>
      </c>
      <c r="P594" s="8" t="n">
        <v>0</v>
      </c>
      <c r="Q594" s="8" t="n">
        <v>1</v>
      </c>
      <c r="R594" s="8" t="n">
        <v>0</v>
      </c>
      <c r="S594" s="8" t="n">
        <v>0</v>
      </c>
      <c r="T594" s="8" t="n">
        <v>1</v>
      </c>
      <c r="U594" s="8" t="n">
        <v>1</v>
      </c>
      <c r="V594" s="8" t="n">
        <v>0</v>
      </c>
      <c r="W594" s="8" t="n">
        <v>0</v>
      </c>
      <c r="X594" s="8" t="n">
        <v>1</v>
      </c>
      <c r="Y594" s="8" t="inlineStr">
        <is>
          <t>Reaches on HNTN LF C Wargo error T1 play #1 (advances to 2nd on same error, no H); SB 3rd T1 play #3 embedded; CS home T1 play #4 embedded (Flag #7); K_S T3 play #22; FC T4 play #35 (C White out at home)</t>
        </is>
      </c>
    </row>
    <row r="595" ht="15.75" customHeight="1" s="35">
      <c r="A595" s="8" t="inlineStr">
        <is>
          <t>2026-03-23_PTXN_at_HNTN</t>
        </is>
      </c>
      <c r="B595" s="2" t="n">
        <v>46104</v>
      </c>
      <c r="C595" s="8" t="inlineStr">
        <is>
          <t>Huntingtown Varsity Hurricanes</t>
        </is>
      </c>
      <c r="D595" s="8" t="inlineStr">
        <is>
          <t>PTXN</t>
        </is>
      </c>
      <c r="E595" s="8" t="inlineStr">
        <is>
          <t>T Lakey</t>
        </is>
      </c>
      <c r="F595" s="8" t="n">
        <v>4</v>
      </c>
      <c r="G595" s="8" t="n">
        <v>2</v>
      </c>
      <c r="H595" s="8" t="n">
        <v>0</v>
      </c>
      <c r="I595" s="8" t="n">
        <v>0</v>
      </c>
      <c r="J595" s="8" t="n">
        <v>0</v>
      </c>
      <c r="K595" s="8" t="n">
        <v>0</v>
      </c>
      <c r="L595" s="8" t="n">
        <v>0</v>
      </c>
      <c r="M595" s="8" t="n">
        <v>1</v>
      </c>
      <c r="N595" s="8" t="n">
        <v>1</v>
      </c>
      <c r="O595" s="8" t="n">
        <v>0</v>
      </c>
      <c r="P595" s="8" t="n">
        <v>0</v>
      </c>
      <c r="Q595" s="8" t="n">
        <v>0</v>
      </c>
      <c r="R595" s="8" t="n">
        <v>0</v>
      </c>
      <c r="S595" s="8" t="n">
        <v>1</v>
      </c>
      <c r="T595" s="8" t="n">
        <v>0</v>
      </c>
      <c r="U595" s="8" t="n">
        <v>0</v>
      </c>
      <c r="V595" s="8" t="n">
        <v>0</v>
      </c>
      <c r="W595" s="8" t="n">
        <v>0</v>
      </c>
      <c r="X595" s="8" t="n">
        <v>0</v>
      </c>
      <c r="Y595" s="8" t="inlineStr">
        <is>
          <t>Walk T1 play #2 (advances to 2nd on DI play #3 — not credited as SB); GO T3 play #23; HBP T4 play #36 (N Sands forced home = 1 RBI); GO T6 play #54; also PTXN pitcher B5–B6 partial (Flag #6); also credited as CF in play #18 (Flag #11)</t>
        </is>
      </c>
    </row>
    <row r="596" ht="15.75" customHeight="1" s="35">
      <c r="A596" s="8" t="inlineStr">
        <is>
          <t>2026-03-23_PTXN_at_HNTN</t>
        </is>
      </c>
      <c r="B596" s="2" t="n">
        <v>46104</v>
      </c>
      <c r="C596" s="8" t="inlineStr">
        <is>
          <t>Huntingtown Varsity Hurricanes</t>
        </is>
      </c>
      <c r="D596" s="8" t="inlineStr">
        <is>
          <t>PTXN</t>
        </is>
      </c>
      <c r="E596" s="8" t="inlineStr">
        <is>
          <t>L Powell</t>
        </is>
      </c>
      <c r="F596" s="8" t="n">
        <v>4</v>
      </c>
      <c r="G596" s="8" t="n">
        <v>3</v>
      </c>
      <c r="H596" s="8" t="n">
        <v>0</v>
      </c>
      <c r="I596" s="8" t="n">
        <v>0</v>
      </c>
      <c r="J596" s="8" t="n">
        <v>0</v>
      </c>
      <c r="K596" s="8" t="n">
        <v>0</v>
      </c>
      <c r="L596" s="8" t="n">
        <v>0</v>
      </c>
      <c r="M596" s="8" t="n">
        <v>0</v>
      </c>
      <c r="N596" s="8" t="n">
        <v>1</v>
      </c>
      <c r="O596" s="8" t="n">
        <v>1</v>
      </c>
      <c r="P596" s="8" t="n">
        <v>0</v>
      </c>
      <c r="Q596" s="8" t="n">
        <v>1</v>
      </c>
      <c r="R596" s="8" t="n">
        <v>1</v>
      </c>
      <c r="S596" s="8" t="n">
        <v>0</v>
      </c>
      <c r="T596" s="8" t="n">
        <v>0</v>
      </c>
      <c r="U596" s="8" t="n">
        <v>0</v>
      </c>
      <c r="V596" s="8" t="n">
        <v>0</v>
      </c>
      <c r="W596" s="8" t="n">
        <v>0</v>
      </c>
      <c r="X596" s="8" t="n">
        <v>0</v>
      </c>
      <c r="Y596" s="8" t="inlineStr">
        <is>
          <t>K_S T1 play #3; HBP T4 play #28; scores T4 on C Jones single play #31; FO T4 play #37; FO T7 play #61</t>
        </is>
      </c>
    </row>
    <row r="597" ht="15.75" customHeight="1" s="35">
      <c r="A597" s="8" t="inlineStr">
        <is>
          <t>2026-03-23_PTXN_at_HNTN</t>
        </is>
      </c>
      <c r="B597" s="2" t="n">
        <v>46104</v>
      </c>
      <c r="C597" s="8" t="inlineStr">
        <is>
          <t>Huntingtown Varsity Hurricanes</t>
        </is>
      </c>
      <c r="D597" s="8" t="inlineStr">
        <is>
          <t>PTXN</t>
        </is>
      </c>
      <c r="E597" s="8" t="inlineStr">
        <is>
          <t>R Whitney</t>
        </is>
      </c>
      <c r="F597" s="8" t="n">
        <v>4</v>
      </c>
      <c r="G597" s="8" t="n">
        <v>4</v>
      </c>
      <c r="H597" s="8" t="n">
        <v>1</v>
      </c>
      <c r="I597" s="8" t="n">
        <v>0</v>
      </c>
      <c r="J597" s="8" t="n">
        <v>1</v>
      </c>
      <c r="K597" s="8" t="n">
        <v>0</v>
      </c>
      <c r="L597" s="8" t="n">
        <v>0</v>
      </c>
      <c r="M597" s="8" t="n">
        <v>0</v>
      </c>
      <c r="N597" s="8" t="n">
        <v>0</v>
      </c>
      <c r="O597" s="8" t="n">
        <v>0</v>
      </c>
      <c r="P597" s="8" t="n">
        <v>0</v>
      </c>
      <c r="Q597" s="8" t="n">
        <v>0</v>
      </c>
      <c r="R597" s="8" t="n">
        <v>1</v>
      </c>
      <c r="S597" s="8" t="n">
        <v>0</v>
      </c>
      <c r="T597" s="8" t="n">
        <v>0</v>
      </c>
      <c r="U597" s="8" t="n">
        <v>0</v>
      </c>
      <c r="V597" s="8" t="n">
        <v>0</v>
      </c>
      <c r="W597" s="8" t="n">
        <v>0</v>
      </c>
      <c r="X597" s="8" t="n">
        <v>0</v>
      </c>
      <c r="Y597" s="8" t="inlineStr">
        <is>
          <t>PO T1 play #4; 2B T4 play #29 (scores on C Jones single play #31); FO T5 play #44; FO T7 play #62; also PTXN pitcher B6 partial (Flag #6)</t>
        </is>
      </c>
    </row>
    <row r="598" ht="15.75" customHeight="1" s="35">
      <c r="A598" s="8" t="inlineStr">
        <is>
          <t>2026-03-23_PTXN_at_HNTN</t>
        </is>
      </c>
      <c r="B598" s="2" t="n">
        <v>46104</v>
      </c>
      <c r="C598" s="8" t="inlineStr">
        <is>
          <t>Huntingtown Varsity Hurricanes</t>
        </is>
      </c>
      <c r="D598" s="8" t="inlineStr">
        <is>
          <t>PTXN</t>
        </is>
      </c>
      <c r="E598" s="8" t="inlineStr">
        <is>
          <t>N Kelly</t>
        </is>
      </c>
      <c r="F598" s="8" t="n">
        <v>4</v>
      </c>
      <c r="G598" s="8" t="n">
        <v>4</v>
      </c>
      <c r="H598" s="8" t="n">
        <v>2</v>
      </c>
      <c r="I598" s="8" t="n">
        <v>1</v>
      </c>
      <c r="J598" s="8" t="n">
        <v>1</v>
      </c>
      <c r="K598" s="8" t="n">
        <v>0</v>
      </c>
      <c r="L598" s="8" t="n">
        <v>0</v>
      </c>
      <c r="M598" s="8" t="n">
        <v>0</v>
      </c>
      <c r="N598" s="8" t="n">
        <v>0</v>
      </c>
      <c r="O598" s="8" t="n">
        <v>1</v>
      </c>
      <c r="P598" s="8" t="n">
        <v>0</v>
      </c>
      <c r="Q598" s="8" t="n">
        <v>1</v>
      </c>
      <c r="R598" s="8" t="n">
        <v>0</v>
      </c>
      <c r="S598" s="8" t="n">
        <v>0</v>
      </c>
      <c r="T598" s="8" t="n">
        <v>1</v>
      </c>
      <c r="U598" s="8" t="n">
        <v>0</v>
      </c>
      <c r="V598" s="8" t="n">
        <v>0</v>
      </c>
      <c r="W598" s="8" t="n">
        <v>0</v>
      </c>
      <c r="X598" s="8" t="n">
        <v>0</v>
      </c>
      <c r="Y598" s="8" t="inlineStr">
        <is>
          <t>K_S T2 play #11; LO T4 play #30; 1B T5 play #45; SB 2nd T5 embedded in C Jones AB play #46; advances to 3rd on WP T5 play #46 (doesn't score); 2B T7 play #63 (doesn't score — C Jones IW, C White K ends inning)</t>
        </is>
      </c>
    </row>
    <row r="599" ht="15.75" customHeight="1" s="35">
      <c r="A599" s="8" t="inlineStr">
        <is>
          <t>2026-03-23_PTXN_at_HNTN</t>
        </is>
      </c>
      <c r="B599" s="2" t="n">
        <v>46104</v>
      </c>
      <c r="C599" s="8" t="inlineStr">
        <is>
          <t>Huntingtown Varsity Hurricanes</t>
        </is>
      </c>
      <c r="D599" s="8" t="inlineStr">
        <is>
          <t>PTXN</t>
        </is>
      </c>
      <c r="E599" s="8" t="inlineStr">
        <is>
          <t>C Jones</t>
        </is>
      </c>
      <c r="F599" s="8" t="n">
        <v>4</v>
      </c>
      <c r="G599" s="8" t="n">
        <v>3</v>
      </c>
      <c r="H599" s="8" t="n">
        <v>2</v>
      </c>
      <c r="I599" s="8" t="n">
        <v>2</v>
      </c>
      <c r="J599" s="8" t="n">
        <v>0</v>
      </c>
      <c r="K599" s="8" t="n">
        <v>0</v>
      </c>
      <c r="L599" s="8" t="n">
        <v>0</v>
      </c>
      <c r="M599" s="8" t="n">
        <v>1</v>
      </c>
      <c r="N599" s="8" t="n">
        <v>0</v>
      </c>
      <c r="O599" s="8" t="n">
        <v>1</v>
      </c>
      <c r="P599" s="8" t="n">
        <v>0</v>
      </c>
      <c r="Q599" s="8" t="n">
        <v>1</v>
      </c>
      <c r="R599" s="8" t="n">
        <v>1</v>
      </c>
      <c r="S599" s="8" t="n">
        <v>2</v>
      </c>
      <c r="T599" s="8" t="n">
        <v>0</v>
      </c>
      <c r="U599" s="8" t="n">
        <v>0</v>
      </c>
      <c r="V599" s="8" t="n">
        <v>0</v>
      </c>
      <c r="W599" s="8" t="n">
        <v>0</v>
      </c>
      <c r="X599" s="8" t="n">
        <v>0</v>
      </c>
      <c r="Y599" s="8" t="inlineStr">
        <is>
          <t>1B T2 play #12; 1B T4 play #31 scores R Whitney and L Powell (2 RBI); K_S T5 play #46; IW T7 play #64 (counted as BB, Flag #14); scores T4 on D Bradley single play #34</t>
        </is>
      </c>
    </row>
    <row r="600" ht="15.75" customHeight="1" s="35">
      <c r="A600" s="8" t="inlineStr">
        <is>
          <t>2026-03-23_PTXN_at_HNTN</t>
        </is>
      </c>
      <c r="B600" s="2" t="n">
        <v>46104</v>
      </c>
      <c r="C600" s="8" t="inlineStr">
        <is>
          <t>Huntingtown Varsity Hurricanes</t>
        </is>
      </c>
      <c r="D600" s="8" t="inlineStr">
        <is>
          <t>PTXN</t>
        </is>
      </c>
      <c r="E600" s="8" t="inlineStr">
        <is>
          <t>C White</t>
        </is>
      </c>
      <c r="F600" s="8" t="n">
        <v>4</v>
      </c>
      <c r="G600" s="8" t="n">
        <v>3</v>
      </c>
      <c r="H600" s="8" t="n">
        <v>0</v>
      </c>
      <c r="I600" s="8" t="n">
        <v>0</v>
      </c>
      <c r="J600" s="8" t="n">
        <v>0</v>
      </c>
      <c r="K600" s="8" t="n">
        <v>0</v>
      </c>
      <c r="L600" s="8" t="n">
        <v>0</v>
      </c>
      <c r="M600" s="8" t="n">
        <v>1</v>
      </c>
      <c r="N600" s="8" t="n">
        <v>0</v>
      </c>
      <c r="O600" s="8" t="n">
        <v>3</v>
      </c>
      <c r="P600" s="8" t="n">
        <v>2</v>
      </c>
      <c r="Q600" s="8" t="n">
        <v>1</v>
      </c>
      <c r="R600" s="8" t="n">
        <v>0</v>
      </c>
      <c r="S600" s="8" t="n">
        <v>0</v>
      </c>
      <c r="T600" s="8" t="n">
        <v>0</v>
      </c>
      <c r="U600" s="8" t="n">
        <v>0</v>
      </c>
      <c r="V600" s="8" t="n">
        <v>0</v>
      </c>
      <c r="W600" s="8" t="n">
        <v>0</v>
      </c>
      <c r="X600" s="8" t="n">
        <v>0</v>
      </c>
      <c r="Y600" s="8" t="inlineStr">
        <is>
          <t>K_S T2 play #13; walk T4 play #32 (out at home on B Cowan FC play #35); K_L T5 play #47; K_L T7 play #65</t>
        </is>
      </c>
    </row>
    <row r="601" ht="15.75" customHeight="1" s="35">
      <c r="A601" s="8" t="inlineStr">
        <is>
          <t>2026-03-23_PTXN_at_HNTN</t>
        </is>
      </c>
      <c r="B601" s="2" t="n">
        <v>46104</v>
      </c>
      <c r="C601" s="8" t="inlineStr">
        <is>
          <t>Huntingtown Varsity Hurricanes</t>
        </is>
      </c>
      <c r="D601" s="8" t="inlineStr">
        <is>
          <t>PTXN</t>
        </is>
      </c>
      <c r="E601" s="8" t="inlineStr">
        <is>
          <t>N Sands</t>
        </is>
      </c>
      <c r="F601" s="8" t="n">
        <v>3</v>
      </c>
      <c r="G601" s="8" t="n">
        <v>3</v>
      </c>
      <c r="H601" s="8" t="n">
        <v>2</v>
      </c>
      <c r="I601" s="8" t="n">
        <v>2</v>
      </c>
      <c r="J601" s="8" t="n">
        <v>0</v>
      </c>
      <c r="K601" s="8" t="n">
        <v>0</v>
      </c>
      <c r="L601" s="8" t="n">
        <v>0</v>
      </c>
      <c r="M601" s="8" t="n">
        <v>0</v>
      </c>
      <c r="N601" s="8" t="n">
        <v>0</v>
      </c>
      <c r="O601" s="8" t="n">
        <v>1</v>
      </c>
      <c r="P601" s="8" t="n">
        <v>0</v>
      </c>
      <c r="Q601" s="8" t="n">
        <v>1</v>
      </c>
      <c r="R601" s="8" t="n">
        <v>1</v>
      </c>
      <c r="S601" s="8" t="n">
        <v>0</v>
      </c>
      <c r="T601" s="8" t="n">
        <v>0</v>
      </c>
      <c r="U601" s="8" t="n">
        <v>0</v>
      </c>
      <c r="V601" s="8" t="n">
        <v>0</v>
      </c>
      <c r="W601" s="8" t="n">
        <v>0</v>
      </c>
      <c r="X601" s="8" t="n">
        <v>0</v>
      </c>
      <c r="Y601" s="8" t="inlineStr">
        <is>
          <t>K_S T2 play #14; 1B bunt T4 play #33; advances to 3rd on D Bradley single; scores T4 on T Lakey HBP play #36 (forced home); 1B T6 play #51 (fly ball notation, Flag #10) — advances to 3rd but doesn't score</t>
        </is>
      </c>
    </row>
    <row r="602" ht="15.75" customHeight="1" s="35">
      <c r="A602" s="8" t="inlineStr">
        <is>
          <t>2026-03-23_PTXN_at_HNTN</t>
        </is>
      </c>
      <c r="B602" s="2" t="n">
        <v>46104</v>
      </c>
      <c r="C602" s="8" t="inlineStr">
        <is>
          <t>Huntingtown Varsity Hurricanes</t>
        </is>
      </c>
      <c r="D602" s="8" t="inlineStr">
        <is>
          <t>PTXN</t>
        </is>
      </c>
      <c r="E602" s="8" t="inlineStr">
        <is>
          <t>D Bradley</t>
        </is>
      </c>
      <c r="F602" s="8" t="n">
        <v>3</v>
      </c>
      <c r="G602" s="8" t="n">
        <v>2</v>
      </c>
      <c r="H602" s="8" t="n">
        <v>1</v>
      </c>
      <c r="I602" s="8" t="n">
        <v>1</v>
      </c>
      <c r="J602" s="8" t="n">
        <v>0</v>
      </c>
      <c r="K602" s="8" t="n">
        <v>0</v>
      </c>
      <c r="L602" s="8" t="n">
        <v>0</v>
      </c>
      <c r="M602" s="8" t="n">
        <v>0</v>
      </c>
      <c r="N602" s="8" t="n">
        <v>0</v>
      </c>
      <c r="O602" s="8" t="n">
        <v>0</v>
      </c>
      <c r="P602" s="8" t="n">
        <v>0</v>
      </c>
      <c r="Q602" s="8" t="n">
        <v>0</v>
      </c>
      <c r="R602" s="8" t="n">
        <v>0</v>
      </c>
      <c r="S602" s="8" t="n">
        <v>1</v>
      </c>
      <c r="T602" s="8" t="n">
        <v>0</v>
      </c>
      <c r="U602" s="8" t="n">
        <v>0</v>
      </c>
      <c r="V602" s="8" t="n">
        <v>0</v>
      </c>
      <c r="W602" s="8" t="n">
        <v>1</v>
      </c>
      <c r="X602" s="8" t="n">
        <v>0</v>
      </c>
      <c r="Y602" s="8" t="inlineStr">
        <is>
          <t>FO T3 play #21; 1B T4 play #34 scores C Jones (1 RBI); SAC bunt T6 play #52 (N Sands advances to 2nd); CR R Hawkins in for D Bradley T4 play #35 — R Hawkins does not score (stranded at 3rd); also PTXN starting pitcher B1–B4 (Flag #6 — transition to T Lakey undocumented)</t>
        </is>
      </c>
    </row>
    <row r="603" ht="15.75" customHeight="1" s="35">
      <c r="A603" s="8" t="inlineStr">
        <is>
          <t>2026-03-25_MCDN_at_HNTN</t>
        </is>
      </c>
      <c r="B603" s="2" t="n">
        <v>46106</v>
      </c>
      <c r="C603" s="8" t="inlineStr">
        <is>
          <t>McDonough</t>
        </is>
      </c>
      <c r="D603" s="8" t="inlineStr">
        <is>
          <t>HNTN</t>
        </is>
      </c>
      <c r="E603" s="8" t="inlineStr">
        <is>
          <t>N McMurray</t>
        </is>
      </c>
      <c r="F603" s="8" t="n">
        <v>5</v>
      </c>
      <c r="G603" s="8" t="n">
        <v>4</v>
      </c>
      <c r="H603" s="8" t="n">
        <v>3</v>
      </c>
      <c r="I603" s="8" t="n">
        <v>1</v>
      </c>
      <c r="J603" s="8" t="n">
        <v>2</v>
      </c>
      <c r="K603" s="8" t="n">
        <v>0</v>
      </c>
      <c r="L603" s="8" t="n">
        <v>0</v>
      </c>
      <c r="M603" s="8" t="n">
        <v>1</v>
      </c>
      <c r="N603" s="8" t="n">
        <v>0</v>
      </c>
      <c r="O603" s="8" t="n">
        <v>0</v>
      </c>
      <c r="P603" s="8" t="n">
        <v>0</v>
      </c>
      <c r="Q603" s="8" t="n">
        <v>0</v>
      </c>
      <c r="R603" s="8" t="n">
        <v>2</v>
      </c>
      <c r="S603" s="8" t="n">
        <v>2</v>
      </c>
      <c r="T603" s="8" t="n">
        <v>2</v>
      </c>
      <c r="U603" s="8" t="n">
        <v>0</v>
      </c>
      <c r="V603" s="8" t="n">
        <v>0</v>
      </c>
      <c r="W603" s="8" t="n">
        <v>0</v>
      </c>
      <c r="X603" s="8" t="n">
        <v>0</v>
      </c>
      <c r="Y603" s="8" t="inlineStr">
        <is>
          <t>2B B1 play #6 (scores on J Cadden 2B play #8); 2B B2 play #24; 1B B3 play #36 scores C Wargo and B Marlowe (2 RBI) — WP pre-play advanced runners; reaches on MCDN 3B #5 error B4 play #49 (C Wargo scores on error, no RBI); walk B6 play #67; SB 2nd B3 play #37 embedded; SB 2nd B6 play #68 embedded; CR E Elliott in B6 play #69 (as CR for N McMurray) — E Elliott out at home play #70; also HNTN pitcher T6–T7</t>
        </is>
      </c>
    </row>
    <row r="604" ht="15.75" customHeight="1" s="35">
      <c r="A604" s="8" t="inlineStr">
        <is>
          <t>2026-03-25_MCDN_at_HNTN</t>
        </is>
      </c>
      <c r="B604" s="2" t="n">
        <v>46106</v>
      </c>
      <c r="C604" s="8" t="inlineStr">
        <is>
          <t>McDonough</t>
        </is>
      </c>
      <c r="D604" s="8" t="inlineStr">
        <is>
          <t>HNTN</t>
        </is>
      </c>
      <c r="E604" s="8" t="inlineStr">
        <is>
          <t>R Bolger</t>
        </is>
      </c>
      <c r="F604" s="8" t="n">
        <v>5</v>
      </c>
      <c r="G604" s="8" t="n">
        <v>2</v>
      </c>
      <c r="H604" s="8" t="n">
        <v>0</v>
      </c>
      <c r="I604" s="8" t="n">
        <v>0</v>
      </c>
      <c r="J604" s="8" t="n">
        <v>0</v>
      </c>
      <c r="K604" s="8" t="n">
        <v>0</v>
      </c>
      <c r="L604" s="8" t="n">
        <v>0</v>
      </c>
      <c r="M604" s="8" t="n">
        <v>3</v>
      </c>
      <c r="N604" s="8" t="n">
        <v>0</v>
      </c>
      <c r="O604" s="8" t="n">
        <v>0</v>
      </c>
      <c r="P604" s="8" t="n">
        <v>0</v>
      </c>
      <c r="Q604" s="8" t="n">
        <v>0</v>
      </c>
      <c r="R604" s="8" t="n">
        <v>1</v>
      </c>
      <c r="S604" s="8" t="n">
        <v>0</v>
      </c>
      <c r="T604" s="8" t="n">
        <v>0</v>
      </c>
      <c r="U604" s="8" t="n">
        <v>0</v>
      </c>
      <c r="V604" s="8" t="n">
        <v>0</v>
      </c>
      <c r="W604" s="8" t="n">
        <v>0</v>
      </c>
      <c r="X604" s="8" t="n">
        <v>1</v>
      </c>
      <c r="Y604" s="8" t="inlineStr">
        <is>
          <t>FO B1 play #6; FC B2 play #25 (N McMurray out advancing); 3 BBs (B1, B3, B4); GO B6 play #68; scores B1 on J Hann single play #11; CR G Grimes in B2 play #26 — G Grimes does not score</t>
        </is>
      </c>
    </row>
    <row r="605" ht="15.75" customHeight="1" s="35">
      <c r="A605" s="8" t="inlineStr">
        <is>
          <t>2026-03-25_MCDN_at_HNTN</t>
        </is>
      </c>
      <c r="B605" s="2" t="n">
        <v>46106</v>
      </c>
      <c r="C605" s="8" t="inlineStr">
        <is>
          <t>McDonough</t>
        </is>
      </c>
      <c r="D605" s="8" t="inlineStr">
        <is>
          <t>HNTN</t>
        </is>
      </c>
      <c r="E605" s="8" t="inlineStr">
        <is>
          <t>J Cadden</t>
        </is>
      </c>
      <c r="F605" s="8" t="n">
        <v>5</v>
      </c>
      <c r="G605" s="8" t="n">
        <v>5</v>
      </c>
      <c r="H605" s="8" t="n">
        <v>3</v>
      </c>
      <c r="I605" s="8" t="n">
        <v>1</v>
      </c>
      <c r="J605" s="8" t="n">
        <v>2</v>
      </c>
      <c r="K605" s="8" t="n">
        <v>0</v>
      </c>
      <c r="L605" s="8" t="n">
        <v>0</v>
      </c>
      <c r="M605" s="8" t="n">
        <v>0</v>
      </c>
      <c r="N605" s="8" t="n">
        <v>0</v>
      </c>
      <c r="O605" s="8" t="n">
        <v>0</v>
      </c>
      <c r="P605" s="8" t="n">
        <v>0</v>
      </c>
      <c r="Q605" s="8" t="n">
        <v>0</v>
      </c>
      <c r="R605" s="8" t="n">
        <v>0</v>
      </c>
      <c r="S605" s="8" t="n">
        <v>1</v>
      </c>
      <c r="T605" s="8" t="n">
        <v>1</v>
      </c>
      <c r="U605" s="8" t="n">
        <v>0</v>
      </c>
      <c r="V605" s="8" t="n">
        <v>0</v>
      </c>
      <c r="W605" s="8" t="n">
        <v>0</v>
      </c>
      <c r="X605" s="8" t="n">
        <v>0</v>
      </c>
      <c r="Y605" s="8" t="inlineStr">
        <is>
          <t>2B B1 play #8 scores N McMurray (1 RBI, via PB advance + double); doubled off 2B on J Laur GDP play #10; 2B B2 play #26 (G Grimes CR for R Bolger advances to 3rd); reaches on MCDN SS #3 error B3 play #38 (no H); FO B4 play #51; 1B B6 play #69 (pop fly to pitcher — Flag #10); SB 2nd B6 play #70 embedded</t>
        </is>
      </c>
    </row>
    <row r="606" ht="15.75" customHeight="1" s="35">
      <c r="A606" s="8" t="inlineStr">
        <is>
          <t>2026-03-25_MCDN_at_HNTN</t>
        </is>
      </c>
      <c r="B606" s="2" t="n">
        <v>46106</v>
      </c>
      <c r="C606" s="8" t="inlineStr">
        <is>
          <t>McDonough</t>
        </is>
      </c>
      <c r="D606" s="8" t="inlineStr">
        <is>
          <t>HNTN</t>
        </is>
      </c>
      <c r="E606" s="8" t="inlineStr">
        <is>
          <t>R Gaetano</t>
        </is>
      </c>
      <c r="F606" s="8" t="n">
        <v>5</v>
      </c>
      <c r="G606" s="8" t="n">
        <v>2</v>
      </c>
      <c r="H606" s="8" t="n">
        <v>0</v>
      </c>
      <c r="I606" s="8" t="n">
        <v>0</v>
      </c>
      <c r="J606" s="8" t="n">
        <v>0</v>
      </c>
      <c r="K606" s="8" t="n">
        <v>0</v>
      </c>
      <c r="L606" s="8" t="n">
        <v>0</v>
      </c>
      <c r="M606" s="8" t="n">
        <v>3</v>
      </c>
      <c r="N606" s="8" t="n">
        <v>0</v>
      </c>
      <c r="O606" s="8" t="n">
        <v>0</v>
      </c>
      <c r="P606" s="8" t="n">
        <v>0</v>
      </c>
      <c r="Q606" s="8" t="n">
        <v>0</v>
      </c>
      <c r="R606" s="8" t="n">
        <v>0</v>
      </c>
      <c r="S606" s="8" t="n">
        <v>1</v>
      </c>
      <c r="T606" s="8" t="n">
        <v>0</v>
      </c>
      <c r="U606" s="8" t="n">
        <v>0</v>
      </c>
      <c r="V606" s="8" t="n">
        <v>0</v>
      </c>
      <c r="W606" s="8" t="n">
        <v>0</v>
      </c>
      <c r="X606" s="8" t="n">
        <v>1</v>
      </c>
      <c r="Y606" s="8" t="inlineStr">
        <is>
          <t>Walk B1 play #9; walk B2 play #27; walk B3 play #39 (bases loaded, forces N McMurray home = 1 RBI); reaches on MCDN 3B #5 error B5 play #56 (no H); FC B6 play #70 (E Elliott out at home)</t>
        </is>
      </c>
    </row>
    <row r="607" ht="15.75" customHeight="1" s="35">
      <c r="A607" s="8" t="inlineStr">
        <is>
          <t>2026-03-25_MCDN_at_HNTN</t>
        </is>
      </c>
      <c r="B607" s="2" t="n">
        <v>46106</v>
      </c>
      <c r="C607" s="8" t="inlineStr">
        <is>
          <t>McDonough</t>
        </is>
      </c>
      <c r="D607" s="8" t="inlineStr">
        <is>
          <t>HNTN</t>
        </is>
      </c>
      <c r="E607" s="8" t="inlineStr">
        <is>
          <t>J Laur</t>
        </is>
      </c>
      <c r="F607" s="8" t="n">
        <v>5</v>
      </c>
      <c r="G607" s="8" t="n">
        <v>5</v>
      </c>
      <c r="H607" s="8" t="n">
        <v>1</v>
      </c>
      <c r="I607" s="8" t="n">
        <v>1</v>
      </c>
      <c r="J607" s="8" t="n">
        <v>0</v>
      </c>
      <c r="K607" s="8" t="n">
        <v>0</v>
      </c>
      <c r="L607" s="8" t="n">
        <v>0</v>
      </c>
      <c r="M607" s="8" t="n">
        <v>0</v>
      </c>
      <c r="N607" s="8" t="n">
        <v>0</v>
      </c>
      <c r="O607" s="8" t="n">
        <v>1</v>
      </c>
      <c r="P607" s="8" t="n">
        <v>0</v>
      </c>
      <c r="Q607" s="8" t="n">
        <v>1</v>
      </c>
      <c r="R607" s="8" t="n">
        <v>0</v>
      </c>
      <c r="S607" s="8" t="n">
        <v>0</v>
      </c>
      <c r="T607" s="8" t="n">
        <v>0</v>
      </c>
      <c r="U607" s="8" t="n">
        <v>0</v>
      </c>
      <c r="V607" s="8" t="n">
        <v>1</v>
      </c>
      <c r="W607" s="8" t="n">
        <v>0</v>
      </c>
      <c r="X607" s="8" t="n">
        <v>0</v>
      </c>
      <c r="Y607" s="8" t="inlineStr">
        <is>
          <t>GDP B1 play #10 (unusual relay — Flag #9, J Cadden doubled off); K_S B2 play #28; FO B3 play #40; 1B B5 play #57; FO B6 play #71; CR E Elliott in B5 play #59 — E Elliott does not score; also HNTN pitcher T5–T6 (Flag #7)</t>
        </is>
      </c>
    </row>
    <row r="608" ht="15.75" customHeight="1" s="35">
      <c r="A608" s="8" t="inlineStr">
        <is>
          <t>2026-03-25_MCDN_at_HNTN</t>
        </is>
      </c>
      <c r="B608" s="2" t="n">
        <v>46106</v>
      </c>
      <c r="C608" s="8" t="inlineStr">
        <is>
          <t>McDonough</t>
        </is>
      </c>
      <c r="D608" s="8" t="inlineStr">
        <is>
          <t>HNTN</t>
        </is>
      </c>
      <c r="E608" s="8" t="inlineStr">
        <is>
          <t>J Hann</t>
        </is>
      </c>
      <c r="F608" s="8" t="n">
        <v>4</v>
      </c>
      <c r="G608" s="8" t="n">
        <v>4</v>
      </c>
      <c r="H608" s="8" t="n">
        <v>1</v>
      </c>
      <c r="I608" s="8" t="n">
        <v>1</v>
      </c>
      <c r="J608" s="8" t="n">
        <v>0</v>
      </c>
      <c r="K608" s="8" t="n">
        <v>0</v>
      </c>
      <c r="L608" s="8" t="n">
        <v>0</v>
      </c>
      <c r="M608" s="8" t="n">
        <v>0</v>
      </c>
      <c r="N608" s="8" t="n">
        <v>0</v>
      </c>
      <c r="O608" s="8" t="n">
        <v>1</v>
      </c>
      <c r="P608" s="8" t="n">
        <v>0</v>
      </c>
      <c r="Q608" s="8" t="n">
        <v>1</v>
      </c>
      <c r="R608" s="8" t="n">
        <v>0</v>
      </c>
      <c r="S608" s="8" t="n">
        <v>1</v>
      </c>
      <c r="T608" s="8" t="n">
        <v>0</v>
      </c>
      <c r="U608" s="8" t="n">
        <v>0</v>
      </c>
      <c r="V608" s="8" t="n">
        <v>0</v>
      </c>
      <c r="W608" s="8" t="n">
        <v>0</v>
      </c>
      <c r="X608" s="8" t="n">
        <v>0</v>
      </c>
      <c r="Y608" s="8" t="inlineStr">
        <is>
          <t>1B B1 play #11 scores R Bolger (1 RBI); LO B3 play #32; FO B4 play #45; K B5 play #58 — foul bunt strikeout (K_S, Flag #14); incomplete AB B7 not counted (Flag #4)</t>
        </is>
      </c>
    </row>
    <row r="609" ht="15.75" customHeight="1" s="35">
      <c r="A609" s="8" t="inlineStr">
        <is>
          <t>2026-03-25_MCDN_at_HNTN</t>
        </is>
      </c>
      <c r="B609" s="2" t="n">
        <v>46106</v>
      </c>
      <c r="C609" s="8" t="inlineStr">
        <is>
          <t>McDonough</t>
        </is>
      </c>
      <c r="D609" s="8" t="inlineStr">
        <is>
          <t>HNTN</t>
        </is>
      </c>
      <c r="E609" s="8" t="inlineStr">
        <is>
          <t>B Marlowe</t>
        </is>
      </c>
      <c r="F609" s="8" t="n">
        <v>4</v>
      </c>
      <c r="G609" s="8" t="n">
        <v>1</v>
      </c>
      <c r="H609" s="8" t="n">
        <v>0</v>
      </c>
      <c r="I609" s="8" t="n">
        <v>0</v>
      </c>
      <c r="J609" s="8" t="n">
        <v>0</v>
      </c>
      <c r="K609" s="8" t="n">
        <v>0</v>
      </c>
      <c r="L609" s="8" t="n">
        <v>0</v>
      </c>
      <c r="M609" s="8" t="n">
        <v>3</v>
      </c>
      <c r="N609" s="8" t="n">
        <v>0</v>
      </c>
      <c r="O609" s="8" t="n">
        <v>1</v>
      </c>
      <c r="P609" s="8" t="n">
        <v>0</v>
      </c>
      <c r="Q609" s="8" t="n">
        <v>1</v>
      </c>
      <c r="R609" s="8" t="n">
        <v>1</v>
      </c>
      <c r="S609" s="8" t="n">
        <v>0</v>
      </c>
      <c r="T609" s="8" t="n">
        <v>0</v>
      </c>
      <c r="U609" s="8" t="n">
        <v>0</v>
      </c>
      <c r="V609" s="8" t="n">
        <v>0</v>
      </c>
      <c r="W609" s="8" t="n">
        <v>0</v>
      </c>
      <c r="X609" s="8" t="n">
        <v>0</v>
      </c>
      <c r="Y609" s="8" t="inlineStr">
        <is>
          <t>Walk B1 play #12; walk B3 play #33; K_S B4 play #46; walk B5 play #59; advances to 3rd on WP during N McMurray AB play #36; scores B3 on N McMurray single play #36</t>
        </is>
      </c>
    </row>
    <row r="610" ht="15.75" customHeight="1" s="35">
      <c r="A610" s="8" t="inlineStr">
        <is>
          <t>2026-03-25_MCDN_at_HNTN</t>
        </is>
      </c>
      <c r="B610" s="2" t="n">
        <v>46106</v>
      </c>
      <c r="C610" s="8" t="inlineStr">
        <is>
          <t>McDonough</t>
        </is>
      </c>
      <c r="D610" s="8" t="inlineStr">
        <is>
          <t>HNTN</t>
        </is>
      </c>
      <c r="E610" s="8" t="inlineStr">
        <is>
          <t>C Wargo</t>
        </is>
      </c>
      <c r="F610" s="8" t="n">
        <v>4</v>
      </c>
      <c r="G610" s="8" t="n">
        <v>4</v>
      </c>
      <c r="H610" s="8" t="n">
        <v>2</v>
      </c>
      <c r="I610" s="8" t="n">
        <v>2</v>
      </c>
      <c r="J610" s="8" t="n">
        <v>0</v>
      </c>
      <c r="K610" s="8" t="n">
        <v>0</v>
      </c>
      <c r="L610" s="8" t="n">
        <v>0</v>
      </c>
      <c r="M610" s="8" t="n">
        <v>0</v>
      </c>
      <c r="N610" s="8" t="n">
        <v>0</v>
      </c>
      <c r="O610" s="8" t="n">
        <v>1</v>
      </c>
      <c r="P610" s="8" t="n">
        <v>0</v>
      </c>
      <c r="Q610" s="8" t="n">
        <v>1</v>
      </c>
      <c r="R610" s="8" t="n">
        <v>2</v>
      </c>
      <c r="S610" s="8" t="n">
        <v>0</v>
      </c>
      <c r="T610" s="8" t="n">
        <v>1</v>
      </c>
      <c r="U610" s="8" t="n">
        <v>0</v>
      </c>
      <c r="V610" s="8" t="n">
        <v>0</v>
      </c>
      <c r="W610" s="8" t="n">
        <v>0</v>
      </c>
      <c r="X610" s="8" t="n">
        <v>0</v>
      </c>
      <c r="Y610" s="8" t="inlineStr">
        <is>
          <t>FO B1 play #13; 1B B3 play #34 (advances to 2nd on WP play #36 prior to batted ball); 1B B4 play #47; K_S B5 play #60; SB 3rd B4 play #49 embedded in N McMurray AB; scores B3 on N McMurray single play #36; scores B4 on MCDN 3B #5 error play #49 (no RBI)</t>
        </is>
      </c>
    </row>
    <row r="611" ht="15.75" customHeight="1" s="35">
      <c r="A611" s="8" t="inlineStr">
        <is>
          <t>2026-03-25_MCDN_at_HNTN</t>
        </is>
      </c>
      <c r="B611" s="2" t="n">
        <v>46106</v>
      </c>
      <c r="C611" s="8" t="inlineStr">
        <is>
          <t>McDonough</t>
        </is>
      </c>
      <c r="D611" s="8" t="inlineStr">
        <is>
          <t>HNTN</t>
        </is>
      </c>
      <c r="E611" s="8" t="inlineStr">
        <is>
          <t>L Montgomery</t>
        </is>
      </c>
      <c r="F611" s="8" t="n">
        <v>2</v>
      </c>
      <c r="G611" s="8" t="n">
        <v>2</v>
      </c>
      <c r="H611" s="8" t="n">
        <v>0</v>
      </c>
      <c r="I611" s="8" t="n">
        <v>0</v>
      </c>
      <c r="J611" s="8" t="n">
        <v>0</v>
      </c>
      <c r="K611" s="8" t="n">
        <v>0</v>
      </c>
      <c r="L611" s="8" t="n">
        <v>0</v>
      </c>
      <c r="M611" s="8" t="n">
        <v>0</v>
      </c>
      <c r="N611" s="8" t="n">
        <v>0</v>
      </c>
      <c r="O611" s="8" t="n">
        <v>2</v>
      </c>
      <c r="P611" s="8" t="n">
        <v>1</v>
      </c>
      <c r="Q611" s="8" t="n">
        <v>1</v>
      </c>
      <c r="R611" s="8" t="n">
        <v>0</v>
      </c>
      <c r="S611" s="8" t="n">
        <v>0</v>
      </c>
      <c r="T611" s="8" t="n">
        <v>0</v>
      </c>
      <c r="U611" s="8" t="n">
        <v>0</v>
      </c>
      <c r="V611" s="8" t="n">
        <v>0</v>
      </c>
      <c r="W611" s="8" t="n">
        <v>0</v>
      </c>
      <c r="X611" s="8" t="n">
        <v>0</v>
      </c>
      <c r="Y611" s="8" t="inlineStr">
        <is>
          <t>K_S B2 play #23; K_L B3 play #35; replaced by R Kessler PH B4 play #48</t>
        </is>
      </c>
    </row>
    <row r="612" ht="15.75" customHeight="1" s="35">
      <c r="A612" s="8" t="inlineStr">
        <is>
          <t>2026-03-25_MCDN_at_HNTN</t>
        </is>
      </c>
      <c r="B612" s="2" t="n">
        <v>46106</v>
      </c>
      <c r="C612" s="8" t="inlineStr">
        <is>
          <t>McDonough</t>
        </is>
      </c>
      <c r="D612" s="8" t="inlineStr">
        <is>
          <t>HNTN</t>
        </is>
      </c>
      <c r="E612" s="8" t="inlineStr">
        <is>
          <t>R Kessler</t>
        </is>
      </c>
      <c r="F612" s="8" t="n">
        <v>2</v>
      </c>
      <c r="G612" s="8" t="n">
        <v>1</v>
      </c>
      <c r="H612" s="8" t="n">
        <v>0</v>
      </c>
      <c r="I612" s="8" t="n">
        <v>0</v>
      </c>
      <c r="J612" s="8" t="n">
        <v>0</v>
      </c>
      <c r="K612" s="8" t="n">
        <v>0</v>
      </c>
      <c r="L612" s="8" t="n">
        <v>0</v>
      </c>
      <c r="M612" s="8" t="n">
        <v>1</v>
      </c>
      <c r="N612" s="8" t="n">
        <v>0</v>
      </c>
      <c r="O612" s="8" t="n">
        <v>1</v>
      </c>
      <c r="P612" s="8" t="n">
        <v>0</v>
      </c>
      <c r="Q612" s="8" t="n">
        <v>1</v>
      </c>
      <c r="R612" s="8" t="n">
        <v>0</v>
      </c>
      <c r="S612" s="8" t="n">
        <v>0</v>
      </c>
      <c r="T612" s="8" t="n">
        <v>1</v>
      </c>
      <c r="U612" s="8" t="n">
        <v>0</v>
      </c>
      <c r="V612" s="8" t="n">
        <v>0</v>
      </c>
      <c r="W612" s="8" t="n">
        <v>0</v>
      </c>
      <c r="X612" s="8" t="n">
        <v>0</v>
      </c>
      <c r="Y612" s="8" t="inlineStr">
        <is>
          <t>PH for L Montgomery B4 play #48; walk; SB 2nd B4 play #49 embedded in N McMurray AB; K_S B5 play #61; stranded at 3rd B4 (inning ends on J Cadden FO)</t>
        </is>
      </c>
    </row>
    <row r="613" ht="15.75" customHeight="1" s="35">
      <c r="A613" s="8" t="inlineStr">
        <is>
          <t>2026-03-25_MCDN_at_HNTN</t>
        </is>
      </c>
      <c r="B613" s="2" t="n">
        <v>46106</v>
      </c>
      <c r="C613" s="8" t="inlineStr">
        <is>
          <t>Huntingtown Varsity Hurricanes</t>
        </is>
      </c>
      <c r="D613" s="8" t="inlineStr">
        <is>
          <t>MCDN</t>
        </is>
      </c>
      <c r="E613" s="8" t="inlineStr">
        <is>
          <t>MCDN_#20</t>
        </is>
      </c>
      <c r="F613" s="8" t="n">
        <v>4</v>
      </c>
      <c r="G613" s="8" t="n">
        <v>4</v>
      </c>
      <c r="H613" s="8" t="n">
        <v>1</v>
      </c>
      <c r="I613" s="8" t="n">
        <v>1</v>
      </c>
      <c r="J613" s="8" t="n">
        <v>0</v>
      </c>
      <c r="K613" s="8" t="n">
        <v>0</v>
      </c>
      <c r="L613" s="8" t="n">
        <v>0</v>
      </c>
      <c r="M613" s="8" t="n">
        <v>0</v>
      </c>
      <c r="N613" s="8" t="n">
        <v>0</v>
      </c>
      <c r="O613" s="8" t="n">
        <v>0</v>
      </c>
      <c r="P613" s="8" t="n">
        <v>0</v>
      </c>
      <c r="Q613" s="8" t="n">
        <v>0</v>
      </c>
      <c r="R613" s="8" t="n">
        <v>0</v>
      </c>
      <c r="S613" s="8" t="n">
        <v>1</v>
      </c>
      <c r="T613" s="8" t="n">
        <v>1</v>
      </c>
      <c r="U613" s="8" t="n">
        <v>0</v>
      </c>
      <c r="V613" s="8" t="n">
        <v>0</v>
      </c>
      <c r="W613" s="8" t="n">
        <v>0</v>
      </c>
      <c r="X613" s="8" t="n">
        <v>1</v>
      </c>
      <c r="Y613" s="8" t="inlineStr">
        <is>
          <t>GO T1 play #1; 1B T2 play #18 scores #18 (1 RBI); FO T4 play #42; FC T6 play #64 (#13 out); SB 2nd T6 play #65 embedded; stranded at 3rd T6; also MCDN starting pitcher B1–B2</t>
        </is>
      </c>
    </row>
    <row r="614" ht="15.75" customHeight="1" s="35">
      <c r="A614" s="8" t="inlineStr">
        <is>
          <t>2026-03-25_MCDN_at_HNTN</t>
        </is>
      </c>
      <c r="B614" s="2" t="n">
        <v>46106</v>
      </c>
      <c r="C614" s="8" t="inlineStr">
        <is>
          <t>Huntingtown Varsity Hurricanes</t>
        </is>
      </c>
      <c r="D614" s="8" t="inlineStr">
        <is>
          <t>MCDN</t>
        </is>
      </c>
      <c r="E614" s="8" t="inlineStr">
        <is>
          <t>MCDN_#16</t>
        </is>
      </c>
      <c r="F614" s="8" t="n">
        <v>4</v>
      </c>
      <c r="G614" s="8" t="n">
        <v>2</v>
      </c>
      <c r="H614" s="8" t="n">
        <v>1</v>
      </c>
      <c r="I614" s="8" t="n">
        <v>1</v>
      </c>
      <c r="J614" s="8" t="n">
        <v>0</v>
      </c>
      <c r="K614" s="8" t="n">
        <v>0</v>
      </c>
      <c r="L614" s="8" t="n">
        <v>0</v>
      </c>
      <c r="M614" s="8" t="n">
        <v>2</v>
      </c>
      <c r="N614" s="8" t="n">
        <v>0</v>
      </c>
      <c r="O614" s="8" t="n">
        <v>0</v>
      </c>
      <c r="P614" s="8" t="n">
        <v>0</v>
      </c>
      <c r="Q614" s="8" t="n">
        <v>0</v>
      </c>
      <c r="R614" s="8" t="n">
        <v>0</v>
      </c>
      <c r="S614" s="8" t="n">
        <v>2</v>
      </c>
      <c r="T614" s="8" t="n">
        <v>0</v>
      </c>
      <c r="U614" s="8" t="n">
        <v>0</v>
      </c>
      <c r="V614" s="8" t="n">
        <v>0</v>
      </c>
      <c r="W614" s="8" t="n">
        <v>0</v>
      </c>
      <c r="X614" s="8" t="n">
        <v>0</v>
      </c>
      <c r="Y614" s="8" t="inlineStr">
        <is>
          <t>Walk T1 play #2; 1B T2 play #19 scores #17 (1 RBI); walk T4 play #43; GO T6 play #65 scores #14/CR-#10 (1 RBI); #16 is out on the play</t>
        </is>
      </c>
    </row>
    <row r="615" ht="15.75" customHeight="1" s="35">
      <c r="A615" s="8" t="inlineStr">
        <is>
          <t>2026-03-25_MCDN_at_HNTN</t>
        </is>
      </c>
      <c r="B615" s="2" t="n">
        <v>46106</v>
      </c>
      <c r="C615" s="8" t="inlineStr">
        <is>
          <t>Huntingtown Varsity Hurricanes</t>
        </is>
      </c>
      <c r="D615" s="8" t="inlineStr">
        <is>
          <t>MCDN</t>
        </is>
      </c>
      <c r="E615" s="8" t="inlineStr">
        <is>
          <t>MCDN_#8</t>
        </is>
      </c>
      <c r="F615" s="8" t="n">
        <v>4</v>
      </c>
      <c r="G615" s="8" t="n">
        <v>3</v>
      </c>
      <c r="H615" s="8" t="n">
        <v>1</v>
      </c>
      <c r="I615" s="8" t="n">
        <v>1</v>
      </c>
      <c r="J615" s="8" t="n">
        <v>0</v>
      </c>
      <c r="K615" s="8" t="n">
        <v>0</v>
      </c>
      <c r="L615" s="8" t="n">
        <v>0</v>
      </c>
      <c r="M615" s="8" t="n">
        <v>1</v>
      </c>
      <c r="N615" s="8" t="n">
        <v>0</v>
      </c>
      <c r="O615" s="8" t="n">
        <v>0</v>
      </c>
      <c r="P615" s="8" t="n">
        <v>0</v>
      </c>
      <c r="Q615" s="8" t="n">
        <v>0</v>
      </c>
      <c r="R615" s="8" t="n">
        <v>0</v>
      </c>
      <c r="S615" s="8" t="n">
        <v>0</v>
      </c>
      <c r="T615" s="8" t="n">
        <v>0</v>
      </c>
      <c r="U615" s="8" t="n">
        <v>0</v>
      </c>
      <c r="V615" s="8" t="n">
        <v>0</v>
      </c>
      <c r="W615" s="8" t="n">
        <v>0</v>
      </c>
      <c r="X615" s="8" t="n">
        <v>0</v>
      </c>
      <c r="Y615" s="8" t="inlineStr">
        <is>
          <t>1B T1 play #3 (out at 2B on #5 FC play #4); walk T2 play #20; FO T4 play #44; GO T6 play #66</t>
        </is>
      </c>
    </row>
    <row r="616" ht="15.75" customHeight="1" s="35">
      <c r="A616" s="8" t="inlineStr">
        <is>
          <t>2026-03-25_MCDN_at_HNTN</t>
        </is>
      </c>
      <c r="B616" s="2" t="n">
        <v>46106</v>
      </c>
      <c r="C616" s="8" t="inlineStr">
        <is>
          <t>Huntingtown Varsity Hurricanes</t>
        </is>
      </c>
      <c r="D616" s="8" t="inlineStr">
        <is>
          <t>MCDN</t>
        </is>
      </c>
      <c r="E616" s="8" t="inlineStr">
        <is>
          <t>MCDN_#5</t>
        </is>
      </c>
      <c r="F616" s="8" t="n">
        <v>4</v>
      </c>
      <c r="G616" s="8" t="n">
        <v>3</v>
      </c>
      <c r="H616" s="8" t="n">
        <v>0</v>
      </c>
      <c r="I616" s="8" t="n">
        <v>0</v>
      </c>
      <c r="J616" s="8" t="n">
        <v>0</v>
      </c>
      <c r="K616" s="8" t="n">
        <v>0</v>
      </c>
      <c r="L616" s="8" t="n">
        <v>0</v>
      </c>
      <c r="M616" s="8" t="n">
        <v>1</v>
      </c>
      <c r="N616" s="8" t="n">
        <v>0</v>
      </c>
      <c r="O616" s="8" t="n">
        <v>2</v>
      </c>
      <c r="P616" s="8" t="n">
        <v>0</v>
      </c>
      <c r="Q616" s="8" t="n">
        <v>2</v>
      </c>
      <c r="R616" s="8" t="n">
        <v>0</v>
      </c>
      <c r="S616" s="8" t="n">
        <v>0</v>
      </c>
      <c r="T616" s="8" t="n">
        <v>0</v>
      </c>
      <c r="U616" s="8" t="n">
        <v>0</v>
      </c>
      <c r="V616" s="8" t="n">
        <v>0</v>
      </c>
      <c r="W616" s="8" t="n">
        <v>0</v>
      </c>
      <c r="X616" s="8" t="n">
        <v>1</v>
      </c>
      <c r="Y616" s="8" t="inlineStr">
        <is>
          <t>FC T1 play #4 (#8 out); K_S T2 play #21; dropped 3rd K (out at 1B) T5 play #52 (K_S); walk T7 play #72; also MCDN 3B fielder — 2 errors plays #49, #56 (Flag #13)</t>
        </is>
      </c>
    </row>
    <row r="617" ht="15.75" customHeight="1" s="35">
      <c r="A617" s="8" t="inlineStr">
        <is>
          <t>2026-03-25_MCDN_at_HNTN</t>
        </is>
      </c>
      <c r="B617" s="2" t="n">
        <v>46106</v>
      </c>
      <c r="C617" s="8" t="inlineStr">
        <is>
          <t>Huntingtown Varsity Hurricanes</t>
        </is>
      </c>
      <c r="D617" s="8" t="inlineStr">
        <is>
          <t>MCDN</t>
        </is>
      </c>
      <c r="E617" s="8" t="inlineStr">
        <is>
          <t>MCDN_#21</t>
        </is>
      </c>
      <c r="F617" s="8" t="n">
        <v>4</v>
      </c>
      <c r="G617" s="8" t="n">
        <v>4</v>
      </c>
      <c r="H617" s="8" t="n">
        <v>0</v>
      </c>
      <c r="I617" s="8" t="n">
        <v>0</v>
      </c>
      <c r="J617" s="8" t="n">
        <v>0</v>
      </c>
      <c r="K617" s="8" t="n">
        <v>0</v>
      </c>
      <c r="L617" s="8" t="n">
        <v>0</v>
      </c>
      <c r="M617" s="8" t="n">
        <v>0</v>
      </c>
      <c r="N617" s="8" t="n">
        <v>0</v>
      </c>
      <c r="O617" s="8" t="n">
        <v>0</v>
      </c>
      <c r="P617" s="8" t="n">
        <v>0</v>
      </c>
      <c r="Q617" s="8" t="n">
        <v>0</v>
      </c>
      <c r="R617" s="8" t="n">
        <v>0</v>
      </c>
      <c r="S617" s="8" t="n">
        <v>0</v>
      </c>
      <c r="T617" s="8" t="n">
        <v>0</v>
      </c>
      <c r="U617" s="8" t="n">
        <v>0</v>
      </c>
      <c r="V617" s="8" t="n">
        <v>0</v>
      </c>
      <c r="W617" s="8" t="n">
        <v>0</v>
      </c>
      <c r="X617" s="8" t="n">
        <v>1</v>
      </c>
      <c r="Y617" s="8" t="inlineStr">
        <is>
          <t>PO T1 play #5; FC T2 play #22 (#16 out — unusual mechanism Flag #11); LO T5 play #53; PO T7 play #73; also MCDN pitcher B4–B6 (undocumented entry, Flags #6, #8)</t>
        </is>
      </c>
    </row>
    <row r="618" ht="15.75" customHeight="1" s="35">
      <c r="A618" s="8" t="inlineStr">
        <is>
          <t>2026-03-25_MCDN_at_HNTN</t>
        </is>
      </c>
      <c r="B618" s="2" t="n">
        <v>46106</v>
      </c>
      <c r="C618" s="8" t="inlineStr">
        <is>
          <t>Huntingtown Varsity Hurricanes</t>
        </is>
      </c>
      <c r="D618" s="8" t="inlineStr">
        <is>
          <t>MCDN</t>
        </is>
      </c>
      <c r="E618" s="8" t="inlineStr">
        <is>
          <t>MCDN_#3</t>
        </is>
      </c>
      <c r="F618" s="8" t="n">
        <v>4</v>
      </c>
      <c r="G618" s="8" t="n">
        <v>2</v>
      </c>
      <c r="H618" s="8" t="n">
        <v>0</v>
      </c>
      <c r="I618" s="8" t="n">
        <v>0</v>
      </c>
      <c r="J618" s="8" t="n">
        <v>0</v>
      </c>
      <c r="K618" s="8" t="n">
        <v>0</v>
      </c>
      <c r="L618" s="8" t="n">
        <v>0</v>
      </c>
      <c r="M618" s="8" t="n">
        <v>2</v>
      </c>
      <c r="N618" s="8" t="n">
        <v>0</v>
      </c>
      <c r="O618" s="8" t="n">
        <v>1</v>
      </c>
      <c r="P618" s="8" t="n">
        <v>1</v>
      </c>
      <c r="Q618" s="8" t="n">
        <v>0</v>
      </c>
      <c r="R618" s="8" t="n">
        <v>1</v>
      </c>
      <c r="S618" s="8" t="n">
        <v>0</v>
      </c>
      <c r="T618" s="8" t="n">
        <v>0</v>
      </c>
      <c r="U618" s="8" t="n">
        <v>0</v>
      </c>
      <c r="V618" s="8" t="n">
        <v>0</v>
      </c>
      <c r="W618" s="8" t="n">
        <v>0</v>
      </c>
      <c r="X618" s="8" t="n">
        <v>0</v>
      </c>
      <c r="Y618" s="8" t="inlineStr">
        <is>
          <t>Walk T2 play #14; scores T2 on WP during #17 HBP AB play #17 (no RBI); GO T3 play #29; walk T5 play #54; K_L T7 play #74</t>
        </is>
      </c>
    </row>
    <row r="619" ht="15.75" customHeight="1" s="35">
      <c r="A619" s="8" t="inlineStr">
        <is>
          <t>2026-03-25_MCDN_at_HNTN</t>
        </is>
      </c>
      <c r="B619" s="2" t="n">
        <v>46106</v>
      </c>
      <c r="C619" s="8" t="inlineStr">
        <is>
          <t>Huntingtown Varsity Hurricanes</t>
        </is>
      </c>
      <c r="D619" s="8" t="inlineStr">
        <is>
          <t>MCDN</t>
        </is>
      </c>
      <c r="E619" s="8" t="inlineStr">
        <is>
          <t>MCDN_#18</t>
        </is>
      </c>
      <c r="F619" s="8" t="n">
        <v>3</v>
      </c>
      <c r="G619" s="8" t="n">
        <v>2</v>
      </c>
      <c r="H619" s="8" t="n">
        <v>0</v>
      </c>
      <c r="I619" s="8" t="n">
        <v>0</v>
      </c>
      <c r="J619" s="8" t="n">
        <v>0</v>
      </c>
      <c r="K619" s="8" t="n">
        <v>0</v>
      </c>
      <c r="L619" s="8" t="n">
        <v>0</v>
      </c>
      <c r="M619" s="8" t="n">
        <v>0</v>
      </c>
      <c r="N619" s="8" t="n">
        <v>1</v>
      </c>
      <c r="O619" s="8" t="n">
        <v>1</v>
      </c>
      <c r="P619" s="8" t="n">
        <v>0</v>
      </c>
      <c r="Q619" s="8" t="n">
        <v>1</v>
      </c>
      <c r="R619" s="8" t="n">
        <v>1</v>
      </c>
      <c r="S619" s="8" t="n">
        <v>0</v>
      </c>
      <c r="T619" s="8" t="n">
        <v>0</v>
      </c>
      <c r="U619" s="8" t="n">
        <v>0</v>
      </c>
      <c r="V619" s="8" t="n">
        <v>0</v>
      </c>
      <c r="W619" s="8" t="n">
        <v>0</v>
      </c>
      <c r="X619" s="8" t="n">
        <v>0</v>
      </c>
      <c r="Y619" s="8" t="inlineStr">
        <is>
          <t>HBP T2 play #15 (advances to 3rd on WP play #17); scores T2 on #20 single play #18; GO T3 play #30; K_S T5 play #55; replaced by MCDN_#4 PH T7 play #75; also MCDN pitcher B3 (non-standard entry Flag #5)</t>
        </is>
      </c>
    </row>
    <row r="620" ht="15.75" customHeight="1" s="35">
      <c r="A620" s="8" t="inlineStr">
        <is>
          <t>2026-03-25_MCDN_at_HNTN</t>
        </is>
      </c>
      <c r="B620" s="2" t="n">
        <v>46106</v>
      </c>
      <c r="C620" s="8" t="inlineStr">
        <is>
          <t>Huntingtown Varsity Hurricanes</t>
        </is>
      </c>
      <c r="D620" s="8" t="inlineStr">
        <is>
          <t>MCDN</t>
        </is>
      </c>
      <c r="E620" s="8" t="inlineStr">
        <is>
          <t>MCDN_#10</t>
        </is>
      </c>
      <c r="F620" s="8" t="n">
        <v>3</v>
      </c>
      <c r="G620" s="8" t="n">
        <v>1</v>
      </c>
      <c r="H620" s="8" t="n">
        <v>0</v>
      </c>
      <c r="I620" s="8" t="n">
        <v>0</v>
      </c>
      <c r="J620" s="8" t="n">
        <v>0</v>
      </c>
      <c r="K620" s="8" t="n">
        <v>0</v>
      </c>
      <c r="L620" s="8" t="n">
        <v>0</v>
      </c>
      <c r="M620" s="8" t="n">
        <v>1</v>
      </c>
      <c r="N620" s="8" t="n">
        <v>0</v>
      </c>
      <c r="O620" s="8" t="n">
        <v>1</v>
      </c>
      <c r="P620" s="8" t="n">
        <v>1</v>
      </c>
      <c r="Q620" s="8" t="n">
        <v>0</v>
      </c>
      <c r="R620" s="8" t="n">
        <v>1</v>
      </c>
      <c r="S620" s="8" t="n">
        <v>0</v>
      </c>
      <c r="T620" s="8" t="n">
        <v>0</v>
      </c>
      <c r="U620" s="8" t="n">
        <v>0</v>
      </c>
      <c r="V620" s="8" t="n">
        <v>0</v>
      </c>
      <c r="W620" s="8" t="n">
        <v>1</v>
      </c>
      <c r="X620" s="8" t="n">
        <v>0</v>
      </c>
      <c r="Y620" s="8" t="inlineStr">
        <is>
          <t>SAC bunt T2 play #16 (#3 to 3rd, #18 to 2nd); K_L T3 play #31; walk T6 play #62; CR MCDN_#14 in for #10 T6 play #62 — #14 scores on #16 GO play #65, R credited to #10 (Flag #15)</t>
        </is>
      </c>
    </row>
    <row r="621" ht="15.75" customHeight="1" s="35">
      <c r="A621" s="8" t="inlineStr">
        <is>
          <t>2026-03-25_MCDN_at_HNTN</t>
        </is>
      </c>
      <c r="B621" s="2" t="n">
        <v>46106</v>
      </c>
      <c r="C621" s="8" t="inlineStr">
        <is>
          <t>Huntingtown Varsity Hurricanes</t>
        </is>
      </c>
      <c r="D621" s="8" t="inlineStr">
        <is>
          <t>MCDN</t>
        </is>
      </c>
      <c r="E621" s="8" t="inlineStr">
        <is>
          <t>MCDN_#17</t>
        </is>
      </c>
      <c r="F621" s="8" t="n">
        <v>2</v>
      </c>
      <c r="G621" s="8" t="n">
        <v>1</v>
      </c>
      <c r="H621" s="8" t="n">
        <v>0</v>
      </c>
      <c r="I621" s="8" t="n">
        <v>0</v>
      </c>
      <c r="J621" s="8" t="n">
        <v>0</v>
      </c>
      <c r="K621" s="8" t="n">
        <v>0</v>
      </c>
      <c r="L621" s="8" t="n">
        <v>0</v>
      </c>
      <c r="M621" s="8" t="n">
        <v>0</v>
      </c>
      <c r="N621" s="8" t="n">
        <v>1</v>
      </c>
      <c r="O621" s="8" t="n">
        <v>1</v>
      </c>
      <c r="P621" s="8" t="n">
        <v>0</v>
      </c>
      <c r="Q621" s="8" t="n">
        <v>1</v>
      </c>
      <c r="R621" s="8" t="n">
        <v>1</v>
      </c>
      <c r="S621" s="8" t="n">
        <v>0</v>
      </c>
      <c r="T621" s="8" t="n">
        <v>0</v>
      </c>
      <c r="U621" s="8" t="n">
        <v>0</v>
      </c>
      <c r="V621" s="8" t="n">
        <v>0</v>
      </c>
      <c r="W621" s="8" t="n">
        <v>0</v>
      </c>
      <c r="X621" s="8" t="n">
        <v>0</v>
      </c>
      <c r="Y621" s="8" t="inlineStr">
        <is>
          <t>HBP T2 play #17 (WP during AB: #3 scores, #18 to 3rd); scores T2 on #16 single play #19; K_S T4 play #41; replaced by MCDN_#13 PH T6 play #62</t>
        </is>
      </c>
    </row>
    <row r="622" ht="15.75" customHeight="1" s="35">
      <c r="A622" s="8" t="inlineStr">
        <is>
          <t>2026-03-25_MCDN_at_HNTN</t>
        </is>
      </c>
      <c r="B622" s="2" t="n">
        <v>46106</v>
      </c>
      <c r="C622" s="8" t="inlineStr">
        <is>
          <t>Huntingtown Varsity Hurricanes</t>
        </is>
      </c>
      <c r="D622" s="8" t="inlineStr">
        <is>
          <t>MCDN</t>
        </is>
      </c>
      <c r="E622" s="8" t="inlineStr">
        <is>
          <t>MCDN_#13</t>
        </is>
      </c>
      <c r="F622" s="8" t="n">
        <v>1</v>
      </c>
      <c r="G622" s="8" t="n">
        <v>0</v>
      </c>
      <c r="H622" s="8" t="n">
        <v>0</v>
      </c>
      <c r="I622" s="8" t="n">
        <v>0</v>
      </c>
      <c r="J622" s="8" t="n">
        <v>0</v>
      </c>
      <c r="K622" s="8" t="n">
        <v>0</v>
      </c>
      <c r="L622" s="8" t="n">
        <v>0</v>
      </c>
      <c r="M622" s="8" t="n">
        <v>1</v>
      </c>
      <c r="N622" s="8" t="n">
        <v>0</v>
      </c>
      <c r="O622" s="8" t="n">
        <v>0</v>
      </c>
      <c r="P622" s="8" t="n">
        <v>0</v>
      </c>
      <c r="Q622" s="8" t="n">
        <v>0</v>
      </c>
      <c r="R622" s="8" t="n">
        <v>0</v>
      </c>
      <c r="S622" s="8" t="n">
        <v>0</v>
      </c>
      <c r="T622" s="8" t="n">
        <v>0</v>
      </c>
      <c r="U622" s="8" t="n">
        <v>0</v>
      </c>
      <c r="V622" s="8" t="n">
        <v>0</v>
      </c>
      <c r="W622" s="8" t="n">
        <v>0</v>
      </c>
      <c r="X622" s="8" t="n">
        <v>0</v>
      </c>
      <c r="Y622" s="8" t="inlineStr">
        <is>
          <t>PH for MCDN_#17 T6 play #62; walk; out advancing to 2nd on #20 FC play #64</t>
        </is>
      </c>
    </row>
    <row r="623" ht="15.75" customHeight="1" s="35">
      <c r="A623" s="8" t="inlineStr">
        <is>
          <t>2026-03-25_MCDN_at_HNTN</t>
        </is>
      </c>
      <c r="B623" s="2" t="n">
        <v>46106</v>
      </c>
      <c r="C623" s="8" t="inlineStr">
        <is>
          <t>Huntingtown Varsity Hurricanes</t>
        </is>
      </c>
      <c r="D623" s="8" t="inlineStr">
        <is>
          <t>MCDN</t>
        </is>
      </c>
      <c r="E623" s="8" t="inlineStr">
        <is>
          <t>MCDN_#4</t>
        </is>
      </c>
      <c r="F623" s="8" t="n">
        <v>1</v>
      </c>
      <c r="G623" s="8" t="n">
        <v>1</v>
      </c>
      <c r="H623" s="8" t="n">
        <v>0</v>
      </c>
      <c r="I623" s="8" t="n">
        <v>0</v>
      </c>
      <c r="J623" s="8" t="n">
        <v>0</v>
      </c>
      <c r="K623" s="8" t="n">
        <v>0</v>
      </c>
      <c r="L623" s="8" t="n">
        <v>0</v>
      </c>
      <c r="M623" s="8" t="n">
        <v>0</v>
      </c>
      <c r="N623" s="8" t="n">
        <v>0</v>
      </c>
      <c r="O623" s="8" t="n">
        <v>1</v>
      </c>
      <c r="P623" s="8" t="n">
        <v>0</v>
      </c>
      <c r="Q623" s="8" t="n">
        <v>1</v>
      </c>
      <c r="R623" s="8" t="n">
        <v>0</v>
      </c>
      <c r="S623" s="8" t="n">
        <v>0</v>
      </c>
      <c r="T623" s="8" t="n">
        <v>0</v>
      </c>
      <c r="U623" s="8" t="n">
        <v>0</v>
      </c>
      <c r="V623" s="8" t="n">
        <v>0</v>
      </c>
      <c r="W623" s="8" t="n">
        <v>0</v>
      </c>
      <c r="X623" s="8" t="n">
        <v>0</v>
      </c>
      <c r="Y623" s="8" t="inlineStr">
        <is>
          <t>PH for MCDN_#18 T7 play #75; K_S; [#5 advances to 2nd on DI embedded]</t>
        </is>
      </c>
    </row>
    <row r="624" ht="15.75" customHeight="1" s="35">
      <c r="A624" s="8" t="inlineStr">
        <is>
          <t>2026-03-30_CHPT_at_HNTN</t>
        </is>
      </c>
      <c r="B624" s="2" t="n">
        <v>46111</v>
      </c>
      <c r="C624" s="8" t="inlineStr">
        <is>
          <t>Chopticon</t>
        </is>
      </c>
      <c r="D624" s="8" t="inlineStr">
        <is>
          <t>HNTN</t>
        </is>
      </c>
      <c r="E624" s="8" t="inlineStr">
        <is>
          <t>R Bolger</t>
        </is>
      </c>
      <c r="F624" s="8" t="n">
        <v>5</v>
      </c>
      <c r="G624" s="8" t="n">
        <v>4</v>
      </c>
      <c r="H624" s="8" t="n">
        <v>2</v>
      </c>
      <c r="I624" s="8" t="n">
        <v>2</v>
      </c>
      <c r="J624" s="8" t="n">
        <v>0</v>
      </c>
      <c r="K624" s="8" t="n">
        <v>0</v>
      </c>
      <c r="L624" s="8" t="n">
        <v>0</v>
      </c>
      <c r="M624" s="8" t="n">
        <v>0</v>
      </c>
      <c r="N624" s="8" t="n">
        <v>0</v>
      </c>
      <c r="O624" s="8" t="n">
        <v>0</v>
      </c>
      <c r="P624" s="8" t="n">
        <v>0</v>
      </c>
      <c r="Q624" s="8" t="n">
        <v>0</v>
      </c>
      <c r="R624" s="8" t="n">
        <v>0</v>
      </c>
      <c r="S624" s="8" t="n">
        <v>1</v>
      </c>
      <c r="T624" s="8" t="n">
        <v>0</v>
      </c>
      <c r="U624" s="8" t="n">
        <v>0</v>
      </c>
      <c r="V624" s="8" t="n">
        <v>0</v>
      </c>
      <c r="W624" s="8" t="n">
        <v>1</v>
      </c>
      <c r="X624" s="8" t="n">
        <v>0</v>
      </c>
      <c r="Y624" s="8" t="inlineStr">
        <is>
          <t>FO B1 play #5; FO B2 play #18; SAC bunt B4 play #38 (B Marlowe to 3rd, G Grimes to 2nd); 1B B5 play #50; 1B B6 play #64 scores J Walter (1 RBI); incomplete B6 AB play #65 not counted (Flag #4)</t>
        </is>
      </c>
    </row>
    <row r="625" ht="15.75" customHeight="1" s="35">
      <c r="A625" s="8" t="inlineStr">
        <is>
          <t>2026-03-30_CHPT_at_HNTN</t>
        </is>
      </c>
      <c r="B625" s="2" t="n">
        <v>46111</v>
      </c>
      <c r="C625" s="8" t="inlineStr">
        <is>
          <t>Chopticon</t>
        </is>
      </c>
      <c r="D625" s="8" t="inlineStr">
        <is>
          <t>HNTN</t>
        </is>
      </c>
      <c r="E625" s="8" t="inlineStr">
        <is>
          <t>J Hann</t>
        </is>
      </c>
      <c r="F625" s="8" t="n">
        <v>4</v>
      </c>
      <c r="G625" s="8" t="n">
        <v>4</v>
      </c>
      <c r="H625" s="8" t="n">
        <v>2</v>
      </c>
      <c r="I625" s="8" t="n">
        <v>2</v>
      </c>
      <c r="J625" s="8" t="n">
        <v>0</v>
      </c>
      <c r="K625" s="8" t="n">
        <v>0</v>
      </c>
      <c r="L625" s="8" t="n">
        <v>0</v>
      </c>
      <c r="M625" s="8" t="n">
        <v>0</v>
      </c>
      <c r="N625" s="8" t="n">
        <v>0</v>
      </c>
      <c r="O625" s="8" t="n">
        <v>0</v>
      </c>
      <c r="P625" s="8" t="n">
        <v>0</v>
      </c>
      <c r="Q625" s="8" t="n">
        <v>0</v>
      </c>
      <c r="R625" s="8" t="n">
        <v>2</v>
      </c>
      <c r="S625" s="8" t="n">
        <v>2</v>
      </c>
      <c r="T625" s="8" t="n">
        <v>0</v>
      </c>
      <c r="U625" s="8" t="n">
        <v>0</v>
      </c>
      <c r="V625" s="8" t="n">
        <v>0</v>
      </c>
      <c r="W625" s="8" t="n">
        <v>0</v>
      </c>
      <c r="X625" s="8" t="n">
        <v>0</v>
      </c>
      <c r="Y625" s="8" t="inlineStr">
        <is>
          <t>1B B1 play #6 (advances to 2nd on CHPT RF error); scores B1 on J Cadden single play #7; FO B2 play #19; 1B B4 play #39 scores G Grimes and B Marlowe (2 RBI); scores B4 on N McMurray HR play #41; GO B5 play #51</t>
        </is>
      </c>
    </row>
    <row r="626" ht="15.75" customHeight="1" s="35">
      <c r="A626" s="8" t="inlineStr">
        <is>
          <t>2026-03-30_CHPT_at_HNTN</t>
        </is>
      </c>
      <c r="B626" s="2" t="n">
        <v>46111</v>
      </c>
      <c r="C626" s="8" t="inlineStr">
        <is>
          <t>Chopticon</t>
        </is>
      </c>
      <c r="D626" s="8" t="inlineStr">
        <is>
          <t>HNTN</t>
        </is>
      </c>
      <c r="E626" s="8" t="inlineStr">
        <is>
          <t>J Cadden</t>
        </is>
      </c>
      <c r="F626" s="8" t="n">
        <v>4</v>
      </c>
      <c r="G626" s="8" t="n">
        <v>4</v>
      </c>
      <c r="H626" s="8" t="n">
        <v>4</v>
      </c>
      <c r="I626" s="8" t="n">
        <v>2</v>
      </c>
      <c r="J626" s="8" t="n">
        <v>2</v>
      </c>
      <c r="K626" s="8" t="n">
        <v>0</v>
      </c>
      <c r="L626" s="8" t="n">
        <v>0</v>
      </c>
      <c r="M626" s="8" t="n">
        <v>0</v>
      </c>
      <c r="N626" s="8" t="n">
        <v>0</v>
      </c>
      <c r="O626" s="8" t="n">
        <v>0</v>
      </c>
      <c r="P626" s="8" t="n">
        <v>0</v>
      </c>
      <c r="Q626" s="8" t="n">
        <v>0</v>
      </c>
      <c r="R626" s="8" t="n">
        <v>3</v>
      </c>
      <c r="S626" s="8" t="n">
        <v>1</v>
      </c>
      <c r="T626" s="8" t="n">
        <v>1</v>
      </c>
      <c r="U626" s="8" t="n">
        <v>0</v>
      </c>
      <c r="V626" s="8" t="n">
        <v>0</v>
      </c>
      <c r="W626" s="8" t="n">
        <v>0</v>
      </c>
      <c r="X626" s="8" t="n">
        <v>0</v>
      </c>
      <c r="Y626" s="8" t="inlineStr">
        <is>
          <t>1B B1 play #7 scores J Hann (1 RBI); 2B B3 play #24; scores B3 on N McMurray HR play #25; 1B B4 play #40 (J Hann advances to 2nd); scores B4 on N McMurray HR play #41; 2B B6 play #57; SB 3rd B6 play #58 embedded in N McMurray AB; scores B6 on N McMurray HR play #58</t>
        </is>
      </c>
    </row>
    <row r="627" ht="15.75" customHeight="1" s="35">
      <c r="A627" s="8" t="inlineStr">
        <is>
          <t>2026-03-30_CHPT_at_HNTN</t>
        </is>
      </c>
      <c r="B627" s="2" t="n">
        <v>46111</v>
      </c>
      <c r="C627" s="8" t="inlineStr">
        <is>
          <t>Chopticon</t>
        </is>
      </c>
      <c r="D627" s="8" t="inlineStr">
        <is>
          <t>HNTN</t>
        </is>
      </c>
      <c r="E627" s="8" t="inlineStr">
        <is>
          <t>N McMurray</t>
        </is>
      </c>
      <c r="F627" s="8" t="n">
        <v>4</v>
      </c>
      <c r="G627" s="8" t="n">
        <v>4</v>
      </c>
      <c r="H627" s="8" t="n">
        <v>3</v>
      </c>
      <c r="I627" s="8" t="n">
        <v>0</v>
      </c>
      <c r="J627" s="8" t="n">
        <v>0</v>
      </c>
      <c r="K627" s="8" t="n">
        <v>0</v>
      </c>
      <c r="L627" s="8" t="n">
        <v>3</v>
      </c>
      <c r="M627" s="8" t="n">
        <v>0</v>
      </c>
      <c r="N627" s="8" t="n">
        <v>0</v>
      </c>
      <c r="O627" s="8" t="n">
        <v>0</v>
      </c>
      <c r="P627" s="8" t="n">
        <v>0</v>
      </c>
      <c r="Q627" s="8" t="n">
        <v>0</v>
      </c>
      <c r="R627" s="8" t="n">
        <v>3</v>
      </c>
      <c r="S627" s="8" t="n">
        <v>7</v>
      </c>
      <c r="T627" s="8" t="n">
        <v>0</v>
      </c>
      <c r="U627" s="8" t="n">
        <v>0</v>
      </c>
      <c r="V627" s="8" t="n">
        <v>0</v>
      </c>
      <c r="W627" s="8" t="n">
        <v>0</v>
      </c>
      <c r="X627" s="8" t="n">
        <v>0</v>
      </c>
      <c r="Y627" s="8" t="inlineStr">
        <is>
          <t>Reaches on CHPT CF error B1 play #8 (no H); CR R Kessler in play #9 — R Kessler does not score (Flag #12); HR B3 play #25 (J Cadden scores, N McMurray scores — 2 RBI); HR B4 play #41 (J Hann, J Cadden, N McMurray score — 3 RBI); HR B6 play #58 (J Cadden scores, N McMurray scores — 2 RBI); 3 HRs 7 RBI total (Flag #11)</t>
        </is>
      </c>
    </row>
    <row r="628" ht="15.75" customHeight="1" s="35">
      <c r="A628" s="8" t="inlineStr">
        <is>
          <t>2026-03-30_CHPT_at_HNTN</t>
        </is>
      </c>
      <c r="B628" s="2" t="n">
        <v>46111</v>
      </c>
      <c r="C628" s="8" t="inlineStr">
        <is>
          <t>Chopticon</t>
        </is>
      </c>
      <c r="D628" s="8" t="inlineStr">
        <is>
          <t>HNTN</t>
        </is>
      </c>
      <c r="E628" s="8" t="inlineStr">
        <is>
          <t>R Gaetano</t>
        </is>
      </c>
      <c r="F628" s="8" t="n">
        <v>4</v>
      </c>
      <c r="G628" s="8" t="n">
        <v>3</v>
      </c>
      <c r="H628" s="8" t="n">
        <v>1</v>
      </c>
      <c r="I628" s="8" t="n">
        <v>0</v>
      </c>
      <c r="J628" s="8" t="n">
        <v>1</v>
      </c>
      <c r="K628" s="8" t="n">
        <v>0</v>
      </c>
      <c r="L628" s="8" t="n">
        <v>0</v>
      </c>
      <c r="M628" s="8" t="n">
        <v>0</v>
      </c>
      <c r="N628" s="8" t="n">
        <v>1</v>
      </c>
      <c r="O628" s="8" t="n">
        <v>0</v>
      </c>
      <c r="P628" s="8" t="n">
        <v>0</v>
      </c>
      <c r="Q628" s="8" t="n">
        <v>0</v>
      </c>
      <c r="R628" s="8" t="n">
        <v>0</v>
      </c>
      <c r="S628" s="8" t="n">
        <v>0</v>
      </c>
      <c r="T628" s="8" t="n">
        <v>0</v>
      </c>
      <c r="U628" s="8" t="n">
        <v>0</v>
      </c>
      <c r="V628" s="8" t="n">
        <v>0</v>
      </c>
      <c r="W628" s="8" t="n">
        <v>0</v>
      </c>
      <c r="X628" s="8" t="n">
        <v>0</v>
      </c>
      <c r="Y628" s="8" t="inlineStr">
        <is>
          <t>HBP B1 play #9; FO B3 play #26; 2B B4 play #42; FO B6 play #59</t>
        </is>
      </c>
    </row>
    <row r="629" ht="15.75" customHeight="1" s="35">
      <c r="A629" s="8" t="inlineStr">
        <is>
          <t>2026-03-30_CHPT_at_HNTN</t>
        </is>
      </c>
      <c r="B629" s="2" t="n">
        <v>46111</v>
      </c>
      <c r="C629" s="8" t="inlineStr">
        <is>
          <t>Chopticon</t>
        </is>
      </c>
      <c r="D629" s="8" t="inlineStr">
        <is>
          <t>HNTN</t>
        </is>
      </c>
      <c r="E629" s="8" t="inlineStr">
        <is>
          <t>J Laur</t>
        </is>
      </c>
      <c r="F629" s="8" t="n">
        <v>4</v>
      </c>
      <c r="G629" s="8" t="n">
        <v>2</v>
      </c>
      <c r="H629" s="8" t="n">
        <v>0</v>
      </c>
      <c r="I629" s="8" t="n">
        <v>0</v>
      </c>
      <c r="J629" s="8" t="n">
        <v>0</v>
      </c>
      <c r="K629" s="8" t="n">
        <v>0</v>
      </c>
      <c r="L629" s="8" t="n">
        <v>0</v>
      </c>
      <c r="M629" s="8" t="n">
        <v>0</v>
      </c>
      <c r="N629" s="8" t="n">
        <v>1</v>
      </c>
      <c r="O629" s="8" t="n">
        <v>0</v>
      </c>
      <c r="P629" s="8" t="n">
        <v>0</v>
      </c>
      <c r="Q629" s="8" t="n">
        <v>0</v>
      </c>
      <c r="R629" s="8" t="n">
        <v>1</v>
      </c>
      <c r="S629" s="8" t="n">
        <v>0</v>
      </c>
      <c r="T629" s="8" t="n">
        <v>0</v>
      </c>
      <c r="U629" s="8" t="n">
        <v>0</v>
      </c>
      <c r="V629" s="8" t="n">
        <v>0</v>
      </c>
      <c r="W629" s="8" t="n">
        <v>1</v>
      </c>
      <c r="X629" s="8" t="n">
        <v>1</v>
      </c>
      <c r="Y629" s="8" t="inlineStr">
        <is>
          <t>FC B1 play #10 (J Cadden out at home); PO B3 play #27; SAC bunt B4 play #43 (R Gaetano to 3rd); HBP B6 play #60; WP advances J Laur to 2nd play #61 embedded; advances to 3rd on J Walter FC play #62; scores B6 on CHPT SS #6 error (embedded play #63 — no RBI)</t>
        </is>
      </c>
    </row>
    <row r="630" ht="15.75" customHeight="1" s="35">
      <c r="A630" s="8" t="inlineStr">
        <is>
          <t>2026-03-30_CHPT_at_HNTN</t>
        </is>
      </c>
      <c r="B630" s="2" t="n">
        <v>46111</v>
      </c>
      <c r="C630" s="8" t="inlineStr">
        <is>
          <t>Chopticon</t>
        </is>
      </c>
      <c r="D630" s="8" t="inlineStr">
        <is>
          <t>HNTN</t>
        </is>
      </c>
      <c r="E630" s="8" t="inlineStr">
        <is>
          <t>C Wargo</t>
        </is>
      </c>
      <c r="F630" s="8" t="n">
        <v>4</v>
      </c>
      <c r="G630" s="8" t="n">
        <v>3</v>
      </c>
      <c r="H630" s="8" t="n">
        <v>0</v>
      </c>
      <c r="I630" s="8" t="n">
        <v>0</v>
      </c>
      <c r="J630" s="8" t="n">
        <v>0</v>
      </c>
      <c r="K630" s="8" t="n">
        <v>0</v>
      </c>
      <c r="L630" s="8" t="n">
        <v>0</v>
      </c>
      <c r="M630" s="8" t="n">
        <v>1</v>
      </c>
      <c r="N630" s="8" t="n">
        <v>0</v>
      </c>
      <c r="O630" s="8" t="n">
        <v>0</v>
      </c>
      <c r="P630" s="8" t="n">
        <v>0</v>
      </c>
      <c r="Q630" s="8" t="n">
        <v>0</v>
      </c>
      <c r="R630" s="8" t="n">
        <v>0</v>
      </c>
      <c r="S630" s="8" t="n">
        <v>0</v>
      </c>
      <c r="T630" s="8" t="n">
        <v>0</v>
      </c>
      <c r="U630" s="8" t="n">
        <v>0</v>
      </c>
      <c r="V630" s="8" t="n">
        <v>0</v>
      </c>
      <c r="W630" s="8" t="n">
        <v>0</v>
      </c>
      <c r="X630" s="8" t="n">
        <v>0</v>
      </c>
      <c r="Y630" s="8" t="inlineStr">
        <is>
          <t>FO B1 play #11; LO B3 play #28; FO B4 play #44; walk B6 play #61; out advancing to 2nd on J Walter FC play #62</t>
        </is>
      </c>
    </row>
    <row r="631" ht="15.75" customHeight="1" s="35">
      <c r="A631" s="8" t="inlineStr">
        <is>
          <t>2026-03-30_CHPT_at_HNTN</t>
        </is>
      </c>
      <c r="B631" s="2" t="n">
        <v>46111</v>
      </c>
      <c r="C631" s="8" t="inlineStr">
        <is>
          <t>Chopticon</t>
        </is>
      </c>
      <c r="D631" s="8" t="inlineStr">
        <is>
          <t>HNTN</t>
        </is>
      </c>
      <c r="E631" s="8" t="inlineStr">
        <is>
          <t>B Marlowe</t>
        </is>
      </c>
      <c r="F631" s="8" t="n">
        <v>3</v>
      </c>
      <c r="G631" s="8" t="n">
        <v>3</v>
      </c>
      <c r="H631" s="8" t="n">
        <v>2</v>
      </c>
      <c r="I631" s="8" t="n">
        <v>2</v>
      </c>
      <c r="J631" s="8" t="n">
        <v>0</v>
      </c>
      <c r="K631" s="8" t="n">
        <v>0</v>
      </c>
      <c r="L631" s="8" t="n">
        <v>0</v>
      </c>
      <c r="M631" s="8" t="n">
        <v>0</v>
      </c>
      <c r="N631" s="8" t="n">
        <v>0</v>
      </c>
      <c r="O631" s="8" t="n">
        <v>0</v>
      </c>
      <c r="P631" s="8" t="n">
        <v>0</v>
      </c>
      <c r="Q631" s="8" t="n">
        <v>0</v>
      </c>
      <c r="R631" s="8" t="n">
        <v>1</v>
      </c>
      <c r="S631" s="8" t="n">
        <v>0</v>
      </c>
      <c r="T631" s="8" t="n">
        <v>0</v>
      </c>
      <c r="U631" s="8" t="n">
        <v>0</v>
      </c>
      <c r="V631" s="8" t="n">
        <v>0</v>
      </c>
      <c r="W631" s="8" t="n">
        <v>0</v>
      </c>
      <c r="X631" s="8" t="n">
        <v>0</v>
      </c>
      <c r="Y631" s="8" t="inlineStr">
        <is>
          <t>1B B2 play #16; 1B B4 play #36; scores B4 on J Hann single play #39; GO B5 play #48; replaced by J Walter mid-AB B6 play #62 (Flag #10) — no PA from that AB</t>
        </is>
      </c>
    </row>
    <row r="632" ht="15.75" customHeight="1" s="35">
      <c r="A632" s="8" t="inlineStr">
        <is>
          <t>2026-03-30_CHPT_at_HNTN</t>
        </is>
      </c>
      <c r="B632" s="2" t="n">
        <v>46111</v>
      </c>
      <c r="C632" s="8" t="inlineStr">
        <is>
          <t>Chopticon</t>
        </is>
      </c>
      <c r="D632" s="8" t="inlineStr">
        <is>
          <t>HNTN</t>
        </is>
      </c>
      <c r="E632" s="8" t="inlineStr">
        <is>
          <t>G Grimes</t>
        </is>
      </c>
      <c r="F632" s="8" t="n">
        <v>2</v>
      </c>
      <c r="G632" s="8" t="n">
        <v>1</v>
      </c>
      <c r="H632" s="8" t="n">
        <v>0</v>
      </c>
      <c r="I632" s="8" t="n">
        <v>0</v>
      </c>
      <c r="J632" s="8" t="n">
        <v>0</v>
      </c>
      <c r="K632" s="8" t="n">
        <v>0</v>
      </c>
      <c r="L632" s="8" t="n">
        <v>0</v>
      </c>
      <c r="M632" s="8" t="n">
        <v>0</v>
      </c>
      <c r="N632" s="8" t="n">
        <v>1</v>
      </c>
      <c r="O632" s="8" t="n">
        <v>1</v>
      </c>
      <c r="P632" s="8" t="n">
        <v>0</v>
      </c>
      <c r="Q632" s="8" t="n">
        <v>1</v>
      </c>
      <c r="R632" s="8" t="n">
        <v>1</v>
      </c>
      <c r="S632" s="8" t="n">
        <v>0</v>
      </c>
      <c r="T632" s="8" t="n">
        <v>0</v>
      </c>
      <c r="U632" s="8" t="n">
        <v>0</v>
      </c>
      <c r="V632" s="8" t="n">
        <v>0</v>
      </c>
      <c r="W632" s="8" t="n">
        <v>0</v>
      </c>
      <c r="X632" s="8" t="n">
        <v>0</v>
      </c>
      <c r="Y632" s="8" t="inlineStr">
        <is>
          <t>K_S B2 play #17; HBP B4 play #37; scores B4 on J Hann single play #39; mid-AB substitution by T Burghard B5 play #49 (inherits 2-1 count, Flag #10) — T Burghard gets that PA</t>
        </is>
      </c>
    </row>
    <row r="633" ht="15.75" customHeight="1" s="35">
      <c r="A633" s="8" t="inlineStr">
        <is>
          <t>2026-03-30_CHPT_at_HNTN</t>
        </is>
      </c>
      <c r="B633" s="2" t="n">
        <v>46111</v>
      </c>
      <c r="C633" s="8" t="inlineStr">
        <is>
          <t>Chopticon</t>
        </is>
      </c>
      <c r="D633" s="8" t="inlineStr">
        <is>
          <t>HNTN</t>
        </is>
      </c>
      <c r="E633" s="8" t="inlineStr">
        <is>
          <t>T Burghard</t>
        </is>
      </c>
      <c r="F633" s="8" t="n">
        <v>2</v>
      </c>
      <c r="G633" s="8" t="n">
        <v>1</v>
      </c>
      <c r="H633" s="8" t="n">
        <v>0</v>
      </c>
      <c r="I633" s="8" t="n">
        <v>0</v>
      </c>
      <c r="J633" s="8" t="n">
        <v>0</v>
      </c>
      <c r="K633" s="8" t="n">
        <v>0</v>
      </c>
      <c r="L633" s="8" t="n">
        <v>0</v>
      </c>
      <c r="M633" s="8" t="n">
        <v>0</v>
      </c>
      <c r="N633" s="8" t="n">
        <v>1</v>
      </c>
      <c r="O633" s="8" t="n">
        <v>0</v>
      </c>
      <c r="P633" s="8" t="n">
        <v>0</v>
      </c>
      <c r="Q633" s="8" t="n">
        <v>0</v>
      </c>
      <c r="R633" s="8" t="n">
        <v>0</v>
      </c>
      <c r="S633" s="8" t="n">
        <v>0</v>
      </c>
      <c r="T633" s="8" t="n">
        <v>0</v>
      </c>
      <c r="U633" s="8" t="n">
        <v>0</v>
      </c>
      <c r="V633" s="8" t="n">
        <v>0</v>
      </c>
      <c r="W633" s="8" t="n">
        <v>0</v>
      </c>
      <c r="X633" s="8" t="n">
        <v>0</v>
      </c>
      <c r="Y633" s="8" t="inlineStr">
        <is>
          <t>Mid-AB PH for G Grimes B5 play #49 (inherits 2-1 count, Flag #10) — PO; HBP B6 play #63; T Burghard advances to 2nd on R Bolger single play #64 but game ends</t>
        </is>
      </c>
    </row>
    <row r="634" ht="15.75" customHeight="1" s="35">
      <c r="A634" s="8" t="inlineStr">
        <is>
          <t>2026-03-30_CHPT_at_HNTN</t>
        </is>
      </c>
      <c r="B634" s="2" t="n">
        <v>46111</v>
      </c>
      <c r="C634" s="8" t="inlineStr">
        <is>
          <t>Chopticon</t>
        </is>
      </c>
      <c r="D634" s="8" t="inlineStr">
        <is>
          <t>HNTN</t>
        </is>
      </c>
      <c r="E634" s="8" t="inlineStr">
        <is>
          <t>J Walter</t>
        </is>
      </c>
      <c r="F634" s="8" t="n">
        <v>1</v>
      </c>
      <c r="G634" s="8" t="n">
        <v>1</v>
      </c>
      <c r="H634" s="8" t="n">
        <v>0</v>
      </c>
      <c r="I634" s="8" t="n">
        <v>0</v>
      </c>
      <c r="J634" s="8" t="n">
        <v>0</v>
      </c>
      <c r="K634" s="8" t="n">
        <v>0</v>
      </c>
      <c r="L634" s="8" t="n">
        <v>0</v>
      </c>
      <c r="M634" s="8" t="n">
        <v>0</v>
      </c>
      <c r="N634" s="8" t="n">
        <v>0</v>
      </c>
      <c r="O634" s="8" t="n">
        <v>0</v>
      </c>
      <c r="P634" s="8" t="n">
        <v>0</v>
      </c>
      <c r="Q634" s="8" t="n">
        <v>0</v>
      </c>
      <c r="R634" s="8" t="n">
        <v>1</v>
      </c>
      <c r="S634" s="8" t="n">
        <v>0</v>
      </c>
      <c r="T634" s="8" t="n">
        <v>1</v>
      </c>
      <c r="U634" s="8" t="n">
        <v>0</v>
      </c>
      <c r="V634" s="8" t="n">
        <v>0</v>
      </c>
      <c r="W634" s="8" t="n">
        <v>0</v>
      </c>
      <c r="X634" s="8" t="n">
        <v>1</v>
      </c>
      <c r="Y634" s="8" t="inlineStr">
        <is>
          <t>Mid-AB PH for B Marlowe B6 play #62 (Flag #10); FC (C Wargo out advancing to 2nd, J Laur to 3rd); SB 2nd B6 play #63 embedded in T Burghard HBP AB; scores B6 on R Bolger single play #64</t>
        </is>
      </c>
    </row>
    <row r="635" ht="15.75" customHeight="1" s="35">
      <c r="A635" s="8" t="inlineStr">
        <is>
          <t>2026-03-30_CHPT_at_HNTN</t>
        </is>
      </c>
      <c r="B635" s="2" t="n">
        <v>46111</v>
      </c>
      <c r="C635" s="8" t="inlineStr">
        <is>
          <t>Huntingtown Varsity Hurricanes</t>
        </is>
      </c>
      <c r="D635" s="8" t="inlineStr">
        <is>
          <t>CHPT</t>
        </is>
      </c>
      <c r="E635" s="8" t="inlineStr">
        <is>
          <t>CHPT_#6</t>
        </is>
      </c>
      <c r="F635" s="8" t="n">
        <v>3</v>
      </c>
      <c r="G635" s="8" t="n">
        <v>3</v>
      </c>
      <c r="H635" s="8" t="n">
        <v>0</v>
      </c>
      <c r="I635" s="8" t="n">
        <v>0</v>
      </c>
      <c r="J635" s="8" t="n">
        <v>0</v>
      </c>
      <c r="K635" s="8" t="n">
        <v>0</v>
      </c>
      <c r="L635" s="8" t="n">
        <v>0</v>
      </c>
      <c r="M635" s="8" t="n">
        <v>0</v>
      </c>
      <c r="N635" s="8" t="n">
        <v>0</v>
      </c>
      <c r="O635" s="8" t="n">
        <v>2</v>
      </c>
      <c r="P635" s="8" t="n">
        <v>1</v>
      </c>
      <c r="Q635" s="8" t="n">
        <v>1</v>
      </c>
      <c r="R635" s="8" t="n">
        <v>0</v>
      </c>
      <c r="S635" s="8" t="n">
        <v>0</v>
      </c>
      <c r="T635" s="8" t="n">
        <v>0</v>
      </c>
      <c r="U635" s="8" t="n">
        <v>0</v>
      </c>
      <c r="V635" s="8" t="n">
        <v>0</v>
      </c>
      <c r="W635" s="8" t="n">
        <v>0</v>
      </c>
      <c r="X635" s="8" t="n">
        <v>0</v>
      </c>
      <c r="Y635" s="8" t="inlineStr">
        <is>
          <t>K_L T1 play #1; K_S T3 play #22; GO T5 play #45</t>
        </is>
      </c>
    </row>
    <row r="636" ht="15.75" customHeight="1" s="35">
      <c r="A636" s="8" t="inlineStr">
        <is>
          <t>2026-03-30_CHPT_at_HNTN</t>
        </is>
      </c>
      <c r="B636" s="2" t="n">
        <v>46111</v>
      </c>
      <c r="C636" s="8" t="inlineStr">
        <is>
          <t>Huntingtown Varsity Hurricanes</t>
        </is>
      </c>
      <c r="D636" s="8" t="inlineStr">
        <is>
          <t>CHPT</t>
        </is>
      </c>
      <c r="E636" s="8" t="inlineStr">
        <is>
          <t>CHPT_#2</t>
        </is>
      </c>
      <c r="F636" s="8" t="n">
        <v>3</v>
      </c>
      <c r="G636" s="8" t="n">
        <v>3</v>
      </c>
      <c r="H636" s="8" t="n">
        <v>2</v>
      </c>
      <c r="I636" s="8" t="n">
        <v>2</v>
      </c>
      <c r="J636" s="8" t="n">
        <v>0</v>
      </c>
      <c r="K636" s="8" t="n">
        <v>0</v>
      </c>
      <c r="L636" s="8" t="n">
        <v>0</v>
      </c>
      <c r="M636" s="8" t="n">
        <v>0</v>
      </c>
      <c r="N636" s="8" t="n">
        <v>0</v>
      </c>
      <c r="O636" s="8" t="n">
        <v>0</v>
      </c>
      <c r="P636" s="8" t="n">
        <v>0</v>
      </c>
      <c r="Q636" s="8" t="n">
        <v>0</v>
      </c>
      <c r="R636" s="8" t="n">
        <v>0</v>
      </c>
      <c r="S636" s="8" t="n">
        <v>0</v>
      </c>
      <c r="T636" s="8" t="n">
        <v>1</v>
      </c>
      <c r="U636" s="8" t="n">
        <v>0</v>
      </c>
      <c r="V636" s="8" t="n">
        <v>0</v>
      </c>
      <c r="W636" s="8" t="n">
        <v>0</v>
      </c>
      <c r="X636" s="8" t="n">
        <v>0</v>
      </c>
      <c r="Y636" s="8" t="inlineStr">
        <is>
          <t>1B T1 play #2; SB 2nd T1 play #3 embedded in #21 AB; GO T3 play #23; 1B T5 play #46; out on DP play #47</t>
        </is>
      </c>
    </row>
    <row r="637" ht="15.75" customHeight="1" s="35">
      <c r="A637" s="8" t="inlineStr">
        <is>
          <t>2026-03-30_CHPT_at_HNTN</t>
        </is>
      </c>
      <c r="B637" s="2" t="n">
        <v>46111</v>
      </c>
      <c r="C637" s="8" t="inlineStr">
        <is>
          <t>Huntingtown Varsity Hurricanes</t>
        </is>
      </c>
      <c r="D637" s="8" t="inlineStr">
        <is>
          <t>CHPT</t>
        </is>
      </c>
      <c r="E637" s="8" t="inlineStr">
        <is>
          <t>CHPT_#21</t>
        </is>
      </c>
      <c r="F637" s="8" t="n">
        <v>3</v>
      </c>
      <c r="G637" s="8" t="n">
        <v>3</v>
      </c>
      <c r="H637" s="8" t="n">
        <v>0</v>
      </c>
      <c r="I637" s="8" t="n">
        <v>0</v>
      </c>
      <c r="J637" s="8" t="n">
        <v>0</v>
      </c>
      <c r="K637" s="8" t="n">
        <v>0</v>
      </c>
      <c r="L637" s="8" t="n">
        <v>0</v>
      </c>
      <c r="M637" s="8" t="n">
        <v>0</v>
      </c>
      <c r="N637" s="8" t="n">
        <v>0</v>
      </c>
      <c r="O637" s="8" t="n">
        <v>0</v>
      </c>
      <c r="P637" s="8" t="n">
        <v>0</v>
      </c>
      <c r="Q637" s="8" t="n">
        <v>0</v>
      </c>
      <c r="R637" s="8" t="n">
        <v>0</v>
      </c>
      <c r="S637" s="8" t="n">
        <v>0</v>
      </c>
      <c r="T637" s="8" t="n">
        <v>0</v>
      </c>
      <c r="U637" s="8" t="n">
        <v>0</v>
      </c>
      <c r="V637" s="8" t="n">
        <v>1</v>
      </c>
      <c r="W637" s="8" t="n">
        <v>0</v>
      </c>
      <c r="X637" s="8" t="n">
        <v>0</v>
      </c>
      <c r="Y637" s="8" t="inlineStr">
        <is>
          <t>GO T1 play #3; LO T4 play #29; GDP T5 play #47 (#2 out advancing to 2nd, #21 out at 1B)</t>
        </is>
      </c>
    </row>
    <row r="638" ht="15.75" customHeight="1" s="35">
      <c r="A638" s="8" t="inlineStr">
        <is>
          <t>2026-03-30_CHPT_at_HNTN</t>
        </is>
      </c>
      <c r="B638" s="2" t="n">
        <v>46111</v>
      </c>
      <c r="C638" s="8" t="inlineStr">
        <is>
          <t>Huntingtown Varsity Hurricanes</t>
        </is>
      </c>
      <c r="D638" s="8" t="inlineStr">
        <is>
          <t>CHPT</t>
        </is>
      </c>
      <c r="E638" s="8" t="inlineStr">
        <is>
          <t>CHPT_#9</t>
        </is>
      </c>
      <c r="F638" s="8" t="n">
        <v>3</v>
      </c>
      <c r="G638" s="8" t="n">
        <v>1</v>
      </c>
      <c r="H638" s="8" t="n">
        <v>0</v>
      </c>
      <c r="I638" s="8" t="n">
        <v>0</v>
      </c>
      <c r="J638" s="8" t="n">
        <v>0</v>
      </c>
      <c r="K638" s="8" t="n">
        <v>0</v>
      </c>
      <c r="L638" s="8" t="n">
        <v>0</v>
      </c>
      <c r="M638" s="8" t="n">
        <v>2</v>
      </c>
      <c r="N638" s="8" t="n">
        <v>0</v>
      </c>
      <c r="O638" s="8" t="n">
        <v>0</v>
      </c>
      <c r="P638" s="8" t="n">
        <v>0</v>
      </c>
      <c r="Q638" s="8" t="n">
        <v>0</v>
      </c>
      <c r="R638" s="8" t="n">
        <v>1</v>
      </c>
      <c r="S638" s="8" t="n">
        <v>0</v>
      </c>
      <c r="T638" s="8" t="n">
        <v>0</v>
      </c>
      <c r="U638" s="8" t="n">
        <v>0</v>
      </c>
      <c r="V638" s="8" t="n">
        <v>0</v>
      </c>
      <c r="W638" s="8" t="n">
        <v>0</v>
      </c>
      <c r="X638" s="8" t="n">
        <v>0</v>
      </c>
      <c r="Y638" s="8" t="inlineStr">
        <is>
          <t>FO T1 play #4; walk T4 play #30 (CR #13 enters play #31 — #13 scores on #1 walk play #34, R credited to #9, Flag #13); walk T6 play #52 (CR #13 enters — #13 stranded at 3rd, Flag #13)</t>
        </is>
      </c>
    </row>
    <row r="639" ht="15.75" customHeight="1" s="35">
      <c r="A639" s="8" t="inlineStr">
        <is>
          <t>2026-03-30_CHPT_at_HNTN</t>
        </is>
      </c>
      <c r="B639" s="2" t="n">
        <v>46111</v>
      </c>
      <c r="C639" s="8" t="inlineStr">
        <is>
          <t>Huntingtown Varsity Hurricanes</t>
        </is>
      </c>
      <c r="D639" s="8" t="inlineStr">
        <is>
          <t>CHPT</t>
        </is>
      </c>
      <c r="E639" s="8" t="inlineStr">
        <is>
          <t>CHPT_#10</t>
        </is>
      </c>
      <c r="F639" s="8" t="n">
        <v>3</v>
      </c>
      <c r="G639" s="8" t="n">
        <v>3</v>
      </c>
      <c r="H639" s="8" t="n">
        <v>1</v>
      </c>
      <c r="I639" s="8" t="n">
        <v>0</v>
      </c>
      <c r="J639" s="8" t="n">
        <v>1</v>
      </c>
      <c r="K639" s="8" t="n">
        <v>0</v>
      </c>
      <c r="L639" s="8" t="n">
        <v>0</v>
      </c>
      <c r="M639" s="8" t="n">
        <v>0</v>
      </c>
      <c r="N639" s="8" t="n">
        <v>0</v>
      </c>
      <c r="O639" s="8" t="n">
        <v>0</v>
      </c>
      <c r="P639" s="8" t="n">
        <v>0</v>
      </c>
      <c r="Q639" s="8" t="n">
        <v>0</v>
      </c>
      <c r="R639" s="8" t="n">
        <v>0</v>
      </c>
      <c r="S639" s="8" t="n">
        <v>0</v>
      </c>
      <c r="T639" s="8" t="n">
        <v>0</v>
      </c>
      <c r="U639" s="8" t="n">
        <v>0</v>
      </c>
      <c r="V639" s="8" t="n">
        <v>0</v>
      </c>
      <c r="W639" s="8" t="n">
        <v>0</v>
      </c>
      <c r="X639" s="8" t="n">
        <v>0</v>
      </c>
      <c r="Y639" s="8" t="inlineStr">
        <is>
          <t>FO T2 play #12; 2B T4 play #31 (CR #13 for #9 advances to 3rd); FO T6 play #53</t>
        </is>
      </c>
    </row>
    <row r="640" ht="15.75" customHeight="1" s="35">
      <c r="A640" s="8" t="inlineStr">
        <is>
          <t>2026-03-30_CHPT_at_HNTN</t>
        </is>
      </c>
      <c r="B640" s="2" t="n">
        <v>46111</v>
      </c>
      <c r="C640" s="8" t="inlineStr">
        <is>
          <t>Huntingtown Varsity Hurricanes</t>
        </is>
      </c>
      <c r="D640" s="8" t="inlineStr">
        <is>
          <t>CHPT</t>
        </is>
      </c>
      <c r="E640" s="8" t="inlineStr">
        <is>
          <t>CHPT_#8</t>
        </is>
      </c>
      <c r="F640" s="8" t="n">
        <v>3</v>
      </c>
      <c r="G640" s="8" t="n">
        <v>3</v>
      </c>
      <c r="H640" s="8" t="n">
        <v>1</v>
      </c>
      <c r="I640" s="8" t="n">
        <v>0</v>
      </c>
      <c r="J640" s="8" t="n">
        <v>1</v>
      </c>
      <c r="K640" s="8" t="n">
        <v>0</v>
      </c>
      <c r="L640" s="8" t="n">
        <v>0</v>
      </c>
      <c r="M640" s="8" t="n">
        <v>0</v>
      </c>
      <c r="N640" s="8" t="n">
        <v>0</v>
      </c>
      <c r="O640" s="8" t="n">
        <v>1</v>
      </c>
      <c r="P640" s="8" t="n">
        <v>0</v>
      </c>
      <c r="Q640" s="8" t="n">
        <v>1</v>
      </c>
      <c r="R640" s="8" t="n">
        <v>0</v>
      </c>
      <c r="S640" s="8" t="n">
        <v>0</v>
      </c>
      <c r="T640" s="8" t="n">
        <v>0</v>
      </c>
      <c r="U640" s="8" t="n">
        <v>0</v>
      </c>
      <c r="V640" s="8" t="n">
        <v>0</v>
      </c>
      <c r="W640" s="8" t="n">
        <v>0</v>
      </c>
      <c r="X640" s="8" t="n">
        <v>0</v>
      </c>
      <c r="Y640" s="8" t="inlineStr">
        <is>
          <t>PO T2 play #13; K_S T4 play #32; 2B T6 play #54 (CR #13 advances to 3rd)</t>
        </is>
      </c>
    </row>
    <row r="641" ht="15.75" customHeight="1" s="35">
      <c r="A641" s="8" t="inlineStr">
        <is>
          <t>2026-03-30_CHPT_at_HNTN</t>
        </is>
      </c>
      <c r="B641" s="2" t="n">
        <v>46111</v>
      </c>
      <c r="C641" s="8" t="inlineStr">
        <is>
          <t>Huntingtown Varsity Hurricanes</t>
        </is>
      </c>
      <c r="D641" s="8" t="inlineStr">
        <is>
          <t>CHPT</t>
        </is>
      </c>
      <c r="E641" s="8" t="inlineStr">
        <is>
          <t>CHPT_#11</t>
        </is>
      </c>
      <c r="F641" s="8" t="n">
        <v>2</v>
      </c>
      <c r="G641" s="8" t="n">
        <v>1</v>
      </c>
      <c r="H641" s="8" t="n">
        <v>1</v>
      </c>
      <c r="I641" s="8" t="n">
        <v>1</v>
      </c>
      <c r="J641" s="8" t="n">
        <v>0</v>
      </c>
      <c r="K641" s="8" t="n">
        <v>0</v>
      </c>
      <c r="L641" s="8" t="n">
        <v>0</v>
      </c>
      <c r="M641" s="8" t="n">
        <v>1</v>
      </c>
      <c r="N641" s="8" t="n">
        <v>0</v>
      </c>
      <c r="O641" s="8" t="n">
        <v>0</v>
      </c>
      <c r="P641" s="8" t="n">
        <v>0</v>
      </c>
      <c r="Q641" s="8" t="n">
        <v>0</v>
      </c>
      <c r="R641" s="8" t="n">
        <v>0</v>
      </c>
      <c r="S641" s="8" t="n">
        <v>0</v>
      </c>
      <c r="T641" s="8" t="n">
        <v>0</v>
      </c>
      <c r="U641" s="8" t="n">
        <v>0</v>
      </c>
      <c r="V641" s="8" t="n">
        <v>0</v>
      </c>
      <c r="W641" s="8" t="n">
        <v>0</v>
      </c>
      <c r="X641" s="8" t="n">
        <v>0</v>
      </c>
      <c r="Y641" s="8" t="inlineStr">
        <is>
          <t>1B T2 play #14 (CR #7 enters — #7 picked off play #15, Flag #6); walk T4 play #33</t>
        </is>
      </c>
    </row>
    <row r="642" ht="15.75" customHeight="1" s="35">
      <c r="A642" s="8" t="inlineStr">
        <is>
          <t>2026-03-30_CHPT_at_HNTN</t>
        </is>
      </c>
      <c r="B642" s="2" t="n">
        <v>46111</v>
      </c>
      <c r="C642" s="8" t="inlineStr">
        <is>
          <t>Huntingtown Varsity Hurricanes</t>
        </is>
      </c>
      <c r="D642" s="8" t="inlineStr">
        <is>
          <t>CHPT</t>
        </is>
      </c>
      <c r="E642" s="8" t="inlineStr">
        <is>
          <t>CHPT_#1</t>
        </is>
      </c>
      <c r="F642" s="8" t="n">
        <v>3</v>
      </c>
      <c r="G642" s="8" t="n">
        <v>2</v>
      </c>
      <c r="H642" s="8" t="n">
        <v>0</v>
      </c>
      <c r="I642" s="8" t="n">
        <v>0</v>
      </c>
      <c r="J642" s="8" t="n">
        <v>0</v>
      </c>
      <c r="K642" s="8" t="n">
        <v>0</v>
      </c>
      <c r="L642" s="8" t="n">
        <v>0</v>
      </c>
      <c r="M642" s="8" t="n">
        <v>1</v>
      </c>
      <c r="N642" s="8" t="n">
        <v>0</v>
      </c>
      <c r="O642" s="8" t="n">
        <v>2</v>
      </c>
      <c r="P642" s="8" t="n">
        <v>0</v>
      </c>
      <c r="Q642" s="8" t="n">
        <v>2</v>
      </c>
      <c r="R642" s="8" t="n">
        <v>0</v>
      </c>
      <c r="S642" s="8" t="n">
        <v>1</v>
      </c>
      <c r="T642" s="8" t="n">
        <v>0</v>
      </c>
      <c r="U642" s="8" t="n">
        <v>0</v>
      </c>
      <c r="V642" s="8" t="n">
        <v>0</v>
      </c>
      <c r="W642" s="8" t="n">
        <v>0</v>
      </c>
      <c r="X642" s="8" t="n">
        <v>0</v>
      </c>
      <c r="Y642" s="8" t="inlineStr">
        <is>
          <t>K_S T3 play #20; walk T4 play #34 (bases loaded, forces in CR #13/#9 from 3rd = 1 RBI); dropped 3rd K T6 play #56 (K_S — batter out at 1B)</t>
        </is>
      </c>
    </row>
    <row r="643" ht="15.75" customHeight="1" s="35">
      <c r="A643" s="8" t="inlineStr">
        <is>
          <t>2026-03-30_CHPT_at_HNTN</t>
        </is>
      </c>
      <c r="B643" s="2" t="n">
        <v>46111</v>
      </c>
      <c r="C643" s="8" t="inlineStr">
        <is>
          <t>Huntingtown Varsity Hurricanes</t>
        </is>
      </c>
      <c r="D643" s="8" t="inlineStr">
        <is>
          <t>CHPT</t>
        </is>
      </c>
      <c r="E643" s="8" t="inlineStr">
        <is>
          <t>CHPT_#3</t>
        </is>
      </c>
      <c r="F643" s="8" t="n">
        <v>2</v>
      </c>
      <c r="G643" s="8" t="n">
        <v>2</v>
      </c>
      <c r="H643" s="8" t="n">
        <v>1</v>
      </c>
      <c r="I643" s="8" t="n">
        <v>0</v>
      </c>
      <c r="J643" s="8" t="n">
        <v>0</v>
      </c>
      <c r="K643" s="8" t="n">
        <v>0</v>
      </c>
      <c r="L643" s="8" t="n">
        <v>1</v>
      </c>
      <c r="M643" s="8" t="n">
        <v>0</v>
      </c>
      <c r="N643" s="8" t="n">
        <v>0</v>
      </c>
      <c r="O643" s="8" t="n">
        <v>1</v>
      </c>
      <c r="P643" s="8" t="n">
        <v>0</v>
      </c>
      <c r="Q643" s="8" t="n">
        <v>1</v>
      </c>
      <c r="R643" s="8" t="n">
        <v>1</v>
      </c>
      <c r="S643" s="8" t="n">
        <v>1</v>
      </c>
      <c r="T643" s="8" t="n">
        <v>0</v>
      </c>
      <c r="U643" s="8" t="n">
        <v>0</v>
      </c>
      <c r="V643" s="8" t="n">
        <v>0</v>
      </c>
      <c r="W643" s="8" t="n">
        <v>0</v>
      </c>
      <c r="X643" s="8" t="n">
        <v>0</v>
      </c>
      <c r="Y643" s="8" t="inlineStr">
        <is>
          <t>HR T3 play #21 (solo); K_S T4 play #35</t>
        </is>
      </c>
    </row>
    <row r="644" ht="15.75" customHeight="1" s="35">
      <c r="A644" s="8" t="inlineStr">
        <is>
          <t>2026-03-30_CHPT_at_HNTN</t>
        </is>
      </c>
      <c r="B644" s="2" t="n">
        <v>46111</v>
      </c>
      <c r="C644" s="8" t="inlineStr">
        <is>
          <t>Huntingtown Varsity Hurricanes</t>
        </is>
      </c>
      <c r="D644" s="8" t="inlineStr">
        <is>
          <t>CHPT</t>
        </is>
      </c>
      <c r="E644" s="8" t="inlineStr">
        <is>
          <t>CHPT_#15</t>
        </is>
      </c>
      <c r="F644" s="8" t="n">
        <v>1</v>
      </c>
      <c r="G644" s="8" t="n">
        <v>1</v>
      </c>
      <c r="H644" s="8" t="n">
        <v>0</v>
      </c>
      <c r="I644" s="8" t="n">
        <v>0</v>
      </c>
      <c r="J644" s="8" t="n">
        <v>0</v>
      </c>
      <c r="K644" s="8" t="n">
        <v>0</v>
      </c>
      <c r="L644" s="8" t="n">
        <v>0</v>
      </c>
      <c r="M644" s="8" t="n">
        <v>0</v>
      </c>
      <c r="N644" s="8" t="n">
        <v>0</v>
      </c>
      <c r="O644" s="8" t="n">
        <v>1</v>
      </c>
      <c r="P644" s="8" t="n">
        <v>0</v>
      </c>
      <c r="Q644" s="8" t="n">
        <v>1</v>
      </c>
      <c r="R644" s="8" t="n">
        <v>0</v>
      </c>
      <c r="S644" s="8" t="n">
        <v>0</v>
      </c>
      <c r="T644" s="8" t="n">
        <v>0</v>
      </c>
      <c r="U644" s="8" t="n">
        <v>0</v>
      </c>
      <c r="V644" s="8" t="n">
        <v>0</v>
      </c>
      <c r="W644" s="8" t="n">
        <v>0</v>
      </c>
      <c r="X644" s="8" t="n">
        <v>0</v>
      </c>
      <c r="Y644" s="8" t="inlineStr">
        <is>
          <t>K_S T6 play #55; also CHPT pitcher B4 partial–B6 partial (Flag #14)</t>
        </is>
      </c>
    </row>
    <row r="645" ht="15.75" customHeight="1" s="35">
      <c r="A645" s="8" t="inlineStr">
        <is>
          <t>2026-04-01_RVRH_at_NRTH</t>
        </is>
      </c>
      <c r="B645" s="2" t="n">
        <v>46113</v>
      </c>
      <c r="C645" s="8" t="inlineStr">
        <is>
          <t>North Point Varsity Eagles</t>
        </is>
      </c>
      <c r="D645" s="8" t="inlineStr">
        <is>
          <t>RVRH</t>
        </is>
      </c>
      <c r="E645" s="8" t="inlineStr">
        <is>
          <t>R Walsh</t>
        </is>
      </c>
      <c r="F645" s="8" t="n">
        <v>4</v>
      </c>
      <c r="G645" s="8" t="n">
        <v>4</v>
      </c>
      <c r="H645" s="8" t="n">
        <v>1</v>
      </c>
      <c r="I645" s="8" t="n">
        <v>1</v>
      </c>
      <c r="J645" s="8" t="n">
        <v>0</v>
      </c>
      <c r="K645" s="8" t="n">
        <v>0</v>
      </c>
      <c r="L645" s="8" t="n">
        <v>0</v>
      </c>
      <c r="M645" s="8" t="n">
        <v>0</v>
      </c>
      <c r="N645" s="8" t="n">
        <v>0</v>
      </c>
      <c r="O645" s="8" t="n">
        <v>0</v>
      </c>
      <c r="P645" s="8" t="n">
        <v>0</v>
      </c>
      <c r="Q645" s="8" t="n">
        <v>0</v>
      </c>
      <c r="R645" s="8" t="n">
        <v>0</v>
      </c>
      <c r="S645" s="8" t="n">
        <v>1</v>
      </c>
      <c r="T645" s="8" t="n">
        <v>0</v>
      </c>
      <c r="U645" s="8" t="n">
        <v>0</v>
      </c>
      <c r="V645" s="8" t="n">
        <v>0</v>
      </c>
      <c r="W645" s="8" t="n">
        <v>0</v>
      </c>
      <c r="X645" s="8" t="n">
        <v>0</v>
      </c>
      <c r="Y645" s="8" t="inlineStr">
        <is>
          <t>RBI on T6 Single (play #53, C Nichols scores); also pitches B1-B3 (entry inferred, Flag #1)</t>
        </is>
      </c>
    </row>
    <row r="646" ht="15.75" customHeight="1" s="35">
      <c r="A646" s="8" t="inlineStr">
        <is>
          <t>2026-04-01_RVRH_at_NRTH</t>
        </is>
      </c>
      <c r="B646" s="2" t="n">
        <v>46113</v>
      </c>
      <c r="C646" s="8" t="inlineStr">
        <is>
          <t>North Point Varsity Eagles</t>
        </is>
      </c>
      <c r="D646" s="8" t="inlineStr">
        <is>
          <t>RVRH</t>
        </is>
      </c>
      <c r="E646" s="8" t="inlineStr">
        <is>
          <t>C Reis</t>
        </is>
      </c>
      <c r="F646" s="8" t="n">
        <v>3</v>
      </c>
      <c r="G646" s="8" t="n">
        <v>3</v>
      </c>
      <c r="H646" s="8" t="n">
        <v>2</v>
      </c>
      <c r="I646" s="8" t="n">
        <v>2</v>
      </c>
      <c r="J646" s="8" t="n">
        <v>0</v>
      </c>
      <c r="K646" s="8" t="n">
        <v>0</v>
      </c>
      <c r="L646" s="8" t="n">
        <v>0</v>
      </c>
      <c r="M646" s="8" t="n">
        <v>0</v>
      </c>
      <c r="N646" s="8" t="n">
        <v>0</v>
      </c>
      <c r="O646" s="8" t="n">
        <v>0</v>
      </c>
      <c r="P646" s="8" t="n">
        <v>0</v>
      </c>
      <c r="Q646" s="8" t="n">
        <v>0</v>
      </c>
      <c r="R646" s="8" t="n">
        <v>2</v>
      </c>
      <c r="S646" s="8" t="n">
        <v>0</v>
      </c>
      <c r="T646" s="8" t="n">
        <v>0</v>
      </c>
      <c r="U646" s="8" t="n">
        <v>0</v>
      </c>
      <c r="V646" s="8" t="n">
        <v>0</v>
      </c>
      <c r="W646" s="8" t="n">
        <v>0</v>
      </c>
      <c r="X646" s="8" t="n">
        <v>0</v>
      </c>
      <c r="Y646" s="8" t="inlineStr">
        <is>
          <t>Scores T1 (play #5) and T3 (play #22)</t>
        </is>
      </c>
    </row>
    <row r="647" ht="15.75" customHeight="1" s="35">
      <c r="A647" s="8" t="inlineStr">
        <is>
          <t>2026-04-01_RVRH_at_NRTH</t>
        </is>
      </c>
      <c r="B647" s="2" t="n">
        <v>46113</v>
      </c>
      <c r="C647" s="8" t="inlineStr">
        <is>
          <t>North Point Varsity Eagles</t>
        </is>
      </c>
      <c r="D647" s="8" t="inlineStr">
        <is>
          <t>RVRH</t>
        </is>
      </c>
      <c r="E647" s="8" t="inlineStr">
        <is>
          <t>J Norwood</t>
        </is>
      </c>
      <c r="F647" s="8" t="n">
        <v>3</v>
      </c>
      <c r="G647" s="8" t="n">
        <v>2</v>
      </c>
      <c r="H647" s="8" t="n">
        <v>1</v>
      </c>
      <c r="I647" s="8" t="n">
        <v>0</v>
      </c>
      <c r="J647" s="8" t="n">
        <v>1</v>
      </c>
      <c r="K647" s="8" t="n">
        <v>0</v>
      </c>
      <c r="L647" s="8" t="n">
        <v>0</v>
      </c>
      <c r="M647" s="8" t="n">
        <v>0</v>
      </c>
      <c r="N647" s="8" t="n">
        <v>1</v>
      </c>
      <c r="O647" s="8" t="n">
        <v>0</v>
      </c>
      <c r="P647" s="8" t="n">
        <v>0</v>
      </c>
      <c r="Q647" s="8" t="n">
        <v>0</v>
      </c>
      <c r="R647" s="8" t="n">
        <v>2</v>
      </c>
      <c r="S647" s="8" t="n">
        <v>1</v>
      </c>
      <c r="T647" s="8" t="n">
        <v>0</v>
      </c>
      <c r="U647" s="8" t="n">
        <v>0</v>
      </c>
      <c r="V647" s="8" t="n">
        <v>0</v>
      </c>
      <c r="W647" s="8" t="n">
        <v>0</v>
      </c>
      <c r="X647" s="8" t="n">
        <v>0</v>
      </c>
      <c r="Y647" s="8" t="inlineStr">
        <is>
          <t>HBP T1 (play #3); scores T1 (play #5) and T3 steal of home (embedded, play #25); RBI on T3 Double (play #22, C Reis scores)</t>
        </is>
      </c>
    </row>
    <row r="648" ht="15.75" customHeight="1" s="35">
      <c r="A648" s="8" t="inlineStr">
        <is>
          <t>2026-04-01_RVRH_at_NRTH</t>
        </is>
      </c>
      <c r="B648" s="2" t="n">
        <v>46113</v>
      </c>
      <c r="C648" s="8" t="inlineStr">
        <is>
          <t>North Point Varsity Eagles</t>
        </is>
      </c>
      <c r="D648" s="8" t="inlineStr">
        <is>
          <t>RVRH</t>
        </is>
      </c>
      <c r="E648" s="8" t="inlineStr">
        <is>
          <t>H Zhang</t>
        </is>
      </c>
      <c r="F648" s="8" t="n">
        <v>3</v>
      </c>
      <c r="G648" s="8" t="n">
        <v>2</v>
      </c>
      <c r="H648" s="8" t="n">
        <v>0</v>
      </c>
      <c r="I648" s="8" t="n">
        <v>0</v>
      </c>
      <c r="J648" s="8" t="n">
        <v>0</v>
      </c>
      <c r="K648" s="8" t="n">
        <v>0</v>
      </c>
      <c r="L648" s="8" t="n">
        <v>0</v>
      </c>
      <c r="M648" s="8" t="n">
        <v>0</v>
      </c>
      <c r="N648" s="8" t="n">
        <v>1</v>
      </c>
      <c r="O648" s="8" t="n">
        <v>0</v>
      </c>
      <c r="P648" s="8" t="n">
        <v>0</v>
      </c>
      <c r="Q648" s="8" t="n">
        <v>0</v>
      </c>
      <c r="R648" s="8" t="n">
        <v>0</v>
      </c>
      <c r="S648" s="8" t="n">
        <v>0</v>
      </c>
      <c r="T648" s="8" t="n">
        <v>0</v>
      </c>
      <c r="U648" s="8" t="n">
        <v>0</v>
      </c>
      <c r="V648" s="8" t="n">
        <v>0</v>
      </c>
      <c r="W648" s="8" t="n">
        <v>0</v>
      </c>
      <c r="X648" s="8" t="n">
        <v>0</v>
      </c>
      <c r="Y648" s="8" t="inlineStr">
        <is>
          <t>HBP T1 (play #4); out advancing to 3rd on base paths (embedded in play #5, C Naecker's AB)</t>
        </is>
      </c>
    </row>
    <row r="649" ht="15.75" customHeight="1" s="35">
      <c r="A649" s="8" t="inlineStr">
        <is>
          <t>2026-04-01_RVRH_at_NRTH</t>
        </is>
      </c>
      <c r="B649" s="2" t="n">
        <v>46113</v>
      </c>
      <c r="C649" s="8" t="inlineStr">
        <is>
          <t>North Point Varsity Eagles</t>
        </is>
      </c>
      <c r="D649" s="8" t="inlineStr">
        <is>
          <t>RVRH</t>
        </is>
      </c>
      <c r="E649" s="8" t="inlineStr">
        <is>
          <t>C Naecker</t>
        </is>
      </c>
      <c r="F649" s="8" t="n">
        <v>4</v>
      </c>
      <c r="G649" s="8" t="n">
        <v>4</v>
      </c>
      <c r="H649" s="8" t="n">
        <v>2</v>
      </c>
      <c r="I649" s="8" t="n">
        <v>2</v>
      </c>
      <c r="J649" s="8" t="n">
        <v>0</v>
      </c>
      <c r="K649" s="8" t="n">
        <v>0</v>
      </c>
      <c r="L649" s="8" t="n">
        <v>0</v>
      </c>
      <c r="M649" s="8" t="n">
        <v>0</v>
      </c>
      <c r="N649" s="8" t="n">
        <v>0</v>
      </c>
      <c r="O649" s="8" t="n">
        <v>0</v>
      </c>
      <c r="P649" s="8" t="n">
        <v>0</v>
      </c>
      <c r="Q649" s="8" t="n">
        <v>0</v>
      </c>
      <c r="R649" s="8" t="n">
        <v>1</v>
      </c>
      <c r="S649" s="8" t="n">
        <v>2</v>
      </c>
      <c r="T649" s="8" t="n">
        <v>2</v>
      </c>
      <c r="U649" s="8" t="n">
        <v>0</v>
      </c>
      <c r="V649" s="8" t="n">
        <v>0</v>
      </c>
      <c r="W649" s="8" t="n">
        <v>0</v>
      </c>
      <c r="X649" s="8" t="n">
        <v>0</v>
      </c>
      <c r="Y649" s="8" t="inlineStr">
        <is>
          <t>2 RBI on T1 Single (play #5, J Norwood + C Reis score); 2 SB (T1 embedded play #6, T3 embedded play #25); scores T3 on G Dang Single (play #25)</t>
        </is>
      </c>
    </row>
    <row r="650" ht="15.75" customHeight="1" s="35">
      <c r="A650" s="8" t="inlineStr">
        <is>
          <t>2026-04-01_RVRH_at_NRTH</t>
        </is>
      </c>
      <c r="B650" s="2" t="n">
        <v>46113</v>
      </c>
      <c r="C650" s="8" t="inlineStr">
        <is>
          <t>North Point Varsity Eagles</t>
        </is>
      </c>
      <c r="D650" s="8" t="inlineStr">
        <is>
          <t>RVRH</t>
        </is>
      </c>
      <c r="E650" s="8" t="inlineStr">
        <is>
          <t>G Dang</t>
        </is>
      </c>
      <c r="F650" s="8" t="n">
        <v>2</v>
      </c>
      <c r="G650" s="8" t="n">
        <v>2</v>
      </c>
      <c r="H650" s="8" t="n">
        <v>2</v>
      </c>
      <c r="I650" s="8" t="n">
        <v>2</v>
      </c>
      <c r="J650" s="8" t="n">
        <v>0</v>
      </c>
      <c r="K650" s="8" t="n">
        <v>0</v>
      </c>
      <c r="L650" s="8" t="n">
        <v>0</v>
      </c>
      <c r="M650" s="8" t="n">
        <v>0</v>
      </c>
      <c r="N650" s="8" t="n">
        <v>0</v>
      </c>
      <c r="O650" s="8" t="n">
        <v>0</v>
      </c>
      <c r="P650" s="8" t="n">
        <v>0</v>
      </c>
      <c r="Q650" s="8" t="n">
        <v>0</v>
      </c>
      <c r="R650" s="8" t="n">
        <v>0</v>
      </c>
      <c r="S650" s="8" t="n">
        <v>1</v>
      </c>
      <c r="T650" s="8" t="n">
        <v>0</v>
      </c>
      <c r="U650" s="8" t="n">
        <v>0</v>
      </c>
      <c r="V650" s="8" t="n">
        <v>0</v>
      </c>
      <c r="W650" s="8" t="n">
        <v>0</v>
      </c>
      <c r="X650" s="8" t="n">
        <v>0</v>
      </c>
      <c r="Y650" s="8" t="inlineStr">
        <is>
          <t>Replaced by CR C McClellan (T1 play #7, T3 play #26); RBI on T3 Single (play #25, C Naecker scores on throw); does not score — CR used both stints</t>
        </is>
      </c>
    </row>
    <row r="651" ht="15.75" customHeight="1" s="35">
      <c r="A651" s="8" t="inlineStr">
        <is>
          <t>2026-04-01_RVRH_at_NRTH</t>
        </is>
      </c>
      <c r="B651" s="2" t="n">
        <v>46113</v>
      </c>
      <c r="C651" s="8" t="inlineStr">
        <is>
          <t>North Point Varsity Eagles</t>
        </is>
      </c>
      <c r="D651" s="8" t="inlineStr">
        <is>
          <t>RVRH</t>
        </is>
      </c>
      <c r="E651" s="8" t="inlineStr">
        <is>
          <t>A Fields</t>
        </is>
      </c>
      <c r="F651" s="8" t="n">
        <v>3</v>
      </c>
      <c r="G651" s="8" t="n">
        <v>3</v>
      </c>
      <c r="H651" s="8" t="n">
        <v>0</v>
      </c>
      <c r="I651" s="8" t="n">
        <v>0</v>
      </c>
      <c r="J651" s="8" t="n">
        <v>0</v>
      </c>
      <c r="K651" s="8" t="n">
        <v>0</v>
      </c>
      <c r="L651" s="8" t="n">
        <v>0</v>
      </c>
      <c r="M651" s="8" t="n">
        <v>0</v>
      </c>
      <c r="N651" s="8" t="n">
        <v>0</v>
      </c>
      <c r="O651" s="8" t="n">
        <v>0</v>
      </c>
      <c r="P651" s="8" t="n">
        <v>0</v>
      </c>
      <c r="Q651" s="8" t="n">
        <v>0</v>
      </c>
      <c r="R651" s="8" t="n">
        <v>0</v>
      </c>
      <c r="S651" s="8" t="n">
        <v>0</v>
      </c>
      <c r="T651" s="8" t="n">
        <v>0</v>
      </c>
      <c r="U651" s="8" t="n">
        <v>0</v>
      </c>
      <c r="V651" s="8" t="n">
        <v>0</v>
      </c>
      <c r="W651" s="8" t="n">
        <v>0</v>
      </c>
      <c r="X651" s="8" t="n">
        <v>0</v>
      </c>
    </row>
    <row r="652" ht="15.75" customHeight="1" s="35">
      <c r="A652" s="8" t="inlineStr">
        <is>
          <t>2026-04-01_RVRH_at_NRTH</t>
        </is>
      </c>
      <c r="B652" s="2" t="n">
        <v>46113</v>
      </c>
      <c r="C652" s="8" t="inlineStr">
        <is>
          <t>North Point Varsity Eagles</t>
        </is>
      </c>
      <c r="D652" s="8" t="inlineStr">
        <is>
          <t>RVRH</t>
        </is>
      </c>
      <c r="E652" s="8" t="inlineStr">
        <is>
          <t>C Nichols</t>
        </is>
      </c>
      <c r="F652" s="8" t="n">
        <v>3</v>
      </c>
      <c r="G652" s="8" t="n">
        <v>2</v>
      </c>
      <c r="H652" s="8" t="n">
        <v>0</v>
      </c>
      <c r="I652" s="8" t="n">
        <v>0</v>
      </c>
      <c r="J652" s="8" t="n">
        <v>0</v>
      </c>
      <c r="K652" s="8" t="n">
        <v>0</v>
      </c>
      <c r="L652" s="8" t="n">
        <v>0</v>
      </c>
      <c r="M652" s="8" t="n">
        <v>1</v>
      </c>
      <c r="N652" s="8" t="n">
        <v>0</v>
      </c>
      <c r="O652" s="8" t="n">
        <v>2</v>
      </c>
      <c r="P652" s="8" t="n">
        <v>1</v>
      </c>
      <c r="Q652" s="8" t="n">
        <v>1</v>
      </c>
      <c r="R652" s="8" t="n">
        <v>1</v>
      </c>
      <c r="S652" s="8" t="n">
        <v>0</v>
      </c>
      <c r="T652" s="8" t="n">
        <v>0</v>
      </c>
      <c r="U652" s="8" t="n">
        <v>0</v>
      </c>
      <c r="V652" s="8" t="n">
        <v>0</v>
      </c>
      <c r="W652" s="8" t="n">
        <v>0</v>
      </c>
      <c r="X652" s="8" t="n">
        <v>0</v>
      </c>
      <c r="Y652" s="8" t="inlineStr">
        <is>
          <t>K_L T2 (play #13); K_S T4 (play #33); scores T6 (play #53, R Walsh Single); also commits E SS (play #38, see Fielding)</t>
        </is>
      </c>
    </row>
    <row r="653" ht="15.75" customHeight="1" s="35">
      <c r="A653" s="8" t="inlineStr">
        <is>
          <t>2026-04-01_RVRH_at_NRTH</t>
        </is>
      </c>
      <c r="B653" s="2" t="n">
        <v>46113</v>
      </c>
      <c r="C653" s="8" t="inlineStr">
        <is>
          <t>North Point Varsity Eagles</t>
        </is>
      </c>
      <c r="D653" s="8" t="inlineStr">
        <is>
          <t>RVRH</t>
        </is>
      </c>
      <c r="E653" s="8" t="inlineStr">
        <is>
          <t>A Contreras</t>
        </is>
      </c>
      <c r="F653" s="8" t="n">
        <v>3</v>
      </c>
      <c r="G653" s="8" t="n">
        <v>2</v>
      </c>
      <c r="H653" s="8" t="n">
        <v>1</v>
      </c>
      <c r="I653" s="8" t="n">
        <v>1</v>
      </c>
      <c r="J653" s="8" t="n">
        <v>0</v>
      </c>
      <c r="K653" s="8" t="n">
        <v>0</v>
      </c>
      <c r="L653" s="8" t="n">
        <v>0</v>
      </c>
      <c r="M653" s="8" t="n">
        <v>1</v>
      </c>
      <c r="N653" s="8" t="n">
        <v>0</v>
      </c>
      <c r="O653" s="8" t="n">
        <v>1</v>
      </c>
      <c r="P653" s="8" t="n">
        <v>0</v>
      </c>
      <c r="Q653" s="8" t="n">
        <v>1</v>
      </c>
      <c r="R653" s="8" t="n">
        <v>0</v>
      </c>
      <c r="S653" s="8" t="n">
        <v>0</v>
      </c>
      <c r="T653" s="8" t="n">
        <v>0</v>
      </c>
      <c r="U653" s="8" t="n">
        <v>1</v>
      </c>
      <c r="V653" s="8" t="n">
        <v>0</v>
      </c>
      <c r="W653" s="8" t="n">
        <v>0</v>
      </c>
      <c r="X653" s="8" t="n">
        <v>0</v>
      </c>
      <c r="Y653" s="8" t="inlineStr">
        <is>
          <t>CS T2 (play #16, caught stealing home by A Williams to A Espejo); K_S T4 (play #34)</t>
        </is>
      </c>
    </row>
    <row r="654" ht="15.75" customHeight="1" s="35">
      <c r="A654" s="8" t="inlineStr">
        <is>
          <t>2026-04-01_RVRH_at_NRTH</t>
        </is>
      </c>
      <c r="B654" s="2" t="n">
        <v>46113</v>
      </c>
      <c r="C654" s="8" t="inlineStr">
        <is>
          <t>North Point Varsity Eagles</t>
        </is>
      </c>
      <c r="D654" s="8" t="inlineStr">
        <is>
          <t>RVRH</t>
        </is>
      </c>
      <c r="E654" s="8" t="inlineStr">
        <is>
          <t>R Ronayne</t>
        </is>
      </c>
      <c r="F654" s="8" t="n">
        <v>1</v>
      </c>
      <c r="G654" s="8" t="n">
        <v>1</v>
      </c>
      <c r="H654" s="8" t="n">
        <v>0</v>
      </c>
      <c r="I654" s="8" t="n">
        <v>0</v>
      </c>
      <c r="J654" s="8" t="n">
        <v>0</v>
      </c>
      <c r="K654" s="8" t="n">
        <v>0</v>
      </c>
      <c r="L654" s="8" t="n">
        <v>0</v>
      </c>
      <c r="M654" s="8" t="n">
        <v>0</v>
      </c>
      <c r="N654" s="8" t="n">
        <v>0</v>
      </c>
      <c r="O654" s="8" t="n">
        <v>1</v>
      </c>
      <c r="P654" s="8" t="n">
        <v>0</v>
      </c>
      <c r="Q654" s="8" t="n">
        <v>1</v>
      </c>
      <c r="R654" s="8" t="n">
        <v>0</v>
      </c>
      <c r="S654" s="8" t="n">
        <v>0</v>
      </c>
      <c r="T654" s="8" t="n">
        <v>0</v>
      </c>
      <c r="U654" s="8" t="n">
        <v>0</v>
      </c>
      <c r="V654" s="8" t="n">
        <v>0</v>
      </c>
      <c r="W654" s="8" t="n">
        <v>0</v>
      </c>
      <c r="X654" s="8" t="n">
        <v>0</v>
      </c>
      <c r="Y654" s="8" t="inlineStr">
        <is>
          <t>K_S T6 (play #49); T8 entry (play #68) incomplete/no outcome — not counted per Flag #5</t>
        </is>
      </c>
    </row>
    <row r="655" ht="15.75" customHeight="1" s="35">
      <c r="A655" s="8" t="inlineStr">
        <is>
          <t>2026-04-01_RVRH_at_NRTH</t>
        </is>
      </c>
      <c r="B655" s="2" t="n">
        <v>46113</v>
      </c>
      <c r="C655" s="8" t="inlineStr">
        <is>
          <t>North Point Varsity Eagles</t>
        </is>
      </c>
      <c r="D655" s="8" t="inlineStr">
        <is>
          <t>RVRH</t>
        </is>
      </c>
      <c r="E655" s="8" t="inlineStr">
        <is>
          <t>C McClellan</t>
        </is>
      </c>
      <c r="F655" s="8" t="n">
        <v>0</v>
      </c>
      <c r="G655" s="8" t="n">
        <v>0</v>
      </c>
      <c r="H655" s="8" t="n">
        <v>0</v>
      </c>
      <c r="I655" s="8" t="n">
        <v>0</v>
      </c>
      <c r="J655" s="8" t="n">
        <v>0</v>
      </c>
      <c r="K655" s="8" t="n">
        <v>0</v>
      </c>
      <c r="L655" s="8" t="n">
        <v>0</v>
      </c>
      <c r="M655" s="8" t="n">
        <v>0</v>
      </c>
      <c r="N655" s="8" t="n">
        <v>0</v>
      </c>
      <c r="O655" s="8" t="n">
        <v>0</v>
      </c>
      <c r="P655" s="8" t="n">
        <v>0</v>
      </c>
      <c r="Q655" s="8" t="n">
        <v>0</v>
      </c>
      <c r="R655" s="8" t="n">
        <v>0</v>
      </c>
      <c r="S655" s="8" t="n">
        <v>0</v>
      </c>
      <c r="T655" s="8" t="n">
        <v>1</v>
      </c>
      <c r="U655" s="8" t="n">
        <v>1</v>
      </c>
      <c r="V655" s="8" t="n">
        <v>0</v>
      </c>
      <c r="W655" s="8" t="n">
        <v>0</v>
      </c>
      <c r="X655" s="8" t="n">
        <v>0</v>
      </c>
      <c r="Y655" s="8" t="inlineStr">
        <is>
          <t>Courtesy runner for G Dang (T1 play #7, T3 play #26); SB T1 (embedded play #7); CS T3 (play #27, caught stealing 3rd)</t>
        </is>
      </c>
    </row>
    <row r="656" ht="15.75" customHeight="1" s="35">
      <c r="A656" s="8" t="inlineStr">
        <is>
          <t>2026-04-01_RVRH_at_NRTH</t>
        </is>
      </c>
      <c r="B656" s="2" t="n">
        <v>46113</v>
      </c>
      <c r="C656" s="8" t="inlineStr">
        <is>
          <t>North Point Varsity Eagles</t>
        </is>
      </c>
      <c r="D656" s="8" t="inlineStr">
        <is>
          <t>NRTH</t>
        </is>
      </c>
      <c r="E656" s="8" t="inlineStr">
        <is>
          <t>A Espejo</t>
        </is>
      </c>
      <c r="F656" s="8" t="n">
        <v>4</v>
      </c>
      <c r="G656" s="8" t="n">
        <v>2</v>
      </c>
      <c r="H656" s="8" t="n">
        <v>0</v>
      </c>
      <c r="I656" s="8" t="n">
        <v>0</v>
      </c>
      <c r="J656" s="8" t="n">
        <v>0</v>
      </c>
      <c r="K656" s="8" t="n">
        <v>0</v>
      </c>
      <c r="L656" s="8" t="n">
        <v>0</v>
      </c>
      <c r="M656" s="8" t="n">
        <v>2</v>
      </c>
      <c r="N656" s="8" t="n">
        <v>0</v>
      </c>
      <c r="O656" s="8" t="n">
        <v>0</v>
      </c>
      <c r="P656" s="8" t="n">
        <v>0</v>
      </c>
      <c r="Q656" s="8" t="n">
        <v>0</v>
      </c>
      <c r="R656" s="8" t="n">
        <v>1</v>
      </c>
      <c r="S656" s="8" t="n">
        <v>0</v>
      </c>
      <c r="T656" s="8" t="n">
        <v>1</v>
      </c>
      <c r="U656" s="8" t="n">
        <v>0</v>
      </c>
      <c r="V656" s="8" t="n">
        <v>0</v>
      </c>
      <c r="W656" s="8" t="n">
        <v>0</v>
      </c>
      <c r="X656" s="8" t="n">
        <v>0</v>
      </c>
      <c r="Y656" s="8" t="inlineStr">
        <is>
          <t>Also pitches T1-T7 (all innings, entry documented play #1); SB B7 (embedded play #64); scores B7 (play #65, A Harding Triple)</t>
        </is>
      </c>
    </row>
    <row r="657" ht="15.75" customHeight="1" s="35">
      <c r="A657" s="8" t="inlineStr">
        <is>
          <t>2026-04-01_RVRH_at_NRTH</t>
        </is>
      </c>
      <c r="B657" s="2" t="n">
        <v>46113</v>
      </c>
      <c r="C657" s="8" t="inlineStr">
        <is>
          <t>North Point Varsity Eagles</t>
        </is>
      </c>
      <c r="D657" s="8" t="inlineStr">
        <is>
          <t>NRTH</t>
        </is>
      </c>
      <c r="E657" s="8" t="inlineStr">
        <is>
          <t>A Thomas</t>
        </is>
      </c>
      <c r="F657" s="8" t="n">
        <v>4</v>
      </c>
      <c r="G657" s="8" t="n">
        <v>2</v>
      </c>
      <c r="H657" s="8" t="n">
        <v>1</v>
      </c>
      <c r="I657" s="8" t="n">
        <v>1</v>
      </c>
      <c r="J657" s="8" t="n">
        <v>0</v>
      </c>
      <c r="K657" s="8" t="n">
        <v>0</v>
      </c>
      <c r="L657" s="8" t="n">
        <v>0</v>
      </c>
      <c r="M657" s="8" t="n">
        <v>1</v>
      </c>
      <c r="N657" s="8" t="n">
        <v>0</v>
      </c>
      <c r="O657" s="8" t="n">
        <v>0</v>
      </c>
      <c r="P657" s="8" t="n">
        <v>0</v>
      </c>
      <c r="Q657" s="8" t="n">
        <v>0</v>
      </c>
      <c r="R657" s="8" t="n">
        <v>1</v>
      </c>
      <c r="S657" s="8" t="n">
        <v>0</v>
      </c>
      <c r="T657" s="8" t="n">
        <v>0</v>
      </c>
      <c r="U657" s="8" t="n">
        <v>0</v>
      </c>
      <c r="V657" s="8" t="n">
        <v>0</v>
      </c>
      <c r="W657" s="8" t="n">
        <v>1</v>
      </c>
      <c r="X657" s="8" t="n">
        <v>0</v>
      </c>
      <c r="Y657" s="8" t="inlineStr">
        <is>
          <t>SAC bunt B3 (play #30); scores B7 (play #65, A Harding Triple)</t>
        </is>
      </c>
    </row>
    <row r="658" ht="15.75" customHeight="1" s="35">
      <c r="A658" s="8" t="inlineStr">
        <is>
          <t>2026-04-01_RVRH_at_NRTH</t>
        </is>
      </c>
      <c r="B658" s="2" t="n">
        <v>46113</v>
      </c>
      <c r="C658" s="8" t="inlineStr">
        <is>
          <t>North Point Varsity Eagles</t>
        </is>
      </c>
      <c r="D658" s="8" t="inlineStr">
        <is>
          <t>NRTH</t>
        </is>
      </c>
      <c r="E658" s="8" t="inlineStr">
        <is>
          <t>A Harding</t>
        </is>
      </c>
      <c r="F658" s="8" t="n">
        <v>4</v>
      </c>
      <c r="G658" s="8" t="n">
        <v>2</v>
      </c>
      <c r="H658" s="8" t="n">
        <v>1</v>
      </c>
      <c r="I658" s="8" t="n">
        <v>0</v>
      </c>
      <c r="J658" s="8" t="n">
        <v>0</v>
      </c>
      <c r="K658" s="8" t="n">
        <v>1</v>
      </c>
      <c r="L658" s="8" t="n">
        <v>0</v>
      </c>
      <c r="M658" s="8" t="n">
        <v>2</v>
      </c>
      <c r="N658" s="8" t="n">
        <v>0</v>
      </c>
      <c r="O658" s="8" t="n">
        <v>0</v>
      </c>
      <c r="P658" s="8" t="n">
        <v>0</v>
      </c>
      <c r="Q658" s="8" t="n">
        <v>0</v>
      </c>
      <c r="R658" s="8" t="n">
        <v>0</v>
      </c>
      <c r="S658" s="8" t="n">
        <v>3</v>
      </c>
      <c r="T658" s="8" t="n">
        <v>1</v>
      </c>
      <c r="U658" s="8" t="n">
        <v>1</v>
      </c>
      <c r="V658" s="8" t="n">
        <v>0</v>
      </c>
      <c r="W658" s="8" t="n">
        <v>0</v>
      </c>
      <c r="X658" s="8" t="n">
        <v>0</v>
      </c>
      <c r="Y658" s="8" t="inlineStr">
        <is>
          <t>SB B1 (embedded play #11); CS B1 (play #12, caught stealing 3rd); 1 RBI B3 (play #31, productive GO, T Roy scores); 2 RBI B7 (play #65 Triple, A Espejo + A Thomas score)</t>
        </is>
      </c>
    </row>
    <row r="659" ht="15.75" customHeight="1" s="35">
      <c r="A659" s="8" t="inlineStr">
        <is>
          <t>2026-04-01_RVRH_at_NRTH</t>
        </is>
      </c>
      <c r="B659" s="2" t="n">
        <v>46113</v>
      </c>
      <c r="C659" s="8" t="inlineStr">
        <is>
          <t>North Point Varsity Eagles</t>
        </is>
      </c>
      <c r="D659" s="8" t="inlineStr">
        <is>
          <t>NRTH</t>
        </is>
      </c>
      <c r="E659" s="8" t="inlineStr">
        <is>
          <t>Z Bowman</t>
        </is>
      </c>
      <c r="F659" s="8" t="n">
        <v>4</v>
      </c>
      <c r="G659" s="8" t="n">
        <v>3</v>
      </c>
      <c r="H659" s="8" t="n">
        <v>0</v>
      </c>
      <c r="I659" s="8" t="n">
        <v>0</v>
      </c>
      <c r="J659" s="8" t="n">
        <v>0</v>
      </c>
      <c r="K659" s="8" t="n">
        <v>0</v>
      </c>
      <c r="L659" s="8" t="n">
        <v>0</v>
      </c>
      <c r="M659" s="8" t="n">
        <v>0</v>
      </c>
      <c r="N659" s="8" t="n">
        <v>1</v>
      </c>
      <c r="O659" s="8" t="n">
        <v>0</v>
      </c>
      <c r="P659" s="8" t="n">
        <v>0</v>
      </c>
      <c r="Q659" s="8" t="n">
        <v>0</v>
      </c>
      <c r="R659" s="8" t="n">
        <v>0</v>
      </c>
      <c r="S659" s="8" t="n">
        <v>0</v>
      </c>
      <c r="T659" s="8" t="n">
        <v>0</v>
      </c>
      <c r="U659" s="8" t="n">
        <v>0</v>
      </c>
      <c r="V659" s="8" t="n">
        <v>0</v>
      </c>
      <c r="W659" s="8" t="n">
        <v>0</v>
      </c>
      <c r="X659" s="8" t="n">
        <v>0</v>
      </c>
      <c r="Y659" s="8" t="inlineStr">
        <is>
          <t>HBP B1 (play #11)</t>
        </is>
      </c>
    </row>
    <row r="660" ht="15.75" customHeight="1" s="35">
      <c r="A660" s="8" t="inlineStr">
        <is>
          <t>2026-04-01_RVRH_at_NRTH</t>
        </is>
      </c>
      <c r="B660" s="2" t="n">
        <v>46113</v>
      </c>
      <c r="C660" s="8" t="inlineStr">
        <is>
          <t>North Point Varsity Eagles</t>
        </is>
      </c>
      <c r="D660" s="8" t="inlineStr">
        <is>
          <t>NRTH</t>
        </is>
      </c>
      <c r="E660" s="8" t="inlineStr">
        <is>
          <t>E Zimmerman</t>
        </is>
      </c>
      <c r="F660" s="8" t="n">
        <v>4</v>
      </c>
      <c r="G660" s="8" t="n">
        <v>4</v>
      </c>
      <c r="H660" s="8" t="n">
        <v>1</v>
      </c>
      <c r="I660" s="8" t="n">
        <v>1</v>
      </c>
      <c r="J660" s="8" t="n">
        <v>0</v>
      </c>
      <c r="K660" s="8" t="n">
        <v>0</v>
      </c>
      <c r="L660" s="8" t="n">
        <v>0</v>
      </c>
      <c r="M660" s="8" t="n">
        <v>0</v>
      </c>
      <c r="N660" s="8" t="n">
        <v>0</v>
      </c>
      <c r="O660" s="8" t="n">
        <v>3</v>
      </c>
      <c r="P660" s="8" t="n">
        <v>1</v>
      </c>
      <c r="Q660" s="8" t="n">
        <v>2</v>
      </c>
      <c r="R660" s="8" t="n">
        <v>1</v>
      </c>
      <c r="S660" s="8" t="n">
        <v>0</v>
      </c>
      <c r="T660" s="8" t="n">
        <v>0</v>
      </c>
      <c r="U660" s="8" t="n">
        <v>0</v>
      </c>
      <c r="V660" s="8" t="n">
        <v>0</v>
      </c>
      <c r="W660" s="8" t="n">
        <v>0</v>
      </c>
      <c r="X660" s="8" t="n">
        <v>0</v>
      </c>
      <c r="Y660" s="8" t="inlineStr">
        <is>
          <t>K_S B2 (play #17); K_L B4 (play #36); K_S B7 (play #67); scores B6 (play #57, S Dixon SAC fly); advanced to 2nd on WP (embedded play #56)</t>
        </is>
      </c>
    </row>
    <row r="661" ht="15.75" customHeight="1" s="35">
      <c r="A661" s="8" t="inlineStr">
        <is>
          <t>2026-04-01_RVRH_at_NRTH</t>
        </is>
      </c>
      <c r="B661" s="2" t="n">
        <v>46113</v>
      </c>
      <c r="C661" s="8" t="inlineStr">
        <is>
          <t>North Point Varsity Eagles</t>
        </is>
      </c>
      <c r="D661" s="8" t="inlineStr">
        <is>
          <t>NRTH</t>
        </is>
      </c>
      <c r="E661" s="8" t="inlineStr">
        <is>
          <t>Pettro</t>
        </is>
      </c>
      <c r="F661" s="8" t="n">
        <v>3</v>
      </c>
      <c r="G661" s="8" t="n">
        <v>2</v>
      </c>
      <c r="H661" s="8" t="n">
        <v>0</v>
      </c>
      <c r="I661" s="8" t="n">
        <v>0</v>
      </c>
      <c r="J661" s="8" t="n">
        <v>0</v>
      </c>
      <c r="K661" s="8" t="n">
        <v>0</v>
      </c>
      <c r="L661" s="8" t="n">
        <v>0</v>
      </c>
      <c r="M661" s="8" t="n">
        <v>1</v>
      </c>
      <c r="N661" s="8" t="n">
        <v>0</v>
      </c>
      <c r="O661" s="8" t="n">
        <v>0</v>
      </c>
      <c r="P661" s="8" t="n">
        <v>0</v>
      </c>
      <c r="Q661" s="8" t="n">
        <v>0</v>
      </c>
      <c r="R661" s="8" t="n">
        <v>0</v>
      </c>
      <c r="S661" s="8" t="n">
        <v>0</v>
      </c>
      <c r="T661" s="8" t="n">
        <v>1</v>
      </c>
      <c r="U661" s="8" t="n">
        <v>0</v>
      </c>
      <c r="V661" s="8" t="n">
        <v>0</v>
      </c>
      <c r="W661" s="8" t="n">
        <v>0</v>
      </c>
      <c r="X661" s="8" t="n">
        <v>0</v>
      </c>
      <c r="Y661" s="8" t="inlineStr">
        <is>
          <t>SB B2 (embedded play #19)</t>
        </is>
      </c>
    </row>
    <row r="662" ht="15.75" customHeight="1" s="35">
      <c r="A662" s="8" t="inlineStr">
        <is>
          <t>2026-04-01_RVRH_at_NRTH</t>
        </is>
      </c>
      <c r="B662" s="2" t="n">
        <v>46113</v>
      </c>
      <c r="C662" s="8" t="inlineStr">
        <is>
          <t>North Point Varsity Eagles</t>
        </is>
      </c>
      <c r="D662" s="8" t="inlineStr">
        <is>
          <t>NRTH</t>
        </is>
      </c>
      <c r="E662" s="8" t="inlineStr">
        <is>
          <t>S Dixon</t>
        </is>
      </c>
      <c r="F662" s="8" t="n">
        <v>3</v>
      </c>
      <c r="G662" s="8" t="n">
        <v>2</v>
      </c>
      <c r="H662" s="8" t="n">
        <v>0</v>
      </c>
      <c r="I662" s="8" t="n">
        <v>0</v>
      </c>
      <c r="J662" s="8" t="n">
        <v>0</v>
      </c>
      <c r="K662" s="8" t="n">
        <v>0</v>
      </c>
      <c r="L662" s="8" t="n">
        <v>0</v>
      </c>
      <c r="M662" s="8" t="n">
        <v>0</v>
      </c>
      <c r="N662" s="8" t="n">
        <v>0</v>
      </c>
      <c r="O662" s="8" t="n">
        <v>1</v>
      </c>
      <c r="P662" s="8" t="n">
        <v>0</v>
      </c>
      <c r="Q662" s="8" t="n">
        <v>1</v>
      </c>
      <c r="R662" s="8" t="n">
        <v>0</v>
      </c>
      <c r="S662" s="8" t="n">
        <v>1</v>
      </c>
      <c r="T662" s="8" t="n">
        <v>1</v>
      </c>
      <c r="U662" s="8" t="n">
        <v>0</v>
      </c>
      <c r="V662" s="8" t="n">
        <v>0</v>
      </c>
      <c r="W662" s="8" t="n">
        <v>0</v>
      </c>
      <c r="X662" s="8" t="n">
        <v>0</v>
      </c>
      <c r="Y662" s="8" t="inlineStr">
        <is>
          <t>Reaches on error B4 (play #38, not a hit, AB only); SB B4 (embedded play #39); K_S B2 (play #19); RBI on SAC fly B6 (play #57, E Zimmerman scores)</t>
        </is>
      </c>
    </row>
    <row r="663" ht="15.75" customHeight="1" s="35">
      <c r="A663" s="8" t="inlineStr">
        <is>
          <t>2026-04-01_RVRH_at_NRTH</t>
        </is>
      </c>
      <c r="B663" s="2" t="n">
        <v>46113</v>
      </c>
      <c r="C663" s="8" t="inlineStr">
        <is>
          <t>North Point Varsity Eagles</t>
        </is>
      </c>
      <c r="D663" s="8" t="inlineStr">
        <is>
          <t>NRTH</t>
        </is>
      </c>
      <c r="E663" s="8" t="inlineStr">
        <is>
          <t>C Harrigan</t>
        </is>
      </c>
      <c r="F663" s="8" t="n">
        <v>3</v>
      </c>
      <c r="G663" s="8" t="n">
        <v>3</v>
      </c>
      <c r="H663" s="8" t="n">
        <v>0</v>
      </c>
      <c r="I663" s="8" t="n">
        <v>0</v>
      </c>
      <c r="J663" s="8" t="n">
        <v>0</v>
      </c>
      <c r="K663" s="8" t="n">
        <v>0</v>
      </c>
      <c r="L663" s="8" t="n">
        <v>0</v>
      </c>
      <c r="M663" s="8" t="n">
        <v>0</v>
      </c>
      <c r="N663" s="8" t="n">
        <v>0</v>
      </c>
      <c r="O663" s="8" t="n">
        <v>2</v>
      </c>
      <c r="P663" s="8" t="n">
        <v>1</v>
      </c>
      <c r="Q663" s="8" t="n">
        <v>1</v>
      </c>
      <c r="R663" s="8" t="n">
        <v>0</v>
      </c>
      <c r="S663" s="8" t="n">
        <v>0</v>
      </c>
      <c r="T663" s="8" t="n">
        <v>0</v>
      </c>
      <c r="U663" s="8" t="n">
        <v>0</v>
      </c>
      <c r="V663" s="8" t="n">
        <v>0</v>
      </c>
      <c r="W663" s="8" t="n">
        <v>0</v>
      </c>
      <c r="X663" s="8" t="n">
        <v>0</v>
      </c>
      <c r="Y663" s="8" t="inlineStr">
        <is>
          <t>K_L B2 (play #20); K_S B6 (play #58, foul tip)</t>
        </is>
      </c>
    </row>
    <row r="664" ht="15.75" customHeight="1" s="35">
      <c r="A664" s="8" t="inlineStr">
        <is>
          <t>2026-04-01_RVRH_at_NRTH</t>
        </is>
      </c>
      <c r="B664" s="2" t="n">
        <v>46113</v>
      </c>
      <c r="C664" s="8" t="inlineStr">
        <is>
          <t>North Point Varsity Eagles</t>
        </is>
      </c>
      <c r="D664" s="8" t="inlineStr">
        <is>
          <t>NRTH</t>
        </is>
      </c>
      <c r="E664" s="8" t="inlineStr">
        <is>
          <t>T Roy</t>
        </is>
      </c>
      <c r="F664" s="8" t="n">
        <v>3</v>
      </c>
      <c r="G664" s="8" t="n">
        <v>2</v>
      </c>
      <c r="H664" s="8" t="n">
        <v>0</v>
      </c>
      <c r="I664" s="8" t="n">
        <v>0</v>
      </c>
      <c r="J664" s="8" t="n">
        <v>0</v>
      </c>
      <c r="K664" s="8" t="n">
        <v>0</v>
      </c>
      <c r="L664" s="8" t="n">
        <v>0</v>
      </c>
      <c r="M664" s="8" t="n">
        <v>1</v>
      </c>
      <c r="N664" s="8" t="n">
        <v>0</v>
      </c>
      <c r="O664" s="8" t="n">
        <v>0</v>
      </c>
      <c r="P664" s="8" t="n">
        <v>0</v>
      </c>
      <c r="Q664" s="8" t="n">
        <v>0</v>
      </c>
      <c r="R664" s="8" t="n">
        <v>1</v>
      </c>
      <c r="S664" s="8" t="n">
        <v>0</v>
      </c>
      <c r="T664" s="8" t="n">
        <v>0</v>
      </c>
      <c r="U664" s="8" t="n">
        <v>0</v>
      </c>
      <c r="V664" s="8" t="n">
        <v>0</v>
      </c>
      <c r="W664" s="8" t="n">
        <v>0</v>
      </c>
      <c r="X664" s="8" t="n">
        <v>0</v>
      </c>
      <c r="Y664" s="8" t="inlineStr">
        <is>
          <t>Scores B3 (play #31, A Harding productive GO)</t>
        </is>
      </c>
    </row>
    <row r="665" ht="15.75" customHeight="1" s="35">
      <c r="A665" s="8" t="inlineStr">
        <is>
          <t>2026-04-01_OLDM_at_RVRH</t>
        </is>
      </c>
      <c r="B665" s="2" t="n">
        <v>46113</v>
      </c>
      <c r="C665" s="8" t="inlineStr">
        <is>
          <t>Old Mill Varsity Patriots</t>
        </is>
      </c>
      <c r="D665" s="8" t="inlineStr">
        <is>
          <t>OLDM</t>
        </is>
      </c>
      <c r="E665" s="8" t="inlineStr">
        <is>
          <t>T Martini</t>
        </is>
      </c>
      <c r="F665" s="8" t="n">
        <v>5</v>
      </c>
      <c r="G665" s="8" t="n">
        <v>4</v>
      </c>
      <c r="H665" s="8" t="n">
        <v>1</v>
      </c>
      <c r="I665" s="8" t="n">
        <v>1</v>
      </c>
      <c r="J665" s="8" t="n">
        <v>0</v>
      </c>
      <c r="K665" s="8" t="n">
        <v>0</v>
      </c>
      <c r="L665" s="8" t="n">
        <v>0</v>
      </c>
      <c r="M665" s="8" t="n">
        <v>1</v>
      </c>
      <c r="N665" s="8" t="n">
        <v>0</v>
      </c>
      <c r="O665" s="8" t="n">
        <v>0</v>
      </c>
      <c r="P665" s="8" t="n">
        <v>0</v>
      </c>
      <c r="Q665" s="8" t="n">
        <v>0</v>
      </c>
      <c r="R665" s="8" t="n">
        <v>1</v>
      </c>
      <c r="S665" s="8" t="n">
        <v>1</v>
      </c>
      <c r="T665" s="8" t="n">
        <v>0</v>
      </c>
      <c r="U665" s="8" t="n">
        <v>0</v>
      </c>
      <c r="V665" s="8" t="n">
        <v>0</v>
      </c>
      <c r="W665" s="8" t="n">
        <v>0</v>
      </c>
      <c r="X665" s="8" t="n">
        <v>0</v>
      </c>
      <c r="Y665" s="8" t="inlineStr">
        <is>
          <t>RBI on T7 Walk (play #68, C Bonner scores); scores T7 (play #70, B Rzepkoski Single); also pitches B1-B3 (entry inferred, Flag #1)</t>
        </is>
      </c>
    </row>
    <row r="666" ht="15.75" customHeight="1" s="35">
      <c r="A666" s="8" t="inlineStr">
        <is>
          <t>2026-04-01_OLDM_at_RVRH</t>
        </is>
      </c>
      <c r="B666" s="2" t="n">
        <v>46113</v>
      </c>
      <c r="C666" s="8" t="inlineStr">
        <is>
          <t>Old Mill Varsity Patriots</t>
        </is>
      </c>
      <c r="D666" s="8" t="inlineStr">
        <is>
          <t>OLDM</t>
        </is>
      </c>
      <c r="E666" s="8" t="inlineStr">
        <is>
          <t>C Koreck</t>
        </is>
      </c>
      <c r="F666" s="8" t="n">
        <v>6</v>
      </c>
      <c r="G666" s="8" t="n">
        <v>5</v>
      </c>
      <c r="H666" s="8" t="n">
        <v>2</v>
      </c>
      <c r="I666" s="8" t="n">
        <v>2</v>
      </c>
      <c r="J666" s="8" t="n">
        <v>0</v>
      </c>
      <c r="K666" s="8" t="n">
        <v>0</v>
      </c>
      <c r="L666" s="8" t="n">
        <v>0</v>
      </c>
      <c r="M666" s="8" t="n">
        <v>0</v>
      </c>
      <c r="N666" s="8" t="n">
        <v>0</v>
      </c>
      <c r="O666" s="8" t="n">
        <v>0</v>
      </c>
      <c r="P666" s="8" t="n">
        <v>0</v>
      </c>
      <c r="Q666" s="8" t="n">
        <v>0</v>
      </c>
      <c r="R666" s="8" t="n">
        <v>2</v>
      </c>
      <c r="S666" s="8" t="n">
        <v>2</v>
      </c>
      <c r="T666" s="8" t="n">
        <v>0</v>
      </c>
      <c r="U666" s="8" t="n">
        <v>0</v>
      </c>
      <c r="V666" s="8" t="n">
        <v>1</v>
      </c>
      <c r="W666" s="8" t="n">
        <v>0</v>
      </c>
      <c r="X666" s="8" t="n">
        <v>0</v>
      </c>
      <c r="Y666" s="8" t="inlineStr">
        <is>
          <t>GDP T3 (play #19); RBI on SAC fly T6 (play #53, T Richmond scores); RBI on T7 Single (play #69, T Richmond scores); scores T5 (play #43) and T7 (play #71); also pitches B7 (entry inferred, Flag #5)</t>
        </is>
      </c>
    </row>
    <row r="667" ht="15.75" customHeight="1" s="35">
      <c r="A667" s="8" t="inlineStr">
        <is>
          <t>2026-04-01_OLDM_at_RVRH</t>
        </is>
      </c>
      <c r="B667" s="2" t="n">
        <v>46113</v>
      </c>
      <c r="C667" s="8" t="inlineStr">
        <is>
          <t>Old Mill Varsity Patriots</t>
        </is>
      </c>
      <c r="D667" s="8" t="inlineStr">
        <is>
          <t>OLDM</t>
        </is>
      </c>
      <c r="E667" s="8" t="inlineStr">
        <is>
          <t>B Rzepkoski</t>
        </is>
      </c>
      <c r="F667" s="8" t="n">
        <v>5</v>
      </c>
      <c r="G667" s="8" t="n">
        <v>3</v>
      </c>
      <c r="H667" s="8" t="n">
        <v>1</v>
      </c>
      <c r="I667" s="8" t="n">
        <v>1</v>
      </c>
      <c r="J667" s="8" t="n">
        <v>0</v>
      </c>
      <c r="K667" s="8" t="n">
        <v>0</v>
      </c>
      <c r="L667" s="8" t="n">
        <v>0</v>
      </c>
      <c r="M667" s="8" t="n">
        <v>2</v>
      </c>
      <c r="N667" s="8" t="n">
        <v>0</v>
      </c>
      <c r="O667" s="8" t="n">
        <v>1</v>
      </c>
      <c r="P667" s="8" t="n">
        <v>0</v>
      </c>
      <c r="Q667" s="8" t="n">
        <v>1</v>
      </c>
      <c r="R667" s="8" t="n">
        <v>3</v>
      </c>
      <c r="S667" s="8" t="n">
        <v>2</v>
      </c>
      <c r="T667" s="8" t="n">
        <v>1</v>
      </c>
      <c r="U667" s="8" t="n">
        <v>0</v>
      </c>
      <c r="V667" s="8" t="n">
        <v>0</v>
      </c>
      <c r="W667" s="8" t="n">
        <v>0</v>
      </c>
      <c r="X667" s="8" t="n">
        <v>0</v>
      </c>
      <c r="Y667" s="8" t="inlineStr">
        <is>
          <t>Reaches on error T1 (play #3, not a hit); SB T4 (embedded play #27); 2 RBI on T7 Single (play #70, T Martini + S Perron score); scores T4 (play #30), T5 (play #43), T7 (play #72); also pitches B7 (entry inferred, Flag #6)</t>
        </is>
      </c>
    </row>
    <row r="668" ht="15.75" customHeight="1" s="35">
      <c r="A668" s="8" t="inlineStr">
        <is>
          <t>2026-04-01_OLDM_at_RVRH</t>
        </is>
      </c>
      <c r="B668" s="2" t="n">
        <v>46113</v>
      </c>
      <c r="C668" s="8" t="inlineStr">
        <is>
          <t>Old Mill Varsity Patriots</t>
        </is>
      </c>
      <c r="D668" s="8" t="inlineStr">
        <is>
          <t>OLDM</t>
        </is>
      </c>
      <c r="E668" s="8" t="inlineStr">
        <is>
          <t>T Thompson</t>
        </is>
      </c>
      <c r="F668" s="8" t="n">
        <v>6</v>
      </c>
      <c r="G668" s="8" t="n">
        <v>4</v>
      </c>
      <c r="H668" s="8" t="n">
        <v>1</v>
      </c>
      <c r="I668" s="8" t="n">
        <v>1</v>
      </c>
      <c r="J668" s="8" t="n">
        <v>0</v>
      </c>
      <c r="K668" s="8" t="n">
        <v>0</v>
      </c>
      <c r="L668" s="8" t="n">
        <v>0</v>
      </c>
      <c r="M668" s="8" t="n">
        <v>2</v>
      </c>
      <c r="N668" s="8" t="n">
        <v>0</v>
      </c>
      <c r="O668" s="8" t="n">
        <v>2</v>
      </c>
      <c r="P668" s="8" t="n">
        <v>1</v>
      </c>
      <c r="Q668" s="8" t="n">
        <v>1</v>
      </c>
      <c r="R668" s="8" t="n">
        <v>2</v>
      </c>
      <c r="S668" s="8" t="n">
        <v>1</v>
      </c>
      <c r="T668" s="8" t="n">
        <v>0</v>
      </c>
      <c r="U668" s="8" t="n">
        <v>0</v>
      </c>
      <c r="V668" s="8" t="n">
        <v>0</v>
      </c>
      <c r="W668" s="8" t="n">
        <v>0</v>
      </c>
      <c r="X668" s="8" t="n">
        <v>0</v>
      </c>
      <c r="Y668" s="8" t="inlineStr">
        <is>
          <t>K_L T1 (play #4); K_S T5 (play #55); RBI on T7 Single (play #71, C Koreck scores); scores T4 (play #31) and T7 (play #73)</t>
        </is>
      </c>
    </row>
    <row r="669" ht="15.75" customHeight="1" s="35">
      <c r="A669" s="8" t="inlineStr">
        <is>
          <t>2026-04-01_OLDM_at_RVRH</t>
        </is>
      </c>
      <c r="B669" s="2" t="n">
        <v>46113</v>
      </c>
      <c r="C669" s="8" t="inlineStr">
        <is>
          <t>Old Mill Varsity Patriots</t>
        </is>
      </c>
      <c r="D669" s="8" t="inlineStr">
        <is>
          <t>OLDM</t>
        </is>
      </c>
      <c r="E669" s="8" t="inlineStr">
        <is>
          <t>K Poucher</t>
        </is>
      </c>
      <c r="F669" s="8" t="n">
        <v>5</v>
      </c>
      <c r="G669" s="8" t="n">
        <v>4</v>
      </c>
      <c r="H669" s="8" t="n">
        <v>3</v>
      </c>
      <c r="I669" s="8" t="n">
        <v>2</v>
      </c>
      <c r="J669" s="8" t="n">
        <v>1</v>
      </c>
      <c r="K669" s="8" t="n">
        <v>0</v>
      </c>
      <c r="L669" s="8" t="n">
        <v>0</v>
      </c>
      <c r="M669" s="8" t="n">
        <v>1</v>
      </c>
      <c r="N669" s="8" t="n">
        <v>0</v>
      </c>
      <c r="O669" s="8" t="n">
        <v>0</v>
      </c>
      <c r="P669" s="8" t="n">
        <v>0</v>
      </c>
      <c r="Q669" s="8" t="n">
        <v>0</v>
      </c>
      <c r="R669" s="8" t="n">
        <v>0</v>
      </c>
      <c r="S669" s="8" t="n">
        <v>3</v>
      </c>
      <c r="T669" s="8" t="n">
        <v>0</v>
      </c>
      <c r="U669" s="8" t="n">
        <v>1</v>
      </c>
      <c r="V669" s="8" t="n">
        <v>0</v>
      </c>
      <c r="W669" s="8" t="n">
        <v>0</v>
      </c>
      <c r="X669" s="8" t="n">
        <v>0</v>
      </c>
      <c r="Y669" s="8" t="inlineStr">
        <is>
          <t>2 RBI on T5 Single (play #43, B Rzepkoski + C Koreck score); 1 RBI on T7 Double (play #72, B Rzepkoski scores); CS T7 (embedded play #64, caught stealing 2nd by SS A Jensen)</t>
        </is>
      </c>
    </row>
    <row r="670" ht="15.75" customHeight="1" s="35">
      <c r="A670" s="8" t="inlineStr">
        <is>
          <t>2026-04-01_OLDM_at_RVRH</t>
        </is>
      </c>
      <c r="B670" s="2" t="n">
        <v>46113</v>
      </c>
      <c r="C670" s="8" t="inlineStr">
        <is>
          <t>Old Mill Varsity Patriots</t>
        </is>
      </c>
      <c r="D670" s="8" t="inlineStr">
        <is>
          <t>OLDM</t>
        </is>
      </c>
      <c r="E670" s="8" t="inlineStr">
        <is>
          <t>L McConville</t>
        </is>
      </c>
      <c r="F670" s="8" t="n">
        <v>4</v>
      </c>
      <c r="G670" s="8" t="n">
        <v>2</v>
      </c>
      <c r="H670" s="8" t="n">
        <v>0</v>
      </c>
      <c r="I670" s="8" t="n">
        <v>0</v>
      </c>
      <c r="J670" s="8" t="n">
        <v>0</v>
      </c>
      <c r="K670" s="8" t="n">
        <v>0</v>
      </c>
      <c r="L670" s="8" t="n">
        <v>0</v>
      </c>
      <c r="M670" s="8" t="n">
        <v>2</v>
      </c>
      <c r="N670" s="8" t="n">
        <v>0</v>
      </c>
      <c r="O670" s="8" t="n">
        <v>1</v>
      </c>
      <c r="P670" s="8" t="n">
        <v>0</v>
      </c>
      <c r="Q670" s="8" t="n">
        <v>1</v>
      </c>
      <c r="R670" s="8" t="n">
        <v>1</v>
      </c>
      <c r="S670" s="8" t="n">
        <v>1</v>
      </c>
      <c r="T670" s="8" t="n">
        <v>0</v>
      </c>
      <c r="U670" s="8" t="n">
        <v>0</v>
      </c>
      <c r="V670" s="8" t="n">
        <v>0</v>
      </c>
      <c r="W670" s="8" t="n">
        <v>0</v>
      </c>
      <c r="X670" s="8" t="n">
        <v>0</v>
      </c>
      <c r="Y670" s="8" t="inlineStr">
        <is>
          <t>Out on base paths at play #11 (part of T Richmond DP, not a new PA); K_S T4 (play #29); enters as sub for M Dauer-McGarrett T7 (play #64 lineup note); scores T7 (play #67); RBI on T7 productive GO (play #73, T Thompson scores)</t>
        </is>
      </c>
    </row>
    <row r="671" ht="15.75" customHeight="1" s="35">
      <c r="A671" s="8" t="inlineStr">
        <is>
          <t>2026-04-01_OLDM_at_RVRH</t>
        </is>
      </c>
      <c r="B671" s="2" t="n">
        <v>46113</v>
      </c>
      <c r="C671" s="8" t="inlineStr">
        <is>
          <t>Old Mill Varsity Patriots</t>
        </is>
      </c>
      <c r="D671" s="8" t="inlineStr">
        <is>
          <t>OLDM</t>
        </is>
      </c>
      <c r="E671" s="8" t="inlineStr">
        <is>
          <t>C Bonner</t>
        </is>
      </c>
      <c r="F671" s="8" t="n">
        <v>5</v>
      </c>
      <c r="G671" s="8" t="n">
        <v>2</v>
      </c>
      <c r="H671" s="8" t="n">
        <v>0</v>
      </c>
      <c r="I671" s="8" t="n">
        <v>0</v>
      </c>
      <c r="J671" s="8" t="n">
        <v>0</v>
      </c>
      <c r="K671" s="8" t="n">
        <v>0</v>
      </c>
      <c r="L671" s="8" t="n">
        <v>0</v>
      </c>
      <c r="M671" s="8" t="n">
        <v>2</v>
      </c>
      <c r="N671" s="8" t="n">
        <v>1</v>
      </c>
      <c r="O671" s="8" t="n">
        <v>2</v>
      </c>
      <c r="P671" s="8" t="n">
        <v>1</v>
      </c>
      <c r="Q671" s="8" t="n">
        <v>1</v>
      </c>
      <c r="R671" s="8" t="n">
        <v>1</v>
      </c>
      <c r="S671" s="8" t="n">
        <v>1</v>
      </c>
      <c r="T671" s="8" t="n">
        <v>0</v>
      </c>
      <c r="U671" s="8" t="n">
        <v>0</v>
      </c>
      <c r="V671" s="8" t="n">
        <v>0</v>
      </c>
      <c r="W671" s="8" t="n">
        <v>0</v>
      </c>
      <c r="X671" s="8" t="n">
        <v>0</v>
      </c>
      <c r="Y671" s="8" t="inlineStr">
        <is>
          <t>BB T4 forces in B Rzepkoski (play #30, RBI+1); HBP T7 (play #65); scores T7 (play #68, T Martini BB); K_S T5 (play #45); K_L T7 (play #74)</t>
        </is>
      </c>
    </row>
    <row r="672" ht="15.75" customHeight="1" s="35">
      <c r="A672" s="8" t="inlineStr">
        <is>
          <t>2026-04-01_OLDM_at_RVRH</t>
        </is>
      </c>
      <c r="B672" s="2" t="n">
        <v>46113</v>
      </c>
      <c r="C672" s="8" t="inlineStr">
        <is>
          <t>Old Mill Varsity Patriots</t>
        </is>
      </c>
      <c r="D672" s="8" t="inlineStr">
        <is>
          <t>OLDM</t>
        </is>
      </c>
      <c r="E672" s="8" t="inlineStr">
        <is>
          <t>T Richmond</t>
        </is>
      </c>
      <c r="F672" s="8" t="n">
        <v>5</v>
      </c>
      <c r="G672" s="8" t="n">
        <v>3</v>
      </c>
      <c r="H672" s="8" t="n">
        <v>1</v>
      </c>
      <c r="I672" s="8" t="n">
        <v>1</v>
      </c>
      <c r="J672" s="8" t="n">
        <v>0</v>
      </c>
      <c r="K672" s="8" t="n">
        <v>0</v>
      </c>
      <c r="L672" s="8" t="n">
        <v>0</v>
      </c>
      <c r="M672" s="8" t="n">
        <v>0</v>
      </c>
      <c r="N672" s="8" t="n">
        <v>1</v>
      </c>
      <c r="O672" s="8" t="n">
        <v>0</v>
      </c>
      <c r="P672" s="8" t="n">
        <v>0</v>
      </c>
      <c r="Q672" s="8" t="n">
        <v>0</v>
      </c>
      <c r="R672" s="8" t="n">
        <v>2</v>
      </c>
      <c r="S672" s="8" t="n">
        <v>1</v>
      </c>
      <c r="T672" s="8" t="n">
        <v>0</v>
      </c>
      <c r="U672" s="8" t="n">
        <v>0</v>
      </c>
      <c r="V672" s="8" t="n">
        <v>1</v>
      </c>
      <c r="W672" s="8" t="n">
        <v>0</v>
      </c>
      <c r="X672" s="8" t="n">
        <v>0</v>
      </c>
      <c r="Y672" s="8" t="inlineStr">
        <is>
          <t>GDP T2 (play #11); RBI on T4 productive GO (play #31, T Thompson scores); HBP T7 (play #66); scores T6 (play #53) and T7 (play #69); also pitches B6 (entry inferred, Flag #2)</t>
        </is>
      </c>
    </row>
    <row r="673" ht="15.75" customHeight="1" s="35">
      <c r="A673" s="8" t="inlineStr">
        <is>
          <t>2026-04-01_OLDM_at_RVRH</t>
        </is>
      </c>
      <c r="B673" s="2" t="n">
        <v>46113</v>
      </c>
      <c r="C673" s="8" t="inlineStr">
        <is>
          <t>Old Mill Varsity Patriots</t>
        </is>
      </c>
      <c r="D673" s="8" t="inlineStr">
        <is>
          <t>OLDM</t>
        </is>
      </c>
      <c r="E673" s="8" t="inlineStr">
        <is>
          <t>S Perron</t>
        </is>
      </c>
      <c r="F673" s="8" t="n">
        <v>3</v>
      </c>
      <c r="G673" s="8" t="n">
        <v>2</v>
      </c>
      <c r="H673" s="8" t="n">
        <v>1</v>
      </c>
      <c r="I673" s="8" t="n">
        <v>1</v>
      </c>
      <c r="J673" s="8" t="n">
        <v>0</v>
      </c>
      <c r="K673" s="8" t="n">
        <v>0</v>
      </c>
      <c r="L673" s="8" t="n">
        <v>0</v>
      </c>
      <c r="M673" s="8" t="n">
        <v>1</v>
      </c>
      <c r="N673" s="8" t="n">
        <v>0</v>
      </c>
      <c r="O673" s="8" t="n">
        <v>1</v>
      </c>
      <c r="P673" s="8" t="n">
        <v>0</v>
      </c>
      <c r="Q673" s="8" t="n">
        <v>1</v>
      </c>
      <c r="R673" s="8" t="n">
        <v>1</v>
      </c>
      <c r="S673" s="8" t="n">
        <v>1</v>
      </c>
      <c r="T673" s="8" t="n">
        <v>0</v>
      </c>
      <c r="U673" s="8" t="n">
        <v>0</v>
      </c>
      <c r="V673" s="8" t="n">
        <v>0</v>
      </c>
      <c r="W673" s="8" t="n">
        <v>0</v>
      </c>
      <c r="X673" s="8" t="n">
        <v>0</v>
      </c>
      <c r="Y673" s="8" t="inlineStr">
        <is>
          <t>K_S T4 (play #32); removed T6 (C Hairston PH, play #51 note); re-enters T7 for J Wilbon (play #67, Flag #8 potential illegal re-entry); BB T7 forces in L McConville (play #67, RBI+1); scores T7 (play #70)</t>
        </is>
      </c>
    </row>
    <row r="674" ht="15.75" customHeight="1" s="35">
      <c r="A674" s="8" t="inlineStr">
        <is>
          <t>2026-04-01_OLDM_at_RVRH</t>
        </is>
      </c>
      <c r="B674" s="2" t="n">
        <v>46113</v>
      </c>
      <c r="C674" s="8" t="inlineStr">
        <is>
          <t>Old Mill Varsity Patriots</t>
        </is>
      </c>
      <c r="D674" s="8" t="inlineStr">
        <is>
          <t>OLDM</t>
        </is>
      </c>
      <c r="E674" s="8" t="inlineStr">
        <is>
          <t>M Dauer-McGarrett</t>
        </is>
      </c>
      <c r="F674" s="8" t="n">
        <v>1</v>
      </c>
      <c r="G674" s="8" t="n">
        <v>1</v>
      </c>
      <c r="H674" s="8" t="n">
        <v>0</v>
      </c>
      <c r="I674" s="8" t="n">
        <v>0</v>
      </c>
      <c r="J674" s="8" t="n">
        <v>0</v>
      </c>
      <c r="K674" s="8" t="n">
        <v>0</v>
      </c>
      <c r="L674" s="8" t="n">
        <v>0</v>
      </c>
      <c r="M674" s="8" t="n">
        <v>0</v>
      </c>
      <c r="N674" s="8" t="n">
        <v>0</v>
      </c>
      <c r="O674" s="8" t="n">
        <v>1</v>
      </c>
      <c r="P674" s="8" t="n">
        <v>0</v>
      </c>
      <c r="Q674" s="8" t="n">
        <v>1</v>
      </c>
      <c r="R674" s="8" t="n">
        <v>0</v>
      </c>
      <c r="S674" s="8" t="n">
        <v>0</v>
      </c>
      <c r="T674" s="8" t="n">
        <v>0</v>
      </c>
      <c r="U674" s="8" t="n">
        <v>0</v>
      </c>
      <c r="V674" s="8" t="n">
        <v>0</v>
      </c>
      <c r="W674" s="8" t="n">
        <v>0</v>
      </c>
      <c r="X674" s="8" t="n">
        <v>0</v>
      </c>
      <c r="Y674" s="8" t="inlineStr">
        <is>
          <t>Subs for L McConville T5 (play #44 lineup note); K_S T5 (play #44); removed T7 (L McConville re-enters, play #64 lineup note)</t>
        </is>
      </c>
    </row>
    <row r="675" ht="15.75" customHeight="1" s="35">
      <c r="A675" s="8" t="inlineStr">
        <is>
          <t>2026-04-01_OLDM_at_RVRH</t>
        </is>
      </c>
      <c r="B675" s="2" t="n">
        <v>46113</v>
      </c>
      <c r="C675" s="8" t="inlineStr">
        <is>
          <t>Old Mill Varsity Patriots</t>
        </is>
      </c>
      <c r="D675" s="8" t="inlineStr">
        <is>
          <t>OLDM</t>
        </is>
      </c>
      <c r="E675" s="8" t="inlineStr">
        <is>
          <t>C Hairston</t>
        </is>
      </c>
      <c r="F675" s="8" t="n">
        <v>1</v>
      </c>
      <c r="G675" s="8" t="n">
        <v>1</v>
      </c>
      <c r="H675" s="8" t="n">
        <v>0</v>
      </c>
      <c r="I675" s="8" t="n">
        <v>0</v>
      </c>
      <c r="J675" s="8" t="n">
        <v>0</v>
      </c>
      <c r="K675" s="8" t="n">
        <v>0</v>
      </c>
      <c r="L675" s="8" t="n">
        <v>0</v>
      </c>
      <c r="M675" s="8" t="n">
        <v>0</v>
      </c>
      <c r="N675" s="8" t="n">
        <v>0</v>
      </c>
      <c r="O675" s="8" t="n">
        <v>0</v>
      </c>
      <c r="P675" s="8" t="n">
        <v>0</v>
      </c>
      <c r="Q675" s="8" t="n">
        <v>0</v>
      </c>
      <c r="R675" s="8" t="n">
        <v>0</v>
      </c>
      <c r="S675" s="8" t="n">
        <v>0</v>
      </c>
      <c r="T675" s="8" t="n">
        <v>0</v>
      </c>
      <c r="U675" s="8" t="n">
        <v>0</v>
      </c>
      <c r="V675" s="8" t="n">
        <v>0</v>
      </c>
      <c r="W675" s="8" t="n">
        <v>0</v>
      </c>
      <c r="X675" s="8" t="n">
        <v>0</v>
      </c>
      <c r="Y675" s="8" t="inlineStr">
        <is>
          <t>PH for S Perron T6 (play #51 lineup note); reaches on error by LF A Contreras (play #51, not a hit); replaced by PR J Wilbon (play #54 lineup note)</t>
        </is>
      </c>
    </row>
    <row r="676" ht="15.75" customHeight="1" s="35">
      <c r="A676" s="8" t="inlineStr">
        <is>
          <t>2026-04-01_OLDM_at_RVRH</t>
        </is>
      </c>
      <c r="B676" s="2" t="n">
        <v>46113</v>
      </c>
      <c r="C676" s="8" t="inlineStr">
        <is>
          <t>Old Mill Varsity Patriots</t>
        </is>
      </c>
      <c r="D676" s="8" t="inlineStr">
        <is>
          <t>OLDM</t>
        </is>
      </c>
      <c r="E676" s="8" t="inlineStr">
        <is>
          <t>J Wilbon</t>
        </is>
      </c>
      <c r="F676" s="8" t="n">
        <v>0</v>
      </c>
      <c r="G676" s="8" t="n">
        <v>0</v>
      </c>
      <c r="H676" s="8" t="n">
        <v>0</v>
      </c>
      <c r="I676" s="8" t="n">
        <v>0</v>
      </c>
      <c r="J676" s="8" t="n">
        <v>0</v>
      </c>
      <c r="K676" s="8" t="n">
        <v>0</v>
      </c>
      <c r="L676" s="8" t="n">
        <v>0</v>
      </c>
      <c r="M676" s="8" t="n">
        <v>0</v>
      </c>
      <c r="N676" s="8" t="n">
        <v>0</v>
      </c>
      <c r="O676" s="8" t="n">
        <v>0</v>
      </c>
      <c r="P676" s="8" t="n">
        <v>0</v>
      </c>
      <c r="Q676" s="8" t="n">
        <v>0</v>
      </c>
      <c r="R676" s="8" t="n">
        <v>0</v>
      </c>
      <c r="S676" s="8" t="n">
        <v>0</v>
      </c>
      <c r="T676" s="8" t="n">
        <v>0</v>
      </c>
      <c r="U676" s="8" t="n">
        <v>0</v>
      </c>
      <c r="V676" s="8" t="n">
        <v>0</v>
      </c>
      <c r="W676" s="8" t="n">
        <v>0</v>
      </c>
      <c r="X676" s="8" t="n">
        <v>0</v>
      </c>
      <c r="Y676" s="8" t="inlineStr">
        <is>
          <t>PR (standard sub) for C Hairston T6 (play #54 note); removed T7 (S Perron bats, play #67 lineup note); no baserunning events</t>
        </is>
      </c>
    </row>
    <row r="677" ht="15.75" customHeight="1" s="35">
      <c r="A677" s="8" t="inlineStr">
        <is>
          <t>2026-04-01_OLDM_at_RVRH</t>
        </is>
      </c>
      <c r="B677" s="2" t="n">
        <v>46113</v>
      </c>
      <c r="C677" s="8" t="inlineStr">
        <is>
          <t>Old Mill Varsity Patriots</t>
        </is>
      </c>
      <c r="D677" s="8" t="inlineStr">
        <is>
          <t>RVRH</t>
        </is>
      </c>
      <c r="E677" s="8" t="inlineStr">
        <is>
          <t>R Walsh</t>
        </is>
      </c>
      <c r="F677" s="8" t="n">
        <v>5</v>
      </c>
      <c r="G677" s="8" t="n">
        <v>4</v>
      </c>
      <c r="H677" s="8" t="n">
        <v>1</v>
      </c>
      <c r="I677" s="8" t="n">
        <v>1</v>
      </c>
      <c r="J677" s="8" t="n">
        <v>0</v>
      </c>
      <c r="K677" s="8" t="n">
        <v>0</v>
      </c>
      <c r="L677" s="8" t="n">
        <v>0</v>
      </c>
      <c r="M677" s="8" t="n">
        <v>1</v>
      </c>
      <c r="N677" s="8" t="n">
        <v>0</v>
      </c>
      <c r="O677" s="8" t="n">
        <v>0</v>
      </c>
      <c r="P677" s="8" t="n">
        <v>0</v>
      </c>
      <c r="Q677" s="8" t="n">
        <v>0</v>
      </c>
      <c r="R677" s="8" t="n">
        <v>0</v>
      </c>
      <c r="S677" s="8" t="n">
        <v>1</v>
      </c>
      <c r="T677" s="8" t="n">
        <v>0</v>
      </c>
      <c r="U677" s="8" t="n">
        <v>0</v>
      </c>
      <c r="V677" s="8" t="n">
        <v>0</v>
      </c>
      <c r="W677" s="8" t="n">
        <v>0</v>
      </c>
      <c r="X677" s="8" t="n">
        <v>0</v>
      </c>
      <c r="Y677" s="8" t="inlineStr">
        <is>
          <t>RBI on B4 Single (play #37, E McCoy scores); stranded on 2nd end of B7 (after WP advancement, play #81)</t>
        </is>
      </c>
    </row>
    <row r="678" ht="15.75" customHeight="1" s="35">
      <c r="A678" s="8" t="inlineStr">
        <is>
          <t>2026-04-01_OLDM_at_RVRH</t>
        </is>
      </c>
      <c r="B678" s="2" t="n">
        <v>46113</v>
      </c>
      <c r="C678" s="8" t="inlineStr">
        <is>
          <t>Old Mill Varsity Patriots</t>
        </is>
      </c>
      <c r="D678" s="8" t="inlineStr">
        <is>
          <t>RVRH</t>
        </is>
      </c>
      <c r="E678" s="8" t="inlineStr">
        <is>
          <t>C McClellan</t>
        </is>
      </c>
      <c r="F678" s="8" t="n">
        <v>3</v>
      </c>
      <c r="G678" s="8" t="n">
        <v>3</v>
      </c>
      <c r="H678" s="8" t="n">
        <v>0</v>
      </c>
      <c r="I678" s="8" t="n">
        <v>0</v>
      </c>
      <c r="J678" s="8" t="n">
        <v>0</v>
      </c>
      <c r="K678" s="8" t="n">
        <v>0</v>
      </c>
      <c r="L678" s="8" t="n">
        <v>0</v>
      </c>
      <c r="M678" s="8" t="n">
        <v>0</v>
      </c>
      <c r="N678" s="8" t="n">
        <v>0</v>
      </c>
      <c r="O678" s="8" t="n">
        <v>0</v>
      </c>
      <c r="P678" s="8" t="n">
        <v>0</v>
      </c>
      <c r="Q678" s="8" t="n">
        <v>0</v>
      </c>
      <c r="R678" s="8" t="n">
        <v>1</v>
      </c>
      <c r="S678" s="8" t="n">
        <v>0</v>
      </c>
      <c r="T678" s="8" t="n">
        <v>1</v>
      </c>
      <c r="U678" s="8" t="n">
        <v>0</v>
      </c>
      <c r="V678" s="8" t="n">
        <v>0</v>
      </c>
      <c r="W678" s="8" t="n">
        <v>0</v>
      </c>
      <c r="X678" s="8" t="n">
        <v>0</v>
      </c>
      <c r="Y678" s="8" t="inlineStr">
        <is>
          <t>Reaches on error B3 (play #22, not a hit); SB B3 (embedded play #23); scores B3 (play #24, H Zhang Single)</t>
        </is>
      </c>
    </row>
    <row r="679" ht="15.75" customHeight="1" s="35">
      <c r="A679" s="8" t="inlineStr">
        <is>
          <t>2026-04-01_OLDM_at_RVRH</t>
        </is>
      </c>
      <c r="B679" s="2" t="n">
        <v>46113</v>
      </c>
      <c r="C679" s="8" t="inlineStr">
        <is>
          <t>Old Mill Varsity Patriots</t>
        </is>
      </c>
      <c r="D679" s="8" t="inlineStr">
        <is>
          <t>RVRH</t>
        </is>
      </c>
      <c r="E679" s="8" t="inlineStr">
        <is>
          <t>J Norwood</t>
        </is>
      </c>
      <c r="F679" s="8" t="n">
        <v>5</v>
      </c>
      <c r="G679" s="8" t="n">
        <v>2</v>
      </c>
      <c r="H679" s="8" t="n">
        <v>1</v>
      </c>
      <c r="I679" s="8" t="n">
        <v>0</v>
      </c>
      <c r="J679" s="8" t="n">
        <v>1</v>
      </c>
      <c r="K679" s="8" t="n">
        <v>0</v>
      </c>
      <c r="L679" s="8" t="n">
        <v>0</v>
      </c>
      <c r="M679" s="8" t="n">
        <v>3</v>
      </c>
      <c r="N679" s="8" t="n">
        <v>0</v>
      </c>
      <c r="O679" s="8" t="n">
        <v>0</v>
      </c>
      <c r="P679" s="8" t="n">
        <v>0</v>
      </c>
      <c r="Q679" s="8" t="n">
        <v>0</v>
      </c>
      <c r="R679" s="8" t="n">
        <v>2</v>
      </c>
      <c r="S679" s="8" t="n">
        <v>1</v>
      </c>
      <c r="T679" s="8" t="n">
        <v>0</v>
      </c>
      <c r="U679" s="8" t="n">
        <v>0</v>
      </c>
      <c r="V679" s="8" t="n">
        <v>0</v>
      </c>
      <c r="W679" s="8" t="n">
        <v>0</v>
      </c>
      <c r="X679" s="8" t="n">
        <v>0</v>
      </c>
      <c r="Y679" s="8" t="inlineStr">
        <is>
          <t>Scores B3 (play #24) and B5 (play #48, SAC fly); RBI on B6 BB (play #61, A Jensen scores); also pitches T7 plays #64-67 (entry inferred, Flag #3)</t>
        </is>
      </c>
    </row>
    <row r="680" ht="15.75" customHeight="1" s="35">
      <c r="A680" s="8" t="inlineStr">
        <is>
          <t>2026-04-01_OLDM_at_RVRH</t>
        </is>
      </c>
      <c r="B680" s="2" t="n">
        <v>46113</v>
      </c>
      <c r="C680" s="8" t="inlineStr">
        <is>
          <t>Old Mill Varsity Patriots</t>
        </is>
      </c>
      <c r="D680" s="8" t="inlineStr">
        <is>
          <t>RVRH</t>
        </is>
      </c>
      <c r="E680" s="8" t="inlineStr">
        <is>
          <t>H Zhang</t>
        </is>
      </c>
      <c r="F680" s="8" t="n">
        <v>3</v>
      </c>
      <c r="G680" s="8" t="n">
        <v>3</v>
      </c>
      <c r="H680" s="8" t="n">
        <v>1</v>
      </c>
      <c r="I680" s="8" t="n">
        <v>1</v>
      </c>
      <c r="J680" s="8" t="n">
        <v>0</v>
      </c>
      <c r="K680" s="8" t="n">
        <v>0</v>
      </c>
      <c r="L680" s="8" t="n">
        <v>0</v>
      </c>
      <c r="M680" s="8" t="n">
        <v>0</v>
      </c>
      <c r="N680" s="8" t="n">
        <v>0</v>
      </c>
      <c r="O680" s="8" t="n">
        <v>0</v>
      </c>
      <c r="P680" s="8" t="n">
        <v>0</v>
      </c>
      <c r="Q680" s="8" t="n">
        <v>0</v>
      </c>
      <c r="R680" s="8" t="n">
        <v>0</v>
      </c>
      <c r="S680" s="8" t="n">
        <v>2</v>
      </c>
      <c r="T680" s="8" t="n">
        <v>0</v>
      </c>
      <c r="U680" s="8" t="n">
        <v>0</v>
      </c>
      <c r="V680" s="8" t="n">
        <v>0</v>
      </c>
      <c r="W680" s="8" t="n">
        <v>0</v>
      </c>
      <c r="X680" s="8" t="n">
        <v>0</v>
      </c>
      <c r="Y680" s="8" t="inlineStr">
        <is>
          <t>2 RBI on B3 Single (play #24, J Norwood + C McClellan score); also pitches T1-T4 (documented entry play #1); enters B7 as sub for C Reis (play #83 lineup note)</t>
        </is>
      </c>
    </row>
    <row r="681" ht="15.75" customHeight="1" s="35">
      <c r="A681" s="8" t="inlineStr">
        <is>
          <t>2026-04-01_OLDM_at_RVRH</t>
        </is>
      </c>
      <c r="B681" s="2" t="n">
        <v>46113</v>
      </c>
      <c r="C681" s="8" t="inlineStr">
        <is>
          <t>Old Mill Varsity Patriots</t>
        </is>
      </c>
      <c r="D681" s="8" t="inlineStr">
        <is>
          <t>RVRH</t>
        </is>
      </c>
      <c r="E681" s="8" t="inlineStr">
        <is>
          <t>C Naecker</t>
        </is>
      </c>
      <c r="F681" s="8" t="n">
        <v>4</v>
      </c>
      <c r="G681" s="8" t="n">
        <v>2</v>
      </c>
      <c r="H681" s="8" t="n">
        <v>1</v>
      </c>
      <c r="I681" s="8" t="n">
        <v>0</v>
      </c>
      <c r="J681" s="8" t="n">
        <v>1</v>
      </c>
      <c r="K681" s="8" t="n">
        <v>0</v>
      </c>
      <c r="L681" s="8" t="n">
        <v>0</v>
      </c>
      <c r="M681" s="8" t="n">
        <v>1</v>
      </c>
      <c r="N681" s="8" t="n">
        <v>0</v>
      </c>
      <c r="O681" s="8" t="n">
        <v>0</v>
      </c>
      <c r="P681" s="8" t="n">
        <v>0</v>
      </c>
      <c r="Q681" s="8" t="n">
        <v>0</v>
      </c>
      <c r="R681" s="8" t="n">
        <v>2</v>
      </c>
      <c r="S681" s="8" t="n">
        <v>1</v>
      </c>
      <c r="T681" s="8" t="n">
        <v>0</v>
      </c>
      <c r="U681" s="8" t="n">
        <v>0</v>
      </c>
      <c r="V681" s="8" t="n">
        <v>0</v>
      </c>
      <c r="W681" s="8" t="n">
        <v>0</v>
      </c>
      <c r="X681" s="8" t="n">
        <v>0</v>
      </c>
      <c r="Y681" s="8" t="inlineStr">
        <is>
          <t>SAC fly B5 (play #48, J Norwood scores, RBI+1); scores B2 (play #15, A Fields Single) and B7 (play #76, R Ronayne Triple); advanced to 2nd on WP B2 (during play #14)</t>
        </is>
      </c>
    </row>
    <row r="682" ht="15.75" customHeight="1" s="35">
      <c r="A682" s="8" t="inlineStr">
        <is>
          <t>2026-04-01_OLDM_at_RVRH</t>
        </is>
      </c>
      <c r="B682" s="2" t="n">
        <v>46113</v>
      </c>
      <c r="C682" s="8" t="inlineStr">
        <is>
          <t>Old Mill Varsity Patriots</t>
        </is>
      </c>
      <c r="D682" s="8" t="inlineStr">
        <is>
          <t>RVRH</t>
        </is>
      </c>
      <c r="E682" s="8" t="inlineStr">
        <is>
          <t>R Ronayne</t>
        </is>
      </c>
      <c r="F682" s="8" t="n">
        <v>3</v>
      </c>
      <c r="G682" s="8" t="n">
        <v>3</v>
      </c>
      <c r="H682" s="8" t="n">
        <v>1</v>
      </c>
      <c r="I682" s="8" t="n">
        <v>0</v>
      </c>
      <c r="J682" s="8" t="n">
        <v>0</v>
      </c>
      <c r="K682" s="8" t="n">
        <v>1</v>
      </c>
      <c r="L682" s="8" t="n">
        <v>0</v>
      </c>
      <c r="M682" s="8" t="n">
        <v>0</v>
      </c>
      <c r="N682" s="8" t="n">
        <v>0</v>
      </c>
      <c r="O682" s="8" t="n">
        <v>1</v>
      </c>
      <c r="P682" s="8" t="n">
        <v>1</v>
      </c>
      <c r="Q682" s="8" t="n">
        <v>0</v>
      </c>
      <c r="R682" s="8" t="n">
        <v>1</v>
      </c>
      <c r="S682" s="8" t="n">
        <v>1</v>
      </c>
      <c r="T682" s="8" t="n">
        <v>0</v>
      </c>
      <c r="U682" s="8" t="n">
        <v>0</v>
      </c>
      <c r="V682" s="8" t="n">
        <v>0</v>
      </c>
      <c r="W682" s="8" t="n">
        <v>0</v>
      </c>
      <c r="X682" s="8" t="n">
        <v>0</v>
      </c>
      <c r="Y682" s="8" t="inlineStr">
        <is>
          <t>K_L B2 (play #14); RBI on B7 Triple (play #76, C Naecker scores); scores B7 (play #77, A Fields Single)</t>
        </is>
      </c>
    </row>
    <row r="683" ht="15.75" customHeight="1" s="35">
      <c r="A683" s="8" t="inlineStr">
        <is>
          <t>2026-04-01_OLDM_at_RVRH</t>
        </is>
      </c>
      <c r="B683" s="2" t="n">
        <v>46113</v>
      </c>
      <c r="C683" s="8" t="inlineStr">
        <is>
          <t>Old Mill Varsity Patriots</t>
        </is>
      </c>
      <c r="D683" s="8" t="inlineStr">
        <is>
          <t>RVRH</t>
        </is>
      </c>
      <c r="E683" s="8" t="inlineStr">
        <is>
          <t>A Fields</t>
        </is>
      </c>
      <c r="F683" s="8" t="n">
        <v>5</v>
      </c>
      <c r="G683" s="8" t="n">
        <v>5</v>
      </c>
      <c r="H683" s="8" t="n">
        <v>2</v>
      </c>
      <c r="I683" s="8" t="n">
        <v>2</v>
      </c>
      <c r="J683" s="8" t="n">
        <v>0</v>
      </c>
      <c r="K683" s="8" t="n">
        <v>0</v>
      </c>
      <c r="L683" s="8" t="n">
        <v>0</v>
      </c>
      <c r="M683" s="8" t="n">
        <v>0</v>
      </c>
      <c r="N683" s="8" t="n">
        <v>0</v>
      </c>
      <c r="O683" s="8" t="n">
        <v>1</v>
      </c>
      <c r="P683" s="8" t="n">
        <v>0</v>
      </c>
      <c r="Q683" s="8" t="n">
        <v>1</v>
      </c>
      <c r="R683" s="8" t="n">
        <v>1</v>
      </c>
      <c r="S683" s="8" t="n">
        <v>2</v>
      </c>
      <c r="T683" s="8" t="n">
        <v>1</v>
      </c>
      <c r="U683" s="8" t="n">
        <v>0</v>
      </c>
      <c r="V683" s="8" t="n">
        <v>0</v>
      </c>
      <c r="W683" s="8" t="n">
        <v>0</v>
      </c>
      <c r="X683" s="8" t="n">
        <v>0</v>
      </c>
      <c r="Y683" s="8" t="inlineStr">
        <is>
          <t>RBI on B2 Single (play #15, C Naecker scores); SB B2 (embedded play #16); RBI on B7 Single (play #77, R Ronayne scores); scores B7 on WP (embedded play #81, no RBI)</t>
        </is>
      </c>
    </row>
    <row r="684" ht="15.75" customHeight="1" s="35">
      <c r="A684" s="8" t="inlineStr">
        <is>
          <t>2026-04-01_OLDM_at_RVRH</t>
        </is>
      </c>
      <c r="B684" s="2" t="n">
        <v>46113</v>
      </c>
      <c r="C684" s="8" t="inlineStr">
        <is>
          <t>Old Mill Varsity Patriots</t>
        </is>
      </c>
      <c r="D684" s="8" t="inlineStr">
        <is>
          <t>RVRH</t>
        </is>
      </c>
      <c r="E684" s="8" t="inlineStr">
        <is>
          <t>C Nichols</t>
        </is>
      </c>
      <c r="F684" s="8" t="n">
        <v>3</v>
      </c>
      <c r="G684" s="8" t="n">
        <v>2</v>
      </c>
      <c r="H684" s="8" t="n">
        <v>0</v>
      </c>
      <c r="I684" s="8" t="n">
        <v>0</v>
      </c>
      <c r="J684" s="8" t="n">
        <v>0</v>
      </c>
      <c r="K684" s="8" t="n">
        <v>0</v>
      </c>
      <c r="L684" s="8" t="n">
        <v>0</v>
      </c>
      <c r="M684" s="8" t="n">
        <v>0</v>
      </c>
      <c r="N684" s="8" t="n">
        <v>1</v>
      </c>
      <c r="O684" s="8" t="n">
        <v>2</v>
      </c>
      <c r="P684" s="8" t="n">
        <v>0</v>
      </c>
      <c r="Q684" s="8" t="n">
        <v>2</v>
      </c>
      <c r="R684" s="8" t="n">
        <v>1</v>
      </c>
      <c r="S684" s="8" t="n">
        <v>0</v>
      </c>
      <c r="T684" s="8" t="n">
        <v>0</v>
      </c>
      <c r="U684" s="8" t="n">
        <v>0</v>
      </c>
      <c r="V684" s="8" t="n">
        <v>0</v>
      </c>
      <c r="W684" s="8" t="n">
        <v>0</v>
      </c>
      <c r="X684" s="8" t="n">
        <v>0</v>
      </c>
      <c r="Y684" s="8" t="inlineStr">
        <is>
          <t>HBP B4 (play #35); scores B4 (play #36, E McCoy Triple); K_S B2 (play #16); K_S B7 (play #78); removed B6 (B Mougey PH, play #57); also pitches T7 plays #68-74 (entry inferred, Flag #4)</t>
        </is>
      </c>
    </row>
    <row r="685" ht="15.75" customHeight="1" s="35">
      <c r="A685" s="8" t="inlineStr">
        <is>
          <t>2026-04-01_OLDM_at_RVRH</t>
        </is>
      </c>
      <c r="B685" s="2" t="n">
        <v>46113</v>
      </c>
      <c r="C685" s="8" t="inlineStr">
        <is>
          <t>Old Mill Varsity Patriots</t>
        </is>
      </c>
      <c r="D685" s="8" t="inlineStr">
        <is>
          <t>RVRH</t>
        </is>
      </c>
      <c r="E685" s="8" t="inlineStr">
        <is>
          <t>E McCoy</t>
        </is>
      </c>
      <c r="F685" s="8" t="n">
        <v>4</v>
      </c>
      <c r="G685" s="8" t="n">
        <v>4</v>
      </c>
      <c r="H685" s="8" t="n">
        <v>3</v>
      </c>
      <c r="I685" s="8" t="n">
        <v>2</v>
      </c>
      <c r="J685" s="8" t="n">
        <v>0</v>
      </c>
      <c r="K685" s="8" t="n">
        <v>1</v>
      </c>
      <c r="L685" s="8" t="n">
        <v>0</v>
      </c>
      <c r="M685" s="8" t="n">
        <v>0</v>
      </c>
      <c r="N685" s="8" t="n">
        <v>0</v>
      </c>
      <c r="O685" s="8" t="n">
        <v>0</v>
      </c>
      <c r="P685" s="8" t="n">
        <v>0</v>
      </c>
      <c r="Q685" s="8" t="n">
        <v>0</v>
      </c>
      <c r="R685" s="8" t="n">
        <v>1</v>
      </c>
      <c r="S685" s="8" t="n">
        <v>1</v>
      </c>
      <c r="T685" s="8" t="n">
        <v>0</v>
      </c>
      <c r="U685" s="8" t="n">
        <v>0</v>
      </c>
      <c r="V685" s="8" t="n">
        <v>0</v>
      </c>
      <c r="W685" s="8" t="n">
        <v>0</v>
      </c>
      <c r="X685" s="8" t="n">
        <v>0</v>
      </c>
      <c r="Y685" s="8" t="inlineStr">
        <is>
          <t>RBI on B4 Triple (play #36, C Nichols scores); scores B4 (play #37, R Walsh Single); stranded on 3rd end of B7 (after WP advancement)</t>
        </is>
      </c>
    </row>
    <row r="686" ht="15.75" customHeight="1" s="35">
      <c r="A686" s="8" t="inlineStr">
        <is>
          <t>2026-04-01_OLDM_at_RVRH</t>
        </is>
      </c>
      <c r="B686" s="2" t="n">
        <v>46113</v>
      </c>
      <c r="C686" s="8" t="inlineStr">
        <is>
          <t>Old Mill Varsity Patriots</t>
        </is>
      </c>
      <c r="D686" s="8" t="inlineStr">
        <is>
          <t>RVRH</t>
        </is>
      </c>
      <c r="E686" s="8" t="inlineStr">
        <is>
          <t>L Kreisl</t>
        </is>
      </c>
      <c r="F686" s="8" t="n">
        <v>1</v>
      </c>
      <c r="G686" s="8" t="n">
        <v>1</v>
      </c>
      <c r="H686" s="8" t="n">
        <v>0</v>
      </c>
      <c r="I686" s="8" t="n">
        <v>0</v>
      </c>
      <c r="J686" s="8" t="n">
        <v>0</v>
      </c>
      <c r="K686" s="8" t="n">
        <v>0</v>
      </c>
      <c r="L686" s="8" t="n">
        <v>0</v>
      </c>
      <c r="M686" s="8" t="n">
        <v>0</v>
      </c>
      <c r="N686" s="8" t="n">
        <v>0</v>
      </c>
      <c r="O686" s="8" t="n">
        <v>0</v>
      </c>
      <c r="P686" s="8" t="n">
        <v>0</v>
      </c>
      <c r="Q686" s="8" t="n">
        <v>0</v>
      </c>
      <c r="R686" s="8" t="n">
        <v>0</v>
      </c>
      <c r="S686" s="8" t="n">
        <v>0</v>
      </c>
      <c r="T686" s="8" t="n">
        <v>0</v>
      </c>
      <c r="U686" s="8" t="n">
        <v>0</v>
      </c>
      <c r="V686" s="8" t="n">
        <v>0</v>
      </c>
      <c r="W686" s="8" t="n">
        <v>0</v>
      </c>
      <c r="X686" s="8" t="n">
        <v>0</v>
      </c>
    </row>
    <row r="687" ht="15.75" customHeight="1" s="35">
      <c r="A687" s="8" t="inlineStr">
        <is>
          <t>2026-04-01_OLDM_at_RVRH</t>
        </is>
      </c>
      <c r="B687" s="2" t="n">
        <v>46113</v>
      </c>
      <c r="C687" s="8" t="inlineStr">
        <is>
          <t>Old Mill Varsity Patriots</t>
        </is>
      </c>
      <c r="D687" s="8" t="inlineStr">
        <is>
          <t>RVRH</t>
        </is>
      </c>
      <c r="E687" s="8" t="inlineStr">
        <is>
          <t>C Reis</t>
        </is>
      </c>
      <c r="F687" s="8" t="n">
        <v>2</v>
      </c>
      <c r="G687" s="8" t="n">
        <v>2</v>
      </c>
      <c r="H687" s="8" t="n">
        <v>0</v>
      </c>
      <c r="I687" s="8" t="n">
        <v>0</v>
      </c>
      <c r="J687" s="8" t="n">
        <v>0</v>
      </c>
      <c r="K687" s="8" t="n">
        <v>0</v>
      </c>
      <c r="L687" s="8" t="n">
        <v>0</v>
      </c>
      <c r="M687" s="8" t="n">
        <v>0</v>
      </c>
      <c r="N687" s="8" t="n">
        <v>0</v>
      </c>
      <c r="O687" s="8" t="n">
        <v>0</v>
      </c>
      <c r="P687" s="8" t="n">
        <v>0</v>
      </c>
      <c r="Q687" s="8" t="n">
        <v>0</v>
      </c>
      <c r="R687" s="8" t="n">
        <v>0</v>
      </c>
      <c r="S687" s="8" t="n">
        <v>0</v>
      </c>
      <c r="T687" s="8" t="n">
        <v>0</v>
      </c>
      <c r="U687" s="8" t="n">
        <v>0</v>
      </c>
      <c r="V687" s="8" t="n">
        <v>0</v>
      </c>
      <c r="W687" s="8" t="n">
        <v>0</v>
      </c>
      <c r="X687" s="8" t="n">
        <v>0</v>
      </c>
      <c r="Y687" s="8" t="inlineStr">
        <is>
          <t>Also pitches T5 (mid-AB play #43) through T6 + K Poucher BB T7 (play #63); exits when J Norwood inferred (Flag #3); removed B7 (H Zhang subs in, play #83)</t>
        </is>
      </c>
    </row>
    <row r="688" ht="15.75" customHeight="1" s="35">
      <c r="A688" s="8" t="inlineStr">
        <is>
          <t>2026-04-01_OLDM_at_RVRH</t>
        </is>
      </c>
      <c r="B688" s="2" t="n">
        <v>46113</v>
      </c>
      <c r="C688" s="8" t="inlineStr">
        <is>
          <t>Old Mill Varsity Patriots</t>
        </is>
      </c>
      <c r="D688" s="8" t="inlineStr">
        <is>
          <t>RVRH</t>
        </is>
      </c>
      <c r="E688" s="8" t="inlineStr">
        <is>
          <t>B Bixby</t>
        </is>
      </c>
      <c r="F688" s="8" t="n">
        <v>2</v>
      </c>
      <c r="G688" s="8" t="n">
        <v>1</v>
      </c>
      <c r="H688" s="8" t="n">
        <v>0</v>
      </c>
      <c r="I688" s="8" t="n">
        <v>0</v>
      </c>
      <c r="J688" s="8" t="n">
        <v>0</v>
      </c>
      <c r="K688" s="8" t="n">
        <v>0</v>
      </c>
      <c r="L688" s="8" t="n">
        <v>0</v>
      </c>
      <c r="M688" s="8" t="n">
        <v>1</v>
      </c>
      <c r="N688" s="8" t="n">
        <v>0</v>
      </c>
      <c r="O688" s="8" t="n">
        <v>1</v>
      </c>
      <c r="P688" s="8" t="n">
        <v>0</v>
      </c>
      <c r="Q688" s="8" t="n">
        <v>1</v>
      </c>
      <c r="R688" s="8" t="n">
        <v>0</v>
      </c>
      <c r="S688" s="8" t="n">
        <v>0</v>
      </c>
      <c r="T688" s="8" t="n">
        <v>0</v>
      </c>
      <c r="U688" s="8" t="n">
        <v>0</v>
      </c>
      <c r="V688" s="8" t="n">
        <v>0</v>
      </c>
      <c r="W688" s="8" t="n">
        <v>0</v>
      </c>
      <c r="X688" s="8" t="n">
        <v>0</v>
      </c>
      <c r="Y688" s="8" t="inlineStr">
        <is>
          <t>K_S B7 (play #81)</t>
        </is>
      </c>
    </row>
    <row r="689" ht="15.75" customHeight="1" s="35">
      <c r="A689" s="8" t="inlineStr">
        <is>
          <t>2026-04-01_OLDM_at_RVRH</t>
        </is>
      </c>
      <c r="B689" s="2" t="n">
        <v>46113</v>
      </c>
      <c r="C689" s="8" t="inlineStr">
        <is>
          <t>Old Mill Varsity Patriots</t>
        </is>
      </c>
      <c r="D689" s="8" t="inlineStr">
        <is>
          <t>RVRH</t>
        </is>
      </c>
      <c r="E689" s="8" t="inlineStr">
        <is>
          <t>B Mougey</t>
        </is>
      </c>
      <c r="F689" s="8" t="n">
        <v>1</v>
      </c>
      <c r="G689" s="8" t="n">
        <v>0</v>
      </c>
      <c r="H689" s="8" t="n">
        <v>0</v>
      </c>
      <c r="I689" s="8" t="n">
        <v>0</v>
      </c>
      <c r="J689" s="8" t="n">
        <v>0</v>
      </c>
      <c r="K689" s="8" t="n">
        <v>0</v>
      </c>
      <c r="L689" s="8" t="n">
        <v>0</v>
      </c>
      <c r="M689" s="8" t="n">
        <v>0</v>
      </c>
      <c r="N689" s="8" t="n">
        <v>1</v>
      </c>
      <c r="O689" s="8" t="n">
        <v>0</v>
      </c>
      <c r="P689" s="8" t="n">
        <v>0</v>
      </c>
      <c r="Q689" s="8" t="n">
        <v>0</v>
      </c>
      <c r="R689" s="8" t="n">
        <v>0</v>
      </c>
      <c r="S689" s="8" t="n">
        <v>0</v>
      </c>
      <c r="T689" s="8" t="n">
        <v>0</v>
      </c>
      <c r="U689" s="8" t="n">
        <v>0</v>
      </c>
      <c r="V689" s="8" t="n">
        <v>0</v>
      </c>
      <c r="W689" s="8" t="n">
        <v>0</v>
      </c>
      <c r="X689" s="8" t="n">
        <v>0</v>
      </c>
      <c r="Y689" s="8" t="inlineStr">
        <is>
          <t>PH for C Nichols B6 (play #57 lineup note); HBP (play #57); replaced by PR A Jensen (play #58 lineup note, standard sub)</t>
        </is>
      </c>
    </row>
    <row r="690" ht="15.75" customHeight="1" s="35">
      <c r="A690" s="8" t="inlineStr">
        <is>
          <t>2026-04-01_OLDM_at_RVRH</t>
        </is>
      </c>
      <c r="B690" s="2" t="n">
        <v>46113</v>
      </c>
      <c r="C690" s="8" t="inlineStr">
        <is>
          <t>Old Mill Varsity Patriots</t>
        </is>
      </c>
      <c r="D690" s="8" t="inlineStr">
        <is>
          <t>RVRH</t>
        </is>
      </c>
      <c r="E690" s="8" t="inlineStr">
        <is>
          <t>A Jensen</t>
        </is>
      </c>
      <c r="F690" s="8" t="n">
        <v>0</v>
      </c>
      <c r="G690" s="8" t="n">
        <v>0</v>
      </c>
      <c r="H690" s="8" t="n">
        <v>0</v>
      </c>
      <c r="I690" s="8" t="n">
        <v>0</v>
      </c>
      <c r="J690" s="8" t="n">
        <v>0</v>
      </c>
      <c r="K690" s="8" t="n">
        <v>0</v>
      </c>
      <c r="L690" s="8" t="n">
        <v>0</v>
      </c>
      <c r="M690" s="8" t="n">
        <v>0</v>
      </c>
      <c r="N690" s="8" t="n">
        <v>0</v>
      </c>
      <c r="O690" s="8" t="n">
        <v>0</v>
      </c>
      <c r="P690" s="8" t="n">
        <v>0</v>
      </c>
      <c r="Q690" s="8" t="n">
        <v>0</v>
      </c>
      <c r="R690" s="8" t="n">
        <v>1</v>
      </c>
      <c r="S690" s="8" t="n">
        <v>0</v>
      </c>
      <c r="T690" s="8" t="n">
        <v>0</v>
      </c>
      <c r="U690" s="8" t="n">
        <v>0</v>
      </c>
      <c r="V690" s="8" t="n">
        <v>0</v>
      </c>
      <c r="W690" s="8" t="n">
        <v>0</v>
      </c>
      <c r="X690" s="8" t="n">
        <v>0</v>
      </c>
      <c r="Y690" s="8" t="inlineStr">
        <is>
          <t>PR (standard sub) for B Mougey B6 (play #58 note); scores B6 on J Norwood BB (play #61, bases loaded); advanced to 3rd on PB (embedded play #60); R credited to A Jensen (standard sub)</t>
        </is>
      </c>
    </row>
    <row r="691" ht="15.75" customHeight="1" s="35">
      <c r="A691" s="8" t="inlineStr">
        <is>
          <t>2026-04-01_OLDM_at_RVRH</t>
        </is>
      </c>
      <c r="B691" s="2" t="n">
        <v>46113</v>
      </c>
      <c r="C691" s="8" t="inlineStr">
        <is>
          <t>Old Mill Varsity Patriots</t>
        </is>
      </c>
      <c r="D691" s="8" t="inlineStr">
        <is>
          <t>RVRH</t>
        </is>
      </c>
      <c r="E691" s="8" t="inlineStr">
        <is>
          <t>E Skolkin</t>
        </is>
      </c>
      <c r="F691" s="8" t="n">
        <v>0</v>
      </c>
      <c r="G691" s="8" t="n">
        <v>0</v>
      </c>
      <c r="H691" s="8" t="n">
        <v>0</v>
      </c>
      <c r="I691" s="8" t="n">
        <v>0</v>
      </c>
      <c r="J691" s="8" t="n">
        <v>0</v>
      </c>
      <c r="K691" s="8" t="n">
        <v>0</v>
      </c>
      <c r="L691" s="8" t="n">
        <v>0</v>
      </c>
      <c r="M691" s="8" t="n">
        <v>0</v>
      </c>
      <c r="N691" s="8" t="n">
        <v>0</v>
      </c>
      <c r="O691" s="8" t="n">
        <v>0</v>
      </c>
      <c r="P691" s="8" t="n">
        <v>0</v>
      </c>
      <c r="Q691" s="8" t="n">
        <v>0</v>
      </c>
      <c r="R691" s="8" t="n">
        <v>0</v>
      </c>
      <c r="S691" s="8" t="n">
        <v>0</v>
      </c>
      <c r="T691" s="8" t="n">
        <v>1</v>
      </c>
      <c r="U691" s="8" t="n">
        <v>0</v>
      </c>
      <c r="V691" s="8" t="n">
        <v>0</v>
      </c>
      <c r="W691" s="8" t="n">
        <v>0</v>
      </c>
      <c r="X691" s="8" t="n">
        <v>0</v>
      </c>
      <c r="Y691" s="8" t="inlineStr">
        <is>
          <t>Courtesy runner for H Zhang B3 (play #25 note); SB B3 (embedded play #25); does not score — inning ends on C Naecker GO</t>
        </is>
      </c>
    </row>
    <row r="692" ht="15.75" customHeight="1" s="35">
      <c r="A692" s="8" t="inlineStr">
        <is>
          <t>2026-03-31_DMSC_at_HWRD</t>
        </is>
      </c>
      <c r="B692" s="2" t="n">
        <v>46112</v>
      </c>
      <c r="C692" s="8" t="inlineStr">
        <is>
          <t>Howard Varsity Lions</t>
        </is>
      </c>
      <c r="D692" s="8" t="inlineStr">
        <is>
          <t>DMSC</t>
        </is>
      </c>
      <c r="E692" s="8" t="inlineStr">
        <is>
          <t>G Iorio</t>
        </is>
      </c>
      <c r="F692" s="8" t="n">
        <v>4</v>
      </c>
      <c r="G692" s="8" t="n">
        <v>2</v>
      </c>
      <c r="H692" s="8" t="n">
        <v>0</v>
      </c>
      <c r="I692" s="8" t="n">
        <v>0</v>
      </c>
      <c r="J692" s="8" t="n">
        <v>0</v>
      </c>
      <c r="K692" s="8" t="n">
        <v>0</v>
      </c>
      <c r="L692" s="8" t="n">
        <v>0</v>
      </c>
      <c r="M692" s="8" t="n">
        <v>1</v>
      </c>
      <c r="N692" s="8" t="n">
        <v>1</v>
      </c>
      <c r="O692" s="8" t="n">
        <v>1</v>
      </c>
      <c r="R692" s="8" t="n">
        <v>2</v>
      </c>
      <c r="S692" s="8" t="n">
        <v>0</v>
      </c>
      <c r="T692" s="8" t="n">
        <v>4</v>
      </c>
      <c r="U692" s="8" t="n">
        <v>0</v>
      </c>
      <c r="W692" s="8" t="n">
        <v>0</v>
      </c>
      <c r="Y692" s="8" t="inlineStr">
        <is>
          <t>Name in source: Giac Iorio</t>
        </is>
      </c>
    </row>
    <row r="693" ht="15.75" customHeight="1" s="35">
      <c r="A693" s="8" t="inlineStr">
        <is>
          <t>2026-03-31_DMSC_at_HWRD</t>
        </is>
      </c>
      <c r="B693" s="2" t="n">
        <v>46112</v>
      </c>
      <c r="C693" s="8" t="inlineStr">
        <is>
          <t>Howard Varsity Lions</t>
        </is>
      </c>
      <c r="D693" s="8" t="inlineStr">
        <is>
          <t>DMSC</t>
        </is>
      </c>
      <c r="E693" s="8" t="inlineStr">
        <is>
          <t>Holden</t>
        </is>
      </c>
      <c r="F693" s="8" t="n">
        <v>1</v>
      </c>
      <c r="G693" s="8" t="n">
        <v>1</v>
      </c>
      <c r="H693" s="8" t="n">
        <v>0</v>
      </c>
      <c r="I693" s="8" t="n">
        <v>0</v>
      </c>
      <c r="J693" s="8" t="n">
        <v>0</v>
      </c>
      <c r="K693" s="8" t="n">
        <v>0</v>
      </c>
      <c r="L693" s="8" t="n">
        <v>0</v>
      </c>
      <c r="M693" s="8" t="n">
        <v>0</v>
      </c>
      <c r="N693" s="8" t="n">
        <v>0</v>
      </c>
      <c r="O693" s="8" t="n">
        <v>1</v>
      </c>
      <c r="R693" s="8" t="n">
        <v>1</v>
      </c>
      <c r="S693" s="8" t="n">
        <v>0</v>
      </c>
      <c r="T693" s="8" t="n">
        <v>0</v>
      </c>
      <c r="U693" s="8" t="n">
        <v>0</v>
      </c>
      <c r="W693" s="8" t="n">
        <v>0</v>
      </c>
      <c r="Y693" s="8" t="inlineStr">
        <is>
          <t>[AMBIGUOUS] Single name visible in box score; last name not captured. Flagged for review.</t>
        </is>
      </c>
    </row>
    <row r="694" ht="15.75" customHeight="1" s="35">
      <c r="A694" s="8" t="inlineStr">
        <is>
          <t>2026-03-31_DMSC_at_HWRD</t>
        </is>
      </c>
      <c r="B694" s="2" t="n">
        <v>46112</v>
      </c>
      <c r="C694" s="8" t="inlineStr">
        <is>
          <t>Howard Varsity Lions</t>
        </is>
      </c>
      <c r="D694" s="8" t="inlineStr">
        <is>
          <t>DMSC</t>
        </is>
      </c>
      <c r="E694" s="8" t="inlineStr">
        <is>
          <t>J Witmer</t>
        </is>
      </c>
      <c r="F694" s="8" t="n">
        <v>4</v>
      </c>
      <c r="G694" s="8" t="n">
        <v>3</v>
      </c>
      <c r="H694" s="8" t="n">
        <v>0</v>
      </c>
      <c r="I694" s="8" t="n">
        <v>0</v>
      </c>
      <c r="J694" s="8" t="n">
        <v>0</v>
      </c>
      <c r="K694" s="8" t="n">
        <v>0</v>
      </c>
      <c r="L694" s="8" t="n">
        <v>0</v>
      </c>
      <c r="M694" s="8" t="n">
        <v>1</v>
      </c>
      <c r="N694" s="8" t="n">
        <v>0</v>
      </c>
      <c r="O694" s="8" t="n">
        <v>0</v>
      </c>
      <c r="R694" s="8" t="n">
        <v>0</v>
      </c>
      <c r="S694" s="8" t="n">
        <v>0</v>
      </c>
      <c r="T694" s="8" t="n">
        <v>0</v>
      </c>
      <c r="U694" s="8" t="n">
        <v>0</v>
      </c>
      <c r="W694" s="8" t="n">
        <v>0</v>
      </c>
      <c r="Y694" s="8" t="inlineStr">
        <is>
          <t>Name in source: Justin Witmer</t>
        </is>
      </c>
    </row>
    <row r="695" ht="15.75" customHeight="1" s="35">
      <c r="A695" s="8" t="inlineStr">
        <is>
          <t>2026-03-31_DMSC_at_HWRD</t>
        </is>
      </c>
      <c r="B695" s="2" t="n">
        <v>46112</v>
      </c>
      <c r="C695" s="8" t="inlineStr">
        <is>
          <t>Howard Varsity Lions</t>
        </is>
      </c>
      <c r="D695" s="8" t="inlineStr">
        <is>
          <t>DMSC</t>
        </is>
      </c>
      <c r="E695" s="8" t="inlineStr">
        <is>
          <t>Colton Dewing</t>
        </is>
      </c>
      <c r="F695" s="8" t="n">
        <v>3</v>
      </c>
      <c r="G695" s="8" t="n">
        <v>2</v>
      </c>
      <c r="H695" s="8" t="n">
        <v>0</v>
      </c>
      <c r="I695" s="8" t="n">
        <v>0</v>
      </c>
      <c r="J695" s="8" t="n">
        <v>0</v>
      </c>
      <c r="K695" s="8" t="n">
        <v>0</v>
      </c>
      <c r="L695" s="8" t="n">
        <v>0</v>
      </c>
      <c r="M695" s="8" t="n">
        <v>1</v>
      </c>
      <c r="N695" s="8" t="n">
        <v>0</v>
      </c>
      <c r="O695" s="8" t="n">
        <v>2</v>
      </c>
      <c r="R695" s="8" t="n">
        <v>2</v>
      </c>
      <c r="S695" s="8" t="n">
        <v>0</v>
      </c>
      <c r="T695" s="8" t="n">
        <v>0</v>
      </c>
      <c r="U695" s="8" t="n">
        <v>0</v>
      </c>
      <c r="W695" s="8" t="n">
        <v>0</v>
      </c>
    </row>
    <row r="696" ht="15.75" customHeight="1" s="35">
      <c r="A696" s="8" t="inlineStr">
        <is>
          <t>2026-03-31_DMSC_at_HWRD</t>
        </is>
      </c>
      <c r="B696" s="2" t="n">
        <v>46112</v>
      </c>
      <c r="C696" s="8" t="inlineStr">
        <is>
          <t>Howard Varsity Lions</t>
        </is>
      </c>
      <c r="D696" s="8" t="inlineStr">
        <is>
          <t>DMSC</t>
        </is>
      </c>
      <c r="E696" s="8" t="inlineStr">
        <is>
          <t>Ethan Nguyen</t>
        </is>
      </c>
      <c r="F696" s="8" t="n">
        <v>1</v>
      </c>
      <c r="G696" s="8" t="n">
        <v>1</v>
      </c>
      <c r="H696" s="8" t="n">
        <v>1</v>
      </c>
      <c r="I696" s="8" t="n">
        <v>1</v>
      </c>
      <c r="J696" s="8" t="n">
        <v>0</v>
      </c>
      <c r="K696" s="8" t="n">
        <v>0</v>
      </c>
      <c r="L696" s="8" t="n">
        <v>0</v>
      </c>
      <c r="M696" s="8" t="n">
        <v>0</v>
      </c>
      <c r="N696" s="8" t="n">
        <v>0</v>
      </c>
      <c r="O696" s="8" t="n">
        <v>0</v>
      </c>
      <c r="R696" s="8" t="n">
        <v>0</v>
      </c>
      <c r="S696" s="8" t="n">
        <v>0</v>
      </c>
      <c r="T696" s="8" t="n">
        <v>1</v>
      </c>
      <c r="U696" s="8" t="n">
        <v>0</v>
      </c>
      <c r="W696" s="8" t="n">
        <v>0</v>
      </c>
    </row>
    <row r="697" ht="15.75" customHeight="1" s="35">
      <c r="A697" s="8" t="inlineStr">
        <is>
          <t>2026-03-31_DMSC_at_HWRD</t>
        </is>
      </c>
      <c r="B697" s="2" t="n">
        <v>46112</v>
      </c>
      <c r="C697" s="8" t="inlineStr">
        <is>
          <t>Howard Varsity Lions</t>
        </is>
      </c>
      <c r="D697" s="8" t="inlineStr">
        <is>
          <t>DMSC</t>
        </is>
      </c>
      <c r="E697" s="8" t="inlineStr">
        <is>
          <t>Tyler Luskey</t>
        </is>
      </c>
      <c r="F697" s="8" t="n">
        <v>3</v>
      </c>
      <c r="G697" s="8" t="n">
        <v>3</v>
      </c>
      <c r="H697" s="8" t="n">
        <v>2</v>
      </c>
      <c r="I697" s="8" t="n">
        <v>0</v>
      </c>
      <c r="J697" s="8" t="n">
        <v>1</v>
      </c>
      <c r="K697" s="8" t="n">
        <v>1</v>
      </c>
      <c r="L697" s="8" t="n">
        <v>0</v>
      </c>
      <c r="M697" s="8" t="n">
        <v>0</v>
      </c>
      <c r="N697" s="8" t="n">
        <v>0</v>
      </c>
      <c r="O697" s="8" t="n">
        <v>1</v>
      </c>
      <c r="R697" s="8" t="n">
        <v>0</v>
      </c>
      <c r="S697" s="8" t="n">
        <v>1</v>
      </c>
      <c r="T697" s="8" t="n">
        <v>0</v>
      </c>
      <c r="U697" s="8" t="n">
        <v>0</v>
      </c>
      <c r="W697" s="8" t="n">
        <v>0</v>
      </c>
    </row>
    <row r="698" ht="15.75" customHeight="1" s="35">
      <c r="A698" s="8" t="inlineStr">
        <is>
          <t>2026-03-31_DMSC_at_HWRD</t>
        </is>
      </c>
      <c r="B698" s="2" t="n">
        <v>46112</v>
      </c>
      <c r="C698" s="8" t="inlineStr">
        <is>
          <t>Howard Varsity Lions</t>
        </is>
      </c>
      <c r="D698" s="8" t="inlineStr">
        <is>
          <t>DMSC</t>
        </is>
      </c>
      <c r="E698" s="8" t="inlineStr">
        <is>
          <t>C Holland</t>
        </is>
      </c>
      <c r="F698" s="8" t="n">
        <v>1</v>
      </c>
      <c r="G698" s="8" t="n">
        <v>0</v>
      </c>
      <c r="H698" s="8" t="n">
        <v>0</v>
      </c>
      <c r="I698" s="8" t="n">
        <v>0</v>
      </c>
      <c r="J698" s="8" t="n">
        <v>0</v>
      </c>
      <c r="K698" s="8" t="n">
        <v>0</v>
      </c>
      <c r="L698" s="8" t="n">
        <v>0</v>
      </c>
      <c r="M698" s="8" t="n">
        <v>1</v>
      </c>
      <c r="N698" s="8" t="n">
        <v>0</v>
      </c>
      <c r="O698" s="8" t="n">
        <v>0</v>
      </c>
      <c r="R698" s="8" t="n">
        <v>1</v>
      </c>
      <c r="S698" s="8" t="n">
        <v>0</v>
      </c>
      <c r="T698" s="8" t="n">
        <v>0</v>
      </c>
      <c r="U698" s="8" t="n">
        <v>0</v>
      </c>
      <c r="W698" s="8" t="n">
        <v>0</v>
      </c>
      <c r="Y698" s="8" t="inlineStr">
        <is>
          <t>Name in source: CJ Holland</t>
        </is>
      </c>
    </row>
    <row r="699" ht="15.75" customHeight="1" s="35">
      <c r="A699" s="8" t="inlineStr">
        <is>
          <t>2026-03-31_DMSC_at_HWRD</t>
        </is>
      </c>
      <c r="B699" s="2" t="n">
        <v>46112</v>
      </c>
      <c r="C699" s="8" t="inlineStr">
        <is>
          <t>Howard Varsity Lions</t>
        </is>
      </c>
      <c r="D699" s="8" t="inlineStr">
        <is>
          <t>DMSC</t>
        </is>
      </c>
      <c r="E699" s="8" t="inlineStr">
        <is>
          <t>J Reyes</t>
        </is>
      </c>
      <c r="F699" s="8" t="n">
        <v>4</v>
      </c>
      <c r="G699" s="8" t="n">
        <v>4</v>
      </c>
      <c r="H699" s="8" t="n">
        <v>0</v>
      </c>
      <c r="I699" s="8" t="n">
        <v>0</v>
      </c>
      <c r="J699" s="8" t="n">
        <v>0</v>
      </c>
      <c r="K699" s="8" t="n">
        <v>0</v>
      </c>
      <c r="L699" s="8" t="n">
        <v>0</v>
      </c>
      <c r="M699" s="8" t="n">
        <v>0</v>
      </c>
      <c r="N699" s="8" t="n">
        <v>0</v>
      </c>
      <c r="O699" s="8" t="n">
        <v>2</v>
      </c>
      <c r="R699" s="8" t="n">
        <v>0</v>
      </c>
      <c r="S699" s="8" t="n">
        <v>0</v>
      </c>
      <c r="T699" s="8" t="n">
        <v>0</v>
      </c>
      <c r="U699" s="8" t="n">
        <v>0</v>
      </c>
      <c r="W699" s="8" t="n">
        <v>0</v>
      </c>
      <c r="Y699" s="8" t="inlineStr">
        <is>
          <t>Name in source: Jheremy Reyes</t>
        </is>
      </c>
    </row>
    <row r="700" ht="15.75" customHeight="1" s="35">
      <c r="A700" s="8" t="inlineStr">
        <is>
          <t>2026-03-31_DMSC_at_HWRD</t>
        </is>
      </c>
      <c r="B700" s="2" t="n">
        <v>46112</v>
      </c>
      <c r="C700" s="8" t="inlineStr">
        <is>
          <t>Howard Varsity Lions</t>
        </is>
      </c>
      <c r="D700" s="8" t="inlineStr">
        <is>
          <t>DMSC</t>
        </is>
      </c>
      <c r="E700" s="8" t="inlineStr">
        <is>
          <t>N Cooley</t>
        </is>
      </c>
      <c r="F700" s="8" t="n">
        <v>4</v>
      </c>
      <c r="G700" s="8" t="n">
        <v>3</v>
      </c>
      <c r="H700" s="8" t="n">
        <v>2</v>
      </c>
      <c r="I700" s="8" t="n">
        <v>2</v>
      </c>
      <c r="J700" s="8" t="n">
        <v>0</v>
      </c>
      <c r="K700" s="8" t="n">
        <v>0</v>
      </c>
      <c r="L700" s="8" t="n">
        <v>0</v>
      </c>
      <c r="M700" s="8" t="n">
        <v>1</v>
      </c>
      <c r="N700" s="8" t="n">
        <v>0</v>
      </c>
      <c r="O700" s="8" t="n">
        <v>0</v>
      </c>
      <c r="R700" s="8" t="n">
        <v>2</v>
      </c>
      <c r="S700" s="8" t="n">
        <v>0</v>
      </c>
      <c r="T700" s="8" t="n">
        <v>3</v>
      </c>
      <c r="U700" s="8" t="n">
        <v>0</v>
      </c>
      <c r="W700" s="8" t="n">
        <v>0</v>
      </c>
      <c r="Y700" s="8" t="inlineStr">
        <is>
          <t>Name in source: Nolan Cooley</t>
        </is>
      </c>
    </row>
    <row r="701" ht="15.75" customHeight="1" s="35">
      <c r="A701" s="8" t="inlineStr">
        <is>
          <t>2026-03-31_DMSC_at_HWRD</t>
        </is>
      </c>
      <c r="B701" s="2" t="n">
        <v>46112</v>
      </c>
      <c r="C701" s="8" t="inlineStr">
        <is>
          <t>Howard Varsity Lions</t>
        </is>
      </c>
      <c r="D701" s="8" t="inlineStr">
        <is>
          <t>DMSC</t>
        </is>
      </c>
      <c r="E701" s="8" t="inlineStr">
        <is>
          <t>K Childers</t>
        </is>
      </c>
      <c r="F701" s="8" t="n">
        <v>3</v>
      </c>
      <c r="G701" s="8" t="n">
        <v>3</v>
      </c>
      <c r="H701" s="8" t="n">
        <v>0</v>
      </c>
      <c r="I701" s="8" t="n">
        <v>0</v>
      </c>
      <c r="J701" s="8" t="n">
        <v>0</v>
      </c>
      <c r="K701" s="8" t="n">
        <v>0</v>
      </c>
      <c r="L701" s="8" t="n">
        <v>0</v>
      </c>
      <c r="M701" s="8" t="n">
        <v>0</v>
      </c>
      <c r="N701" s="8" t="n">
        <v>0</v>
      </c>
      <c r="O701" s="8" t="n">
        <v>2</v>
      </c>
      <c r="R701" s="8" t="n">
        <v>0</v>
      </c>
      <c r="S701" s="8" t="n">
        <v>0</v>
      </c>
      <c r="T701" s="8" t="n">
        <v>0</v>
      </c>
      <c r="U701" s="8" t="n">
        <v>0</v>
      </c>
      <c r="W701" s="8" t="n">
        <v>0</v>
      </c>
      <c r="Y701" s="8" t="inlineStr">
        <is>
          <t>Name in source: Kody Childers</t>
        </is>
      </c>
    </row>
    <row r="702" ht="15.75" customHeight="1" s="35">
      <c r="A702" s="8" t="inlineStr">
        <is>
          <t>2026-03-31_DMSC_at_HWRD</t>
        </is>
      </c>
      <c r="B702" s="2" t="n">
        <v>46112</v>
      </c>
      <c r="C702" s="8" t="inlineStr">
        <is>
          <t>Howard Varsity Lions</t>
        </is>
      </c>
      <c r="D702" s="8" t="inlineStr">
        <is>
          <t>DMSC</t>
        </is>
      </c>
      <c r="E702" s="8" t="inlineStr">
        <is>
          <t>R Chidakel</t>
        </is>
      </c>
      <c r="F702" s="8" t="n">
        <v>1</v>
      </c>
      <c r="G702" s="8" t="n">
        <v>1</v>
      </c>
      <c r="H702" s="8" t="n">
        <v>1</v>
      </c>
      <c r="I702" s="8" t="n">
        <v>0</v>
      </c>
      <c r="J702" s="8" t="n">
        <v>0</v>
      </c>
      <c r="K702" s="8" t="n">
        <v>1</v>
      </c>
      <c r="L702" s="8" t="n">
        <v>0</v>
      </c>
      <c r="M702" s="8" t="n">
        <v>0</v>
      </c>
      <c r="N702" s="8" t="n">
        <v>0</v>
      </c>
      <c r="O702" s="8" t="n">
        <v>0</v>
      </c>
      <c r="R702" s="8" t="n">
        <v>1</v>
      </c>
      <c r="S702" s="8" t="n">
        <v>2</v>
      </c>
      <c r="T702" s="8" t="n">
        <v>0</v>
      </c>
      <c r="U702" s="8" t="n">
        <v>0</v>
      </c>
      <c r="W702" s="8" t="n">
        <v>0</v>
      </c>
      <c r="Y702" s="8" t="inlineStr">
        <is>
          <t>Name in source: Ryan Chidakel</t>
        </is>
      </c>
    </row>
    <row r="703" ht="15.75" customHeight="1" s="35">
      <c r="A703" s="8" t="inlineStr">
        <is>
          <t>2026-03-31_DMSC_at_HWRD</t>
        </is>
      </c>
      <c r="B703" s="2" t="n">
        <v>46112</v>
      </c>
      <c r="C703" s="8" t="inlineStr">
        <is>
          <t>Howard Varsity Lions</t>
        </is>
      </c>
      <c r="D703" s="8" t="inlineStr">
        <is>
          <t>DMSC</t>
        </is>
      </c>
      <c r="E703" s="8" t="inlineStr">
        <is>
          <t>Zach Westbrooks</t>
        </is>
      </c>
      <c r="F703" s="8" t="n">
        <v>4</v>
      </c>
      <c r="G703" s="8" t="n">
        <v>2</v>
      </c>
      <c r="H703" s="8" t="n">
        <v>2</v>
      </c>
      <c r="I703" s="8" t="n">
        <v>2</v>
      </c>
      <c r="J703" s="8" t="n">
        <v>0</v>
      </c>
      <c r="K703" s="8" t="n">
        <v>0</v>
      </c>
      <c r="L703" s="8" t="n">
        <v>0</v>
      </c>
      <c r="M703" s="8" t="n">
        <v>2</v>
      </c>
      <c r="N703" s="8" t="n">
        <v>0</v>
      </c>
      <c r="O703" s="8" t="n">
        <v>0</v>
      </c>
      <c r="R703" s="8" t="n">
        <v>3</v>
      </c>
      <c r="S703" s="8" t="n">
        <v>1</v>
      </c>
      <c r="T703" s="8" t="n">
        <v>2</v>
      </c>
      <c r="U703" s="8" t="n">
        <v>0</v>
      </c>
      <c r="W703" s="8" t="n">
        <v>0</v>
      </c>
    </row>
    <row r="704" ht="15.75" customHeight="1" s="35">
      <c r="A704" s="8" t="inlineStr">
        <is>
          <t>2026-03-31_DMSC_at_HWRD</t>
        </is>
      </c>
      <c r="B704" s="2" t="n">
        <v>46112</v>
      </c>
      <c r="C704" s="8" t="inlineStr">
        <is>
          <t>Howard Varsity Lions</t>
        </is>
      </c>
      <c r="D704" s="8" t="inlineStr">
        <is>
          <t>DMSC</t>
        </is>
      </c>
      <c r="E704" s="8" t="inlineStr">
        <is>
          <t>Brady Stewart</t>
        </is>
      </c>
      <c r="F704" s="8" t="n">
        <v>2</v>
      </c>
      <c r="G704" s="8" t="n">
        <v>2</v>
      </c>
      <c r="H704" s="8" t="n">
        <v>1</v>
      </c>
      <c r="I704" s="8" t="n">
        <v>1</v>
      </c>
      <c r="J704" s="8" t="n">
        <v>0</v>
      </c>
      <c r="K704" s="8" t="n">
        <v>0</v>
      </c>
      <c r="L704" s="8" t="n">
        <v>0</v>
      </c>
      <c r="M704" s="8" t="n">
        <v>0</v>
      </c>
      <c r="N704" s="8" t="n">
        <v>0</v>
      </c>
      <c r="O704" s="8" t="n">
        <v>1</v>
      </c>
      <c r="R704" s="8" t="n">
        <v>0</v>
      </c>
      <c r="S704" s="8" t="n">
        <v>1</v>
      </c>
      <c r="T704" s="8" t="n">
        <v>1</v>
      </c>
      <c r="U704" s="8" t="n">
        <v>0</v>
      </c>
      <c r="W704" s="8" t="n">
        <v>0</v>
      </c>
    </row>
    <row r="705" ht="15.75" customHeight="1" s="35">
      <c r="A705" s="8" t="inlineStr">
        <is>
          <t>2026-03-31_DMSC_at_HWRD</t>
        </is>
      </c>
      <c r="B705" s="2" t="n">
        <v>46112</v>
      </c>
      <c r="C705" s="8" t="inlineStr">
        <is>
          <t>Howard Varsity Lions</t>
        </is>
      </c>
      <c r="D705" s="8" t="inlineStr">
        <is>
          <t>DMSC</t>
        </is>
      </c>
      <c r="E705" s="8" t="inlineStr">
        <is>
          <t>L Curtin</t>
        </is>
      </c>
      <c r="F705" s="8" t="n">
        <v>2</v>
      </c>
      <c r="G705" s="8" t="n">
        <v>2</v>
      </c>
      <c r="H705" s="8" t="n">
        <v>1</v>
      </c>
      <c r="I705" s="8" t="n">
        <v>1</v>
      </c>
      <c r="J705" s="8" t="n">
        <v>0</v>
      </c>
      <c r="K705" s="8" t="n">
        <v>0</v>
      </c>
      <c r="L705" s="8" t="n">
        <v>0</v>
      </c>
      <c r="M705" s="8" t="n">
        <v>0</v>
      </c>
      <c r="N705" s="8" t="n">
        <v>0</v>
      </c>
      <c r="O705" s="8" t="n">
        <v>0</v>
      </c>
      <c r="R705" s="8" t="n">
        <v>0</v>
      </c>
      <c r="S705" s="8" t="n">
        <v>0</v>
      </c>
      <c r="T705" s="8" t="n">
        <v>1</v>
      </c>
      <c r="U705" s="8" t="n">
        <v>0</v>
      </c>
      <c r="W705" s="8" t="n">
        <v>0</v>
      </c>
      <c r="Y705" s="8" t="inlineStr">
        <is>
          <t>Name in source: Liam Curtin</t>
        </is>
      </c>
    </row>
    <row r="706" ht="15.75" customHeight="1" s="35">
      <c r="A706" s="8" t="inlineStr">
        <is>
          <t>2026-03-31_DMSC_at_HWRD</t>
        </is>
      </c>
      <c r="B706" s="2" t="n">
        <v>46112</v>
      </c>
      <c r="C706" s="8" t="inlineStr">
        <is>
          <t>Damascus Varsity Hornets</t>
        </is>
      </c>
      <c r="D706" s="8" t="inlineStr">
        <is>
          <t>HWRD</t>
        </is>
      </c>
      <c r="E706" s="8" t="inlineStr">
        <is>
          <t>C Parise</t>
        </is>
      </c>
      <c r="F706" s="8" t="n">
        <v>2</v>
      </c>
      <c r="G706" s="8" t="n">
        <v>2</v>
      </c>
      <c r="H706" s="8" t="n">
        <v>1</v>
      </c>
      <c r="I706" s="8" t="n">
        <v>1</v>
      </c>
      <c r="J706" s="8" t="n">
        <v>0</v>
      </c>
      <c r="K706" s="8" t="n">
        <v>0</v>
      </c>
      <c r="L706" s="8" t="n">
        <v>0</v>
      </c>
      <c r="M706" s="8" t="n">
        <v>0</v>
      </c>
      <c r="N706" s="8" t="n">
        <v>0</v>
      </c>
      <c r="O706" s="8" t="n">
        <v>0</v>
      </c>
      <c r="R706" s="8" t="n">
        <v>0</v>
      </c>
      <c r="S706" s="8" t="n">
        <v>0</v>
      </c>
      <c r="T706" s="8" t="n">
        <v>0</v>
      </c>
      <c r="U706" s="8" t="n">
        <v>1</v>
      </c>
      <c r="W706" s="8" t="n">
        <v>0</v>
      </c>
      <c r="Y706" s="8" t="inlineStr">
        <is>
          <t>Name in source: Carter Parise</t>
        </is>
      </c>
    </row>
    <row r="707" ht="15.75" customHeight="1" s="35">
      <c r="A707" s="8" t="inlineStr">
        <is>
          <t>2026-03-31_DMSC_at_HWRD</t>
        </is>
      </c>
      <c r="B707" s="2" t="n">
        <v>46112</v>
      </c>
      <c r="C707" s="8" t="inlineStr">
        <is>
          <t>Damascus Varsity Hornets</t>
        </is>
      </c>
      <c r="D707" s="8" t="inlineStr">
        <is>
          <t>HWRD</t>
        </is>
      </c>
      <c r="E707" s="8" t="inlineStr">
        <is>
          <t>Ryan Song</t>
        </is>
      </c>
      <c r="F707" s="8" t="n">
        <v>1</v>
      </c>
      <c r="G707" s="8" t="n">
        <v>1</v>
      </c>
      <c r="H707" s="8" t="n">
        <v>0</v>
      </c>
      <c r="I707" s="8" t="n">
        <v>0</v>
      </c>
      <c r="J707" s="8" t="n">
        <v>0</v>
      </c>
      <c r="K707" s="8" t="n">
        <v>0</v>
      </c>
      <c r="L707" s="8" t="n">
        <v>0</v>
      </c>
      <c r="M707" s="8" t="n">
        <v>0</v>
      </c>
      <c r="N707" s="8" t="n">
        <v>0</v>
      </c>
      <c r="O707" s="8" t="n">
        <v>0</v>
      </c>
      <c r="R707" s="8" t="n">
        <v>0</v>
      </c>
      <c r="S707" s="8" t="n">
        <v>0</v>
      </c>
      <c r="T707" s="8" t="n">
        <v>0</v>
      </c>
      <c r="U707" s="8" t="n">
        <v>0</v>
      </c>
      <c r="W707" s="8" t="n">
        <v>0</v>
      </c>
    </row>
    <row r="708" ht="15.75" customHeight="1" s="35">
      <c r="A708" s="8" t="inlineStr">
        <is>
          <t>2026-03-31_DMSC_at_HWRD</t>
        </is>
      </c>
      <c r="B708" s="2" t="n">
        <v>46112</v>
      </c>
      <c r="C708" s="8" t="inlineStr">
        <is>
          <t>Damascus Varsity Hornets</t>
        </is>
      </c>
      <c r="D708" s="8" t="inlineStr">
        <is>
          <t>HWRD</t>
        </is>
      </c>
      <c r="E708" s="8" t="inlineStr">
        <is>
          <t>B Giangrasso</t>
        </is>
      </c>
      <c r="F708" s="8" t="n">
        <v>2</v>
      </c>
      <c r="G708" s="8" t="n">
        <v>2</v>
      </c>
      <c r="H708" s="8" t="n">
        <v>1</v>
      </c>
      <c r="I708" s="8" t="n">
        <v>0</v>
      </c>
      <c r="J708" s="8" t="n">
        <v>1</v>
      </c>
      <c r="K708" s="8" t="n">
        <v>0</v>
      </c>
      <c r="L708" s="8" t="n">
        <v>0</v>
      </c>
      <c r="M708" s="8" t="n">
        <v>0</v>
      </c>
      <c r="N708" s="8" t="n">
        <v>0</v>
      </c>
      <c r="O708" s="8" t="n">
        <v>0</v>
      </c>
      <c r="R708" s="8" t="n">
        <v>0</v>
      </c>
      <c r="S708" s="8" t="n">
        <v>0</v>
      </c>
      <c r="T708" s="8" t="n">
        <v>0</v>
      </c>
      <c r="U708" s="8" t="n">
        <v>0</v>
      </c>
      <c r="W708" s="8" t="n">
        <v>0</v>
      </c>
      <c r="Y708" s="8" t="inlineStr">
        <is>
          <t>Name in source: Brennan Giangrasso</t>
        </is>
      </c>
    </row>
    <row r="709" ht="15.75" customHeight="1" s="35">
      <c r="A709" s="8" t="inlineStr">
        <is>
          <t>2026-03-31_DMSC_at_HWRD</t>
        </is>
      </c>
      <c r="B709" s="2" t="n">
        <v>46112</v>
      </c>
      <c r="C709" s="8" t="inlineStr">
        <is>
          <t>Damascus Varsity Hornets</t>
        </is>
      </c>
      <c r="D709" s="8" t="inlineStr">
        <is>
          <t>HWRD</t>
        </is>
      </c>
      <c r="E709" s="8" t="inlineStr">
        <is>
          <t>Nick Davis</t>
        </is>
      </c>
      <c r="F709" s="8" t="n">
        <v>1</v>
      </c>
      <c r="G709" s="8" t="n">
        <v>1</v>
      </c>
      <c r="H709" s="8" t="n">
        <v>0</v>
      </c>
      <c r="I709" s="8" t="n">
        <v>0</v>
      </c>
      <c r="J709" s="8" t="n">
        <v>0</v>
      </c>
      <c r="K709" s="8" t="n">
        <v>0</v>
      </c>
      <c r="L709" s="8" t="n">
        <v>0</v>
      </c>
      <c r="M709" s="8" t="n">
        <v>0</v>
      </c>
      <c r="N709" s="8" t="n">
        <v>0</v>
      </c>
      <c r="O709" s="8" t="n">
        <v>0</v>
      </c>
      <c r="R709" s="8" t="n">
        <v>0</v>
      </c>
      <c r="S709" s="8" t="n">
        <v>0</v>
      </c>
      <c r="T709" s="8" t="n">
        <v>0</v>
      </c>
      <c r="U709" s="8" t="n">
        <v>0</v>
      </c>
      <c r="W709" s="8" t="n">
        <v>0</v>
      </c>
    </row>
    <row r="710" ht="15.75" customHeight="1" s="35">
      <c r="A710" s="8" t="inlineStr">
        <is>
          <t>2026-03-31_DMSC_at_HWRD</t>
        </is>
      </c>
      <c r="B710" s="2" t="n">
        <v>46112</v>
      </c>
      <c r="C710" s="8" t="inlineStr">
        <is>
          <t>Damascus Varsity Hornets</t>
        </is>
      </c>
      <c r="D710" s="8" t="inlineStr">
        <is>
          <t>HWRD</t>
        </is>
      </c>
      <c r="E710" s="8" t="inlineStr">
        <is>
          <t>G Nystrom</t>
        </is>
      </c>
      <c r="F710" s="8" t="n">
        <v>2</v>
      </c>
      <c r="G710" s="8" t="n">
        <v>2</v>
      </c>
      <c r="H710" s="8" t="n">
        <v>0</v>
      </c>
      <c r="I710" s="8" t="n">
        <v>0</v>
      </c>
      <c r="J710" s="8" t="n">
        <v>0</v>
      </c>
      <c r="K710" s="8" t="n">
        <v>0</v>
      </c>
      <c r="L710" s="8" t="n">
        <v>0</v>
      </c>
      <c r="M710" s="8" t="n">
        <v>0</v>
      </c>
      <c r="N710" s="8" t="n">
        <v>0</v>
      </c>
      <c r="O710" s="8" t="n">
        <v>0</v>
      </c>
      <c r="R710" s="8" t="n">
        <v>0</v>
      </c>
      <c r="S710" s="8" t="n">
        <v>0</v>
      </c>
      <c r="T710" s="8" t="n">
        <v>0</v>
      </c>
      <c r="U710" s="8" t="n">
        <v>0</v>
      </c>
      <c r="W710" s="8" t="n">
        <v>0</v>
      </c>
      <c r="Y710" s="8" t="inlineStr">
        <is>
          <t>Name in source: Gavin Nystrom</t>
        </is>
      </c>
    </row>
    <row r="711" ht="15.75" customHeight="1" s="35">
      <c r="A711" s="8" t="inlineStr">
        <is>
          <t>2026-03-31_DMSC_at_HWRD</t>
        </is>
      </c>
      <c r="B711" s="2" t="n">
        <v>46112</v>
      </c>
      <c r="C711" s="8" t="inlineStr">
        <is>
          <t>Damascus Varsity Hornets</t>
        </is>
      </c>
      <c r="D711" s="8" t="inlineStr">
        <is>
          <t>HWRD</t>
        </is>
      </c>
      <c r="E711" s="8" t="inlineStr">
        <is>
          <t>Gibson Martin</t>
        </is>
      </c>
      <c r="F711" s="8" t="n">
        <v>1</v>
      </c>
      <c r="G711" s="8" t="n">
        <v>1</v>
      </c>
      <c r="H711" s="8" t="n">
        <v>0</v>
      </c>
      <c r="I711" s="8" t="n">
        <v>0</v>
      </c>
      <c r="J711" s="8" t="n">
        <v>0</v>
      </c>
      <c r="K711" s="8" t="n">
        <v>0</v>
      </c>
      <c r="L711" s="8" t="n">
        <v>0</v>
      </c>
      <c r="M711" s="8" t="n">
        <v>0</v>
      </c>
      <c r="N711" s="8" t="n">
        <v>0</v>
      </c>
      <c r="O711" s="8" t="n">
        <v>0</v>
      </c>
      <c r="R711" s="8" t="n">
        <v>0</v>
      </c>
      <c r="S711" s="8" t="n">
        <v>0</v>
      </c>
      <c r="T711" s="8" t="n">
        <v>0</v>
      </c>
      <c r="U711" s="8" t="n">
        <v>0</v>
      </c>
      <c r="W711" s="8" t="n">
        <v>0</v>
      </c>
    </row>
    <row r="712" ht="15.75" customHeight="1" s="35">
      <c r="A712" s="8" t="inlineStr">
        <is>
          <t>2026-03-31_DMSC_at_HWRD</t>
        </is>
      </c>
      <c r="B712" s="2" t="n">
        <v>46112</v>
      </c>
      <c r="C712" s="8" t="inlineStr">
        <is>
          <t>Damascus Varsity Hornets</t>
        </is>
      </c>
      <c r="D712" s="8" t="inlineStr">
        <is>
          <t>HWRD</t>
        </is>
      </c>
      <c r="E712" s="8" t="inlineStr">
        <is>
          <t>A Proescher</t>
        </is>
      </c>
      <c r="F712" s="8" t="n">
        <v>1</v>
      </c>
      <c r="G712" s="8" t="n">
        <v>1</v>
      </c>
      <c r="H712" s="8" t="n">
        <v>0</v>
      </c>
      <c r="I712" s="8" t="n">
        <v>0</v>
      </c>
      <c r="J712" s="8" t="n">
        <v>0</v>
      </c>
      <c r="K712" s="8" t="n">
        <v>0</v>
      </c>
      <c r="L712" s="8" t="n">
        <v>0</v>
      </c>
      <c r="M712" s="8" t="n">
        <v>0</v>
      </c>
      <c r="N712" s="8" t="n">
        <v>0</v>
      </c>
      <c r="O712" s="8" t="n">
        <v>1</v>
      </c>
      <c r="R712" s="8" t="n">
        <v>0</v>
      </c>
      <c r="S712" s="8" t="n">
        <v>0</v>
      </c>
      <c r="T712" s="8" t="n">
        <v>0</v>
      </c>
      <c r="U712" s="8" t="n">
        <v>0</v>
      </c>
      <c r="W712" s="8" t="n">
        <v>0</v>
      </c>
      <c r="Y712" s="8" t="inlineStr">
        <is>
          <t>Name in source: Austin Proescher</t>
        </is>
      </c>
    </row>
    <row r="713" ht="15.75" customHeight="1" s="35">
      <c r="A713" s="8" t="inlineStr">
        <is>
          <t>2026-03-31_DMSC_at_HWRD</t>
        </is>
      </c>
      <c r="B713" s="2" t="n">
        <v>46112</v>
      </c>
      <c r="C713" s="8" t="inlineStr">
        <is>
          <t>Damascus Varsity Hornets</t>
        </is>
      </c>
      <c r="D713" s="8" t="inlineStr">
        <is>
          <t>HWRD</t>
        </is>
      </c>
      <c r="E713" s="8" t="inlineStr">
        <is>
          <t>C Hudson</t>
        </is>
      </c>
      <c r="F713" s="8" t="n">
        <v>1</v>
      </c>
      <c r="G713" s="8" t="n">
        <v>1</v>
      </c>
      <c r="H713" s="8" t="n">
        <v>0</v>
      </c>
      <c r="I713" s="8" t="n">
        <v>0</v>
      </c>
      <c r="J713" s="8" t="n">
        <v>0</v>
      </c>
      <c r="K713" s="8" t="n">
        <v>0</v>
      </c>
      <c r="L713" s="8" t="n">
        <v>0</v>
      </c>
      <c r="M713" s="8" t="n">
        <v>0</v>
      </c>
      <c r="N713" s="8" t="n">
        <v>0</v>
      </c>
      <c r="O713" s="8" t="n">
        <v>0</v>
      </c>
      <c r="R713" s="8" t="n">
        <v>0</v>
      </c>
      <c r="S713" s="8" t="n">
        <v>0</v>
      </c>
      <c r="T713" s="8" t="n">
        <v>0</v>
      </c>
      <c r="U713" s="8" t="n">
        <v>0</v>
      </c>
      <c r="W713" s="8" t="n">
        <v>0</v>
      </c>
      <c r="Y713" s="8" t="inlineStr">
        <is>
          <t>Name in source: Carter Hudson</t>
        </is>
      </c>
    </row>
    <row r="714" ht="15.75" customHeight="1" s="35">
      <c r="A714" s="8" t="inlineStr">
        <is>
          <t>2026-03-31_DMSC_at_HWRD</t>
        </is>
      </c>
      <c r="B714" s="2" t="n">
        <v>46112</v>
      </c>
      <c r="C714" s="8" t="inlineStr">
        <is>
          <t>Damascus Varsity Hornets</t>
        </is>
      </c>
      <c r="D714" s="8" t="inlineStr">
        <is>
          <t>HWRD</t>
        </is>
      </c>
      <c r="E714" s="8" t="inlineStr">
        <is>
          <t>D Heim</t>
        </is>
      </c>
      <c r="F714" s="8" t="n">
        <v>2</v>
      </c>
      <c r="G714" s="8" t="n">
        <v>2</v>
      </c>
      <c r="H714" s="8" t="n">
        <v>0</v>
      </c>
      <c r="I714" s="8" t="n">
        <v>0</v>
      </c>
      <c r="J714" s="8" t="n">
        <v>0</v>
      </c>
      <c r="K714" s="8" t="n">
        <v>0</v>
      </c>
      <c r="L714" s="8" t="n">
        <v>0</v>
      </c>
      <c r="M714" s="8" t="n">
        <v>0</v>
      </c>
      <c r="N714" s="8" t="n">
        <v>0</v>
      </c>
      <c r="O714" s="8" t="n">
        <v>2</v>
      </c>
      <c r="R714" s="8" t="n">
        <v>0</v>
      </c>
      <c r="S714" s="8" t="n">
        <v>0</v>
      </c>
      <c r="T714" s="8" t="n">
        <v>0</v>
      </c>
      <c r="U714" s="8" t="n">
        <v>0</v>
      </c>
      <c r="W714" s="8" t="n">
        <v>0</v>
      </c>
      <c r="Y714" s="8" t="inlineStr">
        <is>
          <t>Name in source: Darren Heim</t>
        </is>
      </c>
    </row>
    <row r="715" ht="15.75" customHeight="1" s="35">
      <c r="A715" s="8" t="inlineStr">
        <is>
          <t>2026-03-31_DMSC_at_HWRD</t>
        </is>
      </c>
      <c r="B715" s="2" t="n">
        <v>46112</v>
      </c>
      <c r="C715" s="8" t="inlineStr">
        <is>
          <t>Damascus Varsity Hornets</t>
        </is>
      </c>
      <c r="D715" s="8" t="inlineStr">
        <is>
          <t>HWRD</t>
        </is>
      </c>
      <c r="E715" s="8" t="inlineStr">
        <is>
          <t>B Sawyer</t>
        </is>
      </c>
      <c r="F715" s="8" t="n">
        <v>1</v>
      </c>
      <c r="G715" s="8" t="n">
        <v>1</v>
      </c>
      <c r="H715" s="8" t="n">
        <v>0</v>
      </c>
      <c r="I715" s="8" t="n">
        <v>0</v>
      </c>
      <c r="J715" s="8" t="n">
        <v>0</v>
      </c>
      <c r="K715" s="8" t="n">
        <v>0</v>
      </c>
      <c r="L715" s="8" t="n">
        <v>0</v>
      </c>
      <c r="M715" s="8" t="n">
        <v>0</v>
      </c>
      <c r="N715" s="8" t="n">
        <v>0</v>
      </c>
      <c r="O715" s="8" t="n">
        <v>0</v>
      </c>
      <c r="R715" s="8" t="n">
        <v>0</v>
      </c>
      <c r="S715" s="8" t="n">
        <v>0</v>
      </c>
      <c r="T715" s="8" t="n">
        <v>0</v>
      </c>
      <c r="U715" s="8" t="n">
        <v>0</v>
      </c>
      <c r="W715" s="8" t="n">
        <v>0</v>
      </c>
      <c r="Y715" s="8" t="inlineStr">
        <is>
          <t>Name in source: Brady Sawyer</t>
        </is>
      </c>
    </row>
    <row r="716" ht="15.75" customHeight="1" s="35">
      <c r="A716" s="8" t="inlineStr">
        <is>
          <t>2026-03-31_DMSC_at_HWRD</t>
        </is>
      </c>
      <c r="B716" s="2" t="n">
        <v>46112</v>
      </c>
      <c r="C716" s="8" t="inlineStr">
        <is>
          <t>Damascus Varsity Hornets</t>
        </is>
      </c>
      <c r="D716" s="8" t="inlineStr">
        <is>
          <t>HWRD</t>
        </is>
      </c>
      <c r="E716" s="8" t="inlineStr">
        <is>
          <t>Z Blair</t>
        </is>
      </c>
      <c r="F716" s="8" t="n">
        <v>1</v>
      </c>
      <c r="G716" s="8" t="n">
        <v>1</v>
      </c>
      <c r="H716" s="8" t="n">
        <v>0</v>
      </c>
      <c r="I716" s="8" t="n">
        <v>0</v>
      </c>
      <c r="J716" s="8" t="n">
        <v>0</v>
      </c>
      <c r="K716" s="8" t="n">
        <v>0</v>
      </c>
      <c r="L716" s="8" t="n">
        <v>0</v>
      </c>
      <c r="M716" s="8" t="n">
        <v>0</v>
      </c>
      <c r="N716" s="8" t="n">
        <v>0</v>
      </c>
      <c r="O716" s="8" t="n">
        <v>0</v>
      </c>
      <c r="R716" s="8" t="n">
        <v>0</v>
      </c>
      <c r="S716" s="8" t="n">
        <v>0</v>
      </c>
      <c r="T716" s="8" t="n">
        <v>0</v>
      </c>
      <c r="U716" s="8" t="n">
        <v>0</v>
      </c>
      <c r="W716" s="8" t="n">
        <v>0</v>
      </c>
      <c r="Y716" s="8" t="inlineStr">
        <is>
          <t>Name in source: Zach Blair</t>
        </is>
      </c>
    </row>
    <row r="717" ht="15.75" customHeight="1" s="35">
      <c r="A717" s="8" t="inlineStr">
        <is>
          <t>2026-03-31_DMSC_at_HWRD</t>
        </is>
      </c>
      <c r="B717" s="2" t="n">
        <v>46112</v>
      </c>
      <c r="C717" s="8" t="inlineStr">
        <is>
          <t>Damascus Varsity Hornets</t>
        </is>
      </c>
      <c r="D717" s="8" t="inlineStr">
        <is>
          <t>HWRD</t>
        </is>
      </c>
      <c r="E717" s="8" t="inlineStr">
        <is>
          <t>D Alves</t>
        </is>
      </c>
      <c r="F717" s="8" t="n">
        <v>1</v>
      </c>
      <c r="G717" s="8" t="n">
        <v>1</v>
      </c>
      <c r="H717" s="8" t="n">
        <v>0</v>
      </c>
      <c r="I717" s="8" t="n">
        <v>0</v>
      </c>
      <c r="J717" s="8" t="n">
        <v>0</v>
      </c>
      <c r="K717" s="8" t="n">
        <v>0</v>
      </c>
      <c r="L717" s="8" t="n">
        <v>0</v>
      </c>
      <c r="M717" s="8" t="n">
        <v>0</v>
      </c>
      <c r="N717" s="8" t="n">
        <v>0</v>
      </c>
      <c r="O717" s="8" t="n">
        <v>0</v>
      </c>
      <c r="R717" s="8" t="n">
        <v>0</v>
      </c>
      <c r="S717" s="8" t="n">
        <v>0</v>
      </c>
      <c r="T717" s="8" t="n">
        <v>0</v>
      </c>
      <c r="U717" s="8" t="n">
        <v>0</v>
      </c>
      <c r="W717" s="8" t="n">
        <v>0</v>
      </c>
      <c r="Y717" s="8" t="inlineStr">
        <is>
          <t>Name in source: Dominic Alves</t>
        </is>
      </c>
    </row>
    <row r="718" ht="15.75" customHeight="1" s="35">
      <c r="A718" s="8" t="inlineStr">
        <is>
          <t>2026-03-31_DMSC_at_HWRD</t>
        </is>
      </c>
      <c r="B718" s="2" t="n">
        <v>46112</v>
      </c>
      <c r="C718" s="8" t="inlineStr">
        <is>
          <t>Damascus Varsity Hornets</t>
        </is>
      </c>
      <c r="D718" s="8" t="inlineStr">
        <is>
          <t>HWRD</t>
        </is>
      </c>
      <c r="E718" s="8" t="inlineStr">
        <is>
          <t>Creighton Lombardi-Gerber</t>
        </is>
      </c>
      <c r="F718" s="8" t="n">
        <v>1</v>
      </c>
      <c r="G718" s="8" t="n">
        <v>1</v>
      </c>
      <c r="H718" s="8" t="n">
        <v>0</v>
      </c>
      <c r="I718" s="8" t="n">
        <v>0</v>
      </c>
      <c r="J718" s="8" t="n">
        <v>0</v>
      </c>
      <c r="K718" s="8" t="n">
        <v>0</v>
      </c>
      <c r="L718" s="8" t="n">
        <v>0</v>
      </c>
      <c r="M718" s="8" t="n">
        <v>0</v>
      </c>
      <c r="N718" s="8" t="n">
        <v>0</v>
      </c>
      <c r="O718" s="8" t="n">
        <v>0</v>
      </c>
      <c r="R718" s="8" t="n">
        <v>0</v>
      </c>
      <c r="S718" s="8" t="n">
        <v>0</v>
      </c>
      <c r="T718" s="8" t="n">
        <v>0</v>
      </c>
      <c r="U718" s="8" t="n">
        <v>0</v>
      </c>
      <c r="W718" s="8" t="n">
        <v>0</v>
      </c>
    </row>
    <row r="719" ht="15.75" customHeight="1" s="35">
      <c r="A719" s="8" t="inlineStr">
        <is>
          <t>2026-03-31_DMSC_at_HWRD</t>
        </is>
      </c>
      <c r="B719" s="2" t="n">
        <v>46112</v>
      </c>
      <c r="C719" s="8" t="inlineStr">
        <is>
          <t>Damascus Varsity Hornets</t>
        </is>
      </c>
      <c r="D719" s="8" t="inlineStr">
        <is>
          <t>HWRD</t>
        </is>
      </c>
      <c r="E719" s="8" t="inlineStr">
        <is>
          <t>N Hegedus</t>
        </is>
      </c>
      <c r="F719" s="8" t="n">
        <v>1</v>
      </c>
      <c r="G719" s="8" t="n">
        <v>1</v>
      </c>
      <c r="H719" s="8" t="n">
        <v>0</v>
      </c>
      <c r="I719" s="8" t="n">
        <v>0</v>
      </c>
      <c r="J719" s="8" t="n">
        <v>0</v>
      </c>
      <c r="K719" s="8" t="n">
        <v>0</v>
      </c>
      <c r="L719" s="8" t="n">
        <v>0</v>
      </c>
      <c r="M719" s="8" t="n">
        <v>0</v>
      </c>
      <c r="N719" s="8" t="n">
        <v>0</v>
      </c>
      <c r="O719" s="8" t="n">
        <v>0</v>
      </c>
      <c r="R719" s="8" t="n">
        <v>0</v>
      </c>
      <c r="S719" s="8" t="n">
        <v>0</v>
      </c>
      <c r="T719" s="8" t="n">
        <v>0</v>
      </c>
      <c r="U719" s="8" t="n">
        <v>0</v>
      </c>
      <c r="W719" s="8" t="n">
        <v>0</v>
      </c>
      <c r="Y719" s="8" t="inlineStr">
        <is>
          <t>Name in source: Nate Hegedus</t>
        </is>
      </c>
    </row>
    <row r="720" ht="15.75" customHeight="1" s="35">
      <c r="A720" s="8" t="inlineStr">
        <is>
          <t>2026-03-31_DMSC_at_HWRD</t>
        </is>
      </c>
      <c r="B720" s="2" t="n">
        <v>46112</v>
      </c>
      <c r="C720" s="8" t="inlineStr">
        <is>
          <t>Damascus Varsity Hornets</t>
        </is>
      </c>
      <c r="D720" s="8" t="inlineStr">
        <is>
          <t>HWRD</t>
        </is>
      </c>
      <c r="E720" s="8" t="inlineStr">
        <is>
          <t>Ryan Su</t>
        </is>
      </c>
      <c r="F720" s="8" t="n">
        <v>1</v>
      </c>
      <c r="G720" s="8" t="n">
        <v>1</v>
      </c>
      <c r="H720" s="8" t="n">
        <v>0</v>
      </c>
      <c r="I720" s="8" t="n">
        <v>0</v>
      </c>
      <c r="J720" s="8" t="n">
        <v>0</v>
      </c>
      <c r="K720" s="8" t="n">
        <v>0</v>
      </c>
      <c r="L720" s="8" t="n">
        <v>0</v>
      </c>
      <c r="M720" s="8" t="n">
        <v>0</v>
      </c>
      <c r="N720" s="8" t="n">
        <v>0</v>
      </c>
      <c r="O720" s="8" t="n">
        <v>0</v>
      </c>
      <c r="R720" s="8" t="n">
        <v>0</v>
      </c>
      <c r="S720" s="8" t="n">
        <v>0</v>
      </c>
      <c r="T720" s="8" t="n">
        <v>0</v>
      </c>
      <c r="U720" s="8" t="n">
        <v>0</v>
      </c>
      <c r="W720" s="8" t="n">
        <v>0</v>
      </c>
    </row>
    <row r="721" ht="15.75" customHeight="1" s="35">
      <c r="A721" s="8" t="inlineStr">
        <is>
          <t>2026-03-31_DMSC_at_HWRD</t>
        </is>
      </c>
      <c r="B721" s="2" t="n">
        <v>46112</v>
      </c>
      <c r="C721" s="8" t="inlineStr">
        <is>
          <t>Damascus Varsity Hornets</t>
        </is>
      </c>
      <c r="D721" s="8" t="inlineStr">
        <is>
          <t>HWRD</t>
        </is>
      </c>
      <c r="E721" s="8" t="inlineStr">
        <is>
          <t>Max Parise</t>
        </is>
      </c>
      <c r="F721" s="8" t="n">
        <v>2</v>
      </c>
      <c r="G721" s="8" t="n">
        <v>1</v>
      </c>
      <c r="H721" s="8" t="n">
        <v>0</v>
      </c>
      <c r="I721" s="8" t="n">
        <v>0</v>
      </c>
      <c r="J721" s="8" t="n">
        <v>0</v>
      </c>
      <c r="K721" s="8" t="n">
        <v>0</v>
      </c>
      <c r="L721" s="8" t="n">
        <v>0</v>
      </c>
      <c r="M721" s="8" t="n">
        <v>1</v>
      </c>
      <c r="N721" s="8" t="n">
        <v>0</v>
      </c>
      <c r="O721" s="8" t="n">
        <v>0</v>
      </c>
      <c r="R721" s="8" t="n">
        <v>0</v>
      </c>
      <c r="S721" s="8" t="n">
        <v>0</v>
      </c>
      <c r="T721" s="8" t="n">
        <v>0</v>
      </c>
      <c r="U721" s="8" t="n">
        <v>0</v>
      </c>
      <c r="W721" s="8" t="n">
        <v>0</v>
      </c>
    </row>
    <row r="722" ht="15.75" customHeight="1" s="35">
      <c r="A722" s="8" t="inlineStr">
        <is>
          <t>2026-03-21_HWRD_at_HMMN</t>
        </is>
      </c>
      <c r="B722" s="2" t="n">
        <v>46102</v>
      </c>
      <c r="C722" s="8" t="inlineStr">
        <is>
          <t>Hammond Varsity Bears</t>
        </is>
      </c>
      <c r="D722" s="8" t="inlineStr">
        <is>
          <t>HWRD</t>
        </is>
      </c>
      <c r="E722" s="8" t="inlineStr">
        <is>
          <t>B Giangrasso</t>
        </is>
      </c>
      <c r="F722" s="8" t="n">
        <v>5</v>
      </c>
      <c r="G722" s="8" t="n">
        <v>5</v>
      </c>
      <c r="H722" s="8" t="n">
        <v>1</v>
      </c>
      <c r="I722" s="8" t="n">
        <v>1</v>
      </c>
      <c r="J722" s="8" t="n">
        <v>0</v>
      </c>
      <c r="K722" s="8" t="n">
        <v>0</v>
      </c>
      <c r="L722" s="8" t="n">
        <v>0</v>
      </c>
      <c r="M722" s="8" t="n">
        <v>0</v>
      </c>
      <c r="N722" s="8" t="n">
        <v>0</v>
      </c>
      <c r="O722" s="8" t="n">
        <v>1</v>
      </c>
      <c r="R722" s="8" t="n">
        <v>0</v>
      </c>
      <c r="S722" s="8" t="n">
        <v>0</v>
      </c>
      <c r="T722" s="8" t="n">
        <v>0</v>
      </c>
      <c r="U722" s="8" t="n">
        <v>0</v>
      </c>
      <c r="W722" s="8" t="n">
        <v>0</v>
      </c>
      <c r="Y722" s="8" t="inlineStr">
        <is>
          <t>Name in source: Brennan Giangrasso</t>
        </is>
      </c>
    </row>
    <row r="723" ht="15.75" customHeight="1" s="35">
      <c r="A723" s="8" t="inlineStr">
        <is>
          <t>2026-03-21_HWRD_at_HMMN</t>
        </is>
      </c>
      <c r="B723" s="2" t="n">
        <v>46102</v>
      </c>
      <c r="C723" s="8" t="inlineStr">
        <is>
          <t>Hammond Varsity Bears</t>
        </is>
      </c>
      <c r="D723" s="8" t="inlineStr">
        <is>
          <t>HWRD</t>
        </is>
      </c>
      <c r="E723" s="8" t="inlineStr">
        <is>
          <t>G Nystrom</t>
        </is>
      </c>
      <c r="F723" s="8" t="n">
        <v>4</v>
      </c>
      <c r="G723" s="8" t="n">
        <v>2</v>
      </c>
      <c r="H723" s="8" t="n">
        <v>1</v>
      </c>
      <c r="I723" s="8" t="n">
        <v>1</v>
      </c>
      <c r="J723" s="8" t="n">
        <v>0</v>
      </c>
      <c r="K723" s="8" t="n">
        <v>0</v>
      </c>
      <c r="L723" s="8" t="n">
        <v>0</v>
      </c>
      <c r="M723" s="8" t="n">
        <v>1</v>
      </c>
      <c r="N723" s="8" t="n">
        <v>1</v>
      </c>
      <c r="O723" s="8" t="n">
        <v>0</v>
      </c>
      <c r="R723" s="8" t="n">
        <v>2</v>
      </c>
      <c r="S723" s="8" t="n">
        <v>0</v>
      </c>
      <c r="T723" s="8" t="n">
        <v>0</v>
      </c>
      <c r="U723" s="8" t="n">
        <v>0</v>
      </c>
      <c r="W723" s="8" t="n">
        <v>0</v>
      </c>
      <c r="Y723" s="8" t="inlineStr">
        <is>
          <t>Name in source: Gavin Nystrom</t>
        </is>
      </c>
    </row>
    <row r="724" ht="15.75" customHeight="1" s="35">
      <c r="A724" s="8" t="inlineStr">
        <is>
          <t>2026-03-21_HWRD_at_HMMN</t>
        </is>
      </c>
      <c r="B724" s="2" t="n">
        <v>46102</v>
      </c>
      <c r="C724" s="8" t="inlineStr">
        <is>
          <t>Hammond Varsity Bears</t>
        </is>
      </c>
      <c r="D724" s="8" t="inlineStr">
        <is>
          <t>HWRD</t>
        </is>
      </c>
      <c r="E724" s="8" t="inlineStr">
        <is>
          <t>C Hudson</t>
        </is>
      </c>
      <c r="F724" s="8" t="n">
        <v>4</v>
      </c>
      <c r="G724" s="8" t="n">
        <v>4</v>
      </c>
      <c r="H724" s="8" t="n">
        <v>1</v>
      </c>
      <c r="I724" s="8" t="n">
        <v>0</v>
      </c>
      <c r="J724" s="8" t="n">
        <v>1</v>
      </c>
      <c r="K724" s="8" t="n">
        <v>0</v>
      </c>
      <c r="L724" s="8" t="n">
        <v>0</v>
      </c>
      <c r="M724" s="8" t="n">
        <v>0</v>
      </c>
      <c r="N724" s="8" t="n">
        <v>0</v>
      </c>
      <c r="O724" s="8" t="n">
        <v>0</v>
      </c>
      <c r="R724" s="8" t="n">
        <v>2</v>
      </c>
      <c r="S724" s="8" t="n">
        <v>1</v>
      </c>
      <c r="T724" s="8" t="n">
        <v>0</v>
      </c>
      <c r="U724" s="8" t="n">
        <v>0</v>
      </c>
      <c r="W724" s="8" t="n">
        <v>0</v>
      </c>
      <c r="Y724" s="8" t="inlineStr">
        <is>
          <t>Name in source: Carter Hudson</t>
        </is>
      </c>
    </row>
    <row r="725" ht="15.75" customHeight="1" s="35">
      <c r="A725" s="8" t="inlineStr">
        <is>
          <t>2026-03-21_HWRD_at_HMMN</t>
        </is>
      </c>
      <c r="B725" s="2" t="n">
        <v>46102</v>
      </c>
      <c r="C725" s="8" t="inlineStr">
        <is>
          <t>Hammond Varsity Bears</t>
        </is>
      </c>
      <c r="D725" s="8" t="inlineStr">
        <is>
          <t>HWRD</t>
        </is>
      </c>
      <c r="E725" s="8" t="inlineStr">
        <is>
          <t>D Heim</t>
        </is>
      </c>
      <c r="F725" s="8" t="n">
        <v>4</v>
      </c>
      <c r="G725" s="8" t="n">
        <v>2</v>
      </c>
      <c r="H725" s="8" t="n">
        <v>1</v>
      </c>
      <c r="I725" s="8" t="n">
        <v>0</v>
      </c>
      <c r="J725" s="8" t="n">
        <v>0</v>
      </c>
      <c r="K725" s="8" t="n">
        <v>0</v>
      </c>
      <c r="L725" s="8" t="n">
        <v>1</v>
      </c>
      <c r="M725" s="8" t="n">
        <v>0</v>
      </c>
      <c r="N725" s="8" t="n">
        <v>2</v>
      </c>
      <c r="O725" s="8" t="n">
        <v>1</v>
      </c>
      <c r="R725" s="8" t="n">
        <v>1</v>
      </c>
      <c r="S725" s="8" t="n">
        <v>3</v>
      </c>
      <c r="T725" s="8" t="n">
        <v>1</v>
      </c>
      <c r="U725" s="8" t="n">
        <v>0</v>
      </c>
      <c r="W725" s="8" t="n">
        <v>0</v>
      </c>
      <c r="Y725" s="8" t="inlineStr">
        <is>
          <t>Name in source: Darren Heim</t>
        </is>
      </c>
    </row>
    <row r="726" ht="15.75" customHeight="1" s="35">
      <c r="A726" s="8" t="inlineStr">
        <is>
          <t>2026-03-21_HWRD_at_HMMN</t>
        </is>
      </c>
      <c r="B726" s="2" t="n">
        <v>46102</v>
      </c>
      <c r="C726" s="8" t="inlineStr">
        <is>
          <t>Hammond Varsity Bears</t>
        </is>
      </c>
      <c r="D726" s="8" t="inlineStr">
        <is>
          <t>HWRD</t>
        </is>
      </c>
      <c r="E726" s="8" t="inlineStr">
        <is>
          <t>Gibson Martin</t>
        </is>
      </c>
      <c r="F726" s="8" t="n">
        <v>0</v>
      </c>
      <c r="G726" s="8" t="n">
        <v>0</v>
      </c>
      <c r="H726" s="8" t="n">
        <v>0</v>
      </c>
      <c r="I726" s="8" t="n">
        <v>0</v>
      </c>
      <c r="J726" s="8" t="n">
        <v>0</v>
      </c>
      <c r="K726" s="8" t="n">
        <v>0</v>
      </c>
      <c r="L726" s="8" t="n">
        <v>0</v>
      </c>
      <c r="M726" s="8" t="n">
        <v>0</v>
      </c>
      <c r="N726" s="8" t="n">
        <v>0</v>
      </c>
      <c r="O726" s="8" t="n">
        <v>0</v>
      </c>
      <c r="R726" s="8" t="n">
        <v>0</v>
      </c>
      <c r="S726" s="8" t="n">
        <v>0</v>
      </c>
      <c r="T726" s="8" t="n">
        <v>0</v>
      </c>
      <c r="U726" s="8" t="n">
        <v>1</v>
      </c>
      <c r="W726" s="8" t="n">
        <v>0</v>
      </c>
      <c r="Y726" s="8" t="inlineStr">
        <is>
          <t>Zero-PA player; appears in batting table. CS=1 per batting notes; likely courtesy runner.</t>
        </is>
      </c>
    </row>
    <row r="727" ht="15.75" customHeight="1" s="35">
      <c r="A727" s="8" t="inlineStr">
        <is>
          <t>2026-03-21_HWRD_at_HMMN</t>
        </is>
      </c>
      <c r="B727" s="2" t="n">
        <v>46102</v>
      </c>
      <c r="C727" s="8" t="inlineStr">
        <is>
          <t>Hammond Varsity Bears</t>
        </is>
      </c>
      <c r="D727" s="8" t="inlineStr">
        <is>
          <t>HWRD</t>
        </is>
      </c>
      <c r="E727" s="8" t="inlineStr">
        <is>
          <t>B Sawyer</t>
        </is>
      </c>
      <c r="F727" s="8" t="n">
        <v>4</v>
      </c>
      <c r="G727" s="8" t="n">
        <v>4</v>
      </c>
      <c r="H727" s="8" t="n">
        <v>2</v>
      </c>
      <c r="I727" s="8" t="n">
        <v>2</v>
      </c>
      <c r="J727" s="8" t="n">
        <v>0</v>
      </c>
      <c r="K727" s="8" t="n">
        <v>0</v>
      </c>
      <c r="L727" s="8" t="n">
        <v>0</v>
      </c>
      <c r="M727" s="8" t="n">
        <v>0</v>
      </c>
      <c r="N727" s="8" t="n">
        <v>0</v>
      </c>
      <c r="O727" s="8" t="n">
        <v>0</v>
      </c>
      <c r="R727" s="8" t="n">
        <v>2</v>
      </c>
      <c r="S727" s="8" t="n">
        <v>0</v>
      </c>
      <c r="T727" s="8" t="n">
        <v>0</v>
      </c>
      <c r="U727" s="8" t="n">
        <v>0</v>
      </c>
      <c r="W727" s="8" t="n">
        <v>0</v>
      </c>
      <c r="Y727" s="8" t="inlineStr">
        <is>
          <t>Name in source: Brady Sawyer</t>
        </is>
      </c>
    </row>
    <row r="728" ht="15.75" customHeight="1" s="35">
      <c r="A728" s="8" t="inlineStr">
        <is>
          <t>2026-03-21_HWRD_at_HMMN</t>
        </is>
      </c>
      <c r="B728" s="2" t="n">
        <v>46102</v>
      </c>
      <c r="C728" s="8" t="inlineStr">
        <is>
          <t>Hammond Varsity Bears</t>
        </is>
      </c>
      <c r="D728" s="8" t="inlineStr">
        <is>
          <t>HWRD</t>
        </is>
      </c>
      <c r="E728" s="8" t="inlineStr">
        <is>
          <t>D Alves</t>
        </is>
      </c>
      <c r="F728" s="8" t="n">
        <v>4</v>
      </c>
      <c r="G728" s="8" t="n">
        <v>3</v>
      </c>
      <c r="H728" s="8" t="n">
        <v>0</v>
      </c>
      <c r="I728" s="8" t="n">
        <v>0</v>
      </c>
      <c r="J728" s="8" t="n">
        <v>0</v>
      </c>
      <c r="K728" s="8" t="n">
        <v>0</v>
      </c>
      <c r="L728" s="8" t="n">
        <v>0</v>
      </c>
      <c r="M728" s="8" t="n">
        <v>1</v>
      </c>
      <c r="N728" s="8" t="n">
        <v>0</v>
      </c>
      <c r="O728" s="8" t="n">
        <v>2</v>
      </c>
      <c r="R728" s="8" t="n">
        <v>1</v>
      </c>
      <c r="S728" s="8" t="n">
        <v>0</v>
      </c>
      <c r="T728" s="8" t="n">
        <v>0</v>
      </c>
      <c r="U728" s="8" t="n">
        <v>0</v>
      </c>
      <c r="W728" s="8" t="n">
        <v>0</v>
      </c>
      <c r="Y728" s="8" t="inlineStr">
        <is>
          <t>Name in source: Dominic Alves</t>
        </is>
      </c>
    </row>
    <row r="729" ht="15.75" customHeight="1" s="35">
      <c r="A729" s="8" t="inlineStr">
        <is>
          <t>2026-03-21_HWRD_at_HMMN</t>
        </is>
      </c>
      <c r="B729" s="2" t="n">
        <v>46102</v>
      </c>
      <c r="C729" s="8" t="inlineStr">
        <is>
          <t>Hammond Varsity Bears</t>
        </is>
      </c>
      <c r="D729" s="8" t="inlineStr">
        <is>
          <t>HWRD</t>
        </is>
      </c>
      <c r="E729" s="8" t="inlineStr">
        <is>
          <t>N Hegedus</t>
        </is>
      </c>
      <c r="F729" s="8" t="n">
        <v>3</v>
      </c>
      <c r="G729" s="8" t="n">
        <v>3</v>
      </c>
      <c r="H729" s="8" t="n">
        <v>0</v>
      </c>
      <c r="I729" s="8" t="n">
        <v>0</v>
      </c>
      <c r="J729" s="8" t="n">
        <v>0</v>
      </c>
      <c r="K729" s="8" t="n">
        <v>0</v>
      </c>
      <c r="L729" s="8" t="n">
        <v>0</v>
      </c>
      <c r="M729" s="8" t="n">
        <v>0</v>
      </c>
      <c r="N729" s="8" t="n">
        <v>0</v>
      </c>
      <c r="O729" s="8" t="n">
        <v>2</v>
      </c>
      <c r="R729" s="8" t="n">
        <v>0</v>
      </c>
      <c r="S729" s="8" t="n">
        <v>0</v>
      </c>
      <c r="T729" s="8" t="n">
        <v>0</v>
      </c>
      <c r="U729" s="8" t="n">
        <v>0</v>
      </c>
      <c r="W729" s="8" t="n">
        <v>0</v>
      </c>
      <c r="Y729" s="8" t="inlineStr">
        <is>
          <t>Name in source: Nate Hegedus</t>
        </is>
      </c>
    </row>
    <row r="730" ht="15.75" customHeight="1" s="35">
      <c r="A730" s="8" t="inlineStr">
        <is>
          <t>2026-03-21_HWRD_at_HMMN</t>
        </is>
      </c>
      <c r="B730" s="2" t="n">
        <v>46102</v>
      </c>
      <c r="C730" s="8" t="inlineStr">
        <is>
          <t>Hammond Varsity Bears</t>
        </is>
      </c>
      <c r="D730" s="8" t="inlineStr">
        <is>
          <t>HWRD</t>
        </is>
      </c>
      <c r="E730" s="8" t="inlineStr">
        <is>
          <t>A Proescher</t>
        </is>
      </c>
      <c r="F730" s="8" t="n">
        <v>1</v>
      </c>
      <c r="G730" s="8" t="n">
        <v>1</v>
      </c>
      <c r="H730" s="8" t="n">
        <v>1</v>
      </c>
      <c r="I730" s="8" t="n">
        <v>1</v>
      </c>
      <c r="J730" s="8" t="n">
        <v>0</v>
      </c>
      <c r="K730" s="8" t="n">
        <v>0</v>
      </c>
      <c r="L730" s="8" t="n">
        <v>0</v>
      </c>
      <c r="M730" s="8" t="n">
        <v>0</v>
      </c>
      <c r="N730" s="8" t="n">
        <v>0</v>
      </c>
      <c r="O730" s="8" t="n">
        <v>0</v>
      </c>
      <c r="R730" s="8" t="n">
        <v>0</v>
      </c>
      <c r="S730" s="8" t="n">
        <v>1</v>
      </c>
      <c r="T730" s="8" t="n">
        <v>1</v>
      </c>
      <c r="U730" s="8" t="n">
        <v>0</v>
      </c>
      <c r="W730" s="8" t="n">
        <v>0</v>
      </c>
      <c r="Y730" s="8" t="inlineStr">
        <is>
          <t>Name in source: Austin Proescher</t>
        </is>
      </c>
    </row>
    <row r="731" ht="15.75" customHeight="1" s="35">
      <c r="A731" s="8" t="inlineStr">
        <is>
          <t>2026-03-21_HWRD_at_HMMN</t>
        </is>
      </c>
      <c r="B731" s="2" t="n">
        <v>46102</v>
      </c>
      <c r="C731" s="8" t="inlineStr">
        <is>
          <t>Hammond Varsity Bears</t>
        </is>
      </c>
      <c r="D731" s="8" t="inlineStr">
        <is>
          <t>HWRD</t>
        </is>
      </c>
      <c r="E731" s="8" t="inlineStr">
        <is>
          <t>Jimmy Spitz</t>
        </is>
      </c>
      <c r="F731" s="8" t="n">
        <v>2</v>
      </c>
      <c r="G731" s="8" t="n">
        <v>2</v>
      </c>
      <c r="H731" s="8" t="n">
        <v>0</v>
      </c>
      <c r="I731" s="8" t="n">
        <v>0</v>
      </c>
      <c r="J731" s="8" t="n">
        <v>0</v>
      </c>
      <c r="K731" s="8" t="n">
        <v>0</v>
      </c>
      <c r="L731" s="8" t="n">
        <v>0</v>
      </c>
      <c r="M731" s="8" t="n">
        <v>0</v>
      </c>
      <c r="N731" s="8" t="n">
        <v>0</v>
      </c>
      <c r="O731" s="8" t="n">
        <v>1</v>
      </c>
      <c r="R731" s="8" t="n">
        <v>0</v>
      </c>
      <c r="S731" s="8" t="n">
        <v>1</v>
      </c>
      <c r="T731" s="8" t="n">
        <v>0</v>
      </c>
      <c r="U731" s="8" t="n">
        <v>0</v>
      </c>
      <c r="W731" s="8" t="n">
        <v>0</v>
      </c>
    </row>
    <row r="732" ht="15.75" customHeight="1" s="35">
      <c r="A732" s="8" t="inlineStr">
        <is>
          <t>2026-03-21_HWRD_at_HMMN</t>
        </is>
      </c>
      <c r="B732" s="2" t="n">
        <v>46102</v>
      </c>
      <c r="C732" s="8" t="inlineStr">
        <is>
          <t>Hammond Varsity Bears</t>
        </is>
      </c>
      <c r="D732" s="8" t="inlineStr">
        <is>
          <t>HWRD</t>
        </is>
      </c>
      <c r="E732" s="8" t="inlineStr">
        <is>
          <t>Ryan Su</t>
        </is>
      </c>
      <c r="F732" s="8" t="n">
        <v>1</v>
      </c>
      <c r="G732" s="8" t="n">
        <v>1</v>
      </c>
      <c r="H732" s="8" t="n">
        <v>0</v>
      </c>
      <c r="I732" s="8" t="n">
        <v>0</v>
      </c>
      <c r="J732" s="8" t="n">
        <v>0</v>
      </c>
      <c r="K732" s="8" t="n">
        <v>0</v>
      </c>
      <c r="L732" s="8" t="n">
        <v>0</v>
      </c>
      <c r="M732" s="8" t="n">
        <v>0</v>
      </c>
      <c r="N732" s="8" t="n">
        <v>0</v>
      </c>
      <c r="O732" s="8" t="n">
        <v>1</v>
      </c>
      <c r="R732" s="8" t="n">
        <v>0</v>
      </c>
      <c r="S732" s="8" t="n">
        <v>0</v>
      </c>
      <c r="T732" s="8" t="n">
        <v>0</v>
      </c>
      <c r="U732" s="8" t="n">
        <v>0</v>
      </c>
      <c r="W732" s="8" t="n">
        <v>0</v>
      </c>
    </row>
    <row r="733" ht="15.75" customHeight="1" s="35">
      <c r="A733" s="8" t="inlineStr">
        <is>
          <t>2026-03-21_HWRD_at_HMMN</t>
        </is>
      </c>
      <c r="B733" s="2" t="n">
        <v>46102</v>
      </c>
      <c r="C733" s="8" t="inlineStr">
        <is>
          <t>Hammond Varsity Bears</t>
        </is>
      </c>
      <c r="D733" s="8" t="inlineStr">
        <is>
          <t>HWRD</t>
        </is>
      </c>
      <c r="E733" s="8" t="inlineStr">
        <is>
          <t>Z Blair</t>
        </is>
      </c>
      <c r="F733" s="8" t="n">
        <v>4</v>
      </c>
      <c r="G733" s="8" t="n">
        <v>2</v>
      </c>
      <c r="H733" s="8" t="n">
        <v>0</v>
      </c>
      <c r="I733" s="8" t="n">
        <v>0</v>
      </c>
      <c r="J733" s="8" t="n">
        <v>0</v>
      </c>
      <c r="K733" s="8" t="n">
        <v>0</v>
      </c>
      <c r="L733" s="8" t="n">
        <v>0</v>
      </c>
      <c r="M733" s="8" t="n">
        <v>1</v>
      </c>
      <c r="N733" s="8" t="n">
        <v>1</v>
      </c>
      <c r="O733" s="8" t="n">
        <v>2</v>
      </c>
      <c r="R733" s="8" t="n">
        <v>0</v>
      </c>
      <c r="S733" s="8" t="n">
        <v>0</v>
      </c>
      <c r="T733" s="8" t="n">
        <v>0</v>
      </c>
      <c r="U733" s="8" t="n">
        <v>0</v>
      </c>
      <c r="W733" s="8" t="n">
        <v>0</v>
      </c>
      <c r="Y733" s="8" t="inlineStr">
        <is>
          <t>Name in source: Zach Blair</t>
        </is>
      </c>
    </row>
    <row r="734" ht="15.75" customHeight="1" s="35">
      <c r="A734" s="8" t="inlineStr">
        <is>
          <t>2026-03-21_HWRD_at_HMMN</t>
        </is>
      </c>
      <c r="B734" s="2" t="n">
        <v>46102</v>
      </c>
      <c r="C734" s="8" t="inlineStr">
        <is>
          <t>Howard Varsity Lions</t>
        </is>
      </c>
      <c r="D734" s="8" t="inlineStr">
        <is>
          <t>HMMN</t>
        </is>
      </c>
      <c r="E734" s="8" t="inlineStr">
        <is>
          <t>Y Rivera</t>
        </is>
      </c>
      <c r="F734" s="8" t="n">
        <v>3</v>
      </c>
      <c r="G734" s="8" t="n">
        <v>3</v>
      </c>
      <c r="H734" s="8" t="n">
        <v>0</v>
      </c>
      <c r="I734" s="8" t="n">
        <v>0</v>
      </c>
      <c r="J734" s="8" t="n">
        <v>0</v>
      </c>
      <c r="K734" s="8" t="n">
        <v>0</v>
      </c>
      <c r="L734" s="8" t="n">
        <v>0</v>
      </c>
      <c r="M734" s="8" t="n">
        <v>0</v>
      </c>
      <c r="N734" s="8" t="n">
        <v>0</v>
      </c>
      <c r="O734" s="8" t="n">
        <v>0</v>
      </c>
      <c r="R734" s="8" t="n">
        <v>0</v>
      </c>
      <c r="S734" s="8" t="n">
        <v>0</v>
      </c>
      <c r="T734" s="8" t="n">
        <v>0</v>
      </c>
      <c r="U734" s="8" t="n">
        <v>0</v>
      </c>
      <c r="W734" s="8" t="n">
        <v>0</v>
      </c>
      <c r="Y734" s="8" t="inlineStr">
        <is>
          <t>Name in source: Yaxiel Rivera</t>
        </is>
      </c>
    </row>
    <row r="735" ht="15.75" customHeight="1" s="35">
      <c r="A735" s="8" t="inlineStr">
        <is>
          <t>2026-03-21_HWRD_at_HMMN</t>
        </is>
      </c>
      <c r="B735" s="2" t="n">
        <v>46102</v>
      </c>
      <c r="C735" s="8" t="inlineStr">
        <is>
          <t>Howard Varsity Lions</t>
        </is>
      </c>
      <c r="D735" s="8" t="inlineStr">
        <is>
          <t>HMMN</t>
        </is>
      </c>
      <c r="E735" s="8" t="inlineStr">
        <is>
          <t>J Willis</t>
        </is>
      </c>
      <c r="F735" s="8" t="n">
        <v>3</v>
      </c>
      <c r="G735" s="8" t="n">
        <v>3</v>
      </c>
      <c r="H735" s="8" t="n">
        <v>0</v>
      </c>
      <c r="I735" s="8" t="n">
        <v>0</v>
      </c>
      <c r="J735" s="8" t="n">
        <v>0</v>
      </c>
      <c r="K735" s="8" t="n">
        <v>0</v>
      </c>
      <c r="L735" s="8" t="n">
        <v>0</v>
      </c>
      <c r="M735" s="8" t="n">
        <v>0</v>
      </c>
      <c r="N735" s="8" t="n">
        <v>0</v>
      </c>
      <c r="O735" s="8" t="n">
        <v>3</v>
      </c>
      <c r="R735" s="8" t="n">
        <v>0</v>
      </c>
      <c r="S735" s="8" t="n">
        <v>0</v>
      </c>
      <c r="T735" s="8" t="n">
        <v>0</v>
      </c>
      <c r="U735" s="8" t="n">
        <v>0</v>
      </c>
      <c r="W735" s="8" t="n">
        <v>0</v>
      </c>
      <c r="Y735" s="8" t="inlineStr">
        <is>
          <t>Name in source: Jax Willis</t>
        </is>
      </c>
    </row>
    <row r="736" ht="15.75" customHeight="1" s="35">
      <c r="A736" s="8" t="inlineStr">
        <is>
          <t>2026-03-21_HWRD_at_HMMN</t>
        </is>
      </c>
      <c r="B736" s="2" t="n">
        <v>46102</v>
      </c>
      <c r="C736" s="8" t="inlineStr">
        <is>
          <t>Howard Varsity Lions</t>
        </is>
      </c>
      <c r="D736" s="8" t="inlineStr">
        <is>
          <t>HMMN</t>
        </is>
      </c>
      <c r="E736" s="8" t="inlineStr">
        <is>
          <t>P Yarnell</t>
        </is>
      </c>
      <c r="F736" s="8" t="n">
        <v>3</v>
      </c>
      <c r="G736" s="8" t="n">
        <v>3</v>
      </c>
      <c r="H736" s="8" t="n">
        <v>1</v>
      </c>
      <c r="I736" s="8" t="n">
        <v>1</v>
      </c>
      <c r="J736" s="8" t="n">
        <v>0</v>
      </c>
      <c r="K736" s="8" t="n">
        <v>0</v>
      </c>
      <c r="L736" s="8" t="n">
        <v>0</v>
      </c>
      <c r="M736" s="8" t="n">
        <v>0</v>
      </c>
      <c r="N736" s="8" t="n">
        <v>0</v>
      </c>
      <c r="O736" s="8" t="n">
        <v>1</v>
      </c>
      <c r="R736" s="8" t="n">
        <v>0</v>
      </c>
      <c r="S736" s="8" t="n">
        <v>0</v>
      </c>
      <c r="T736" s="8" t="n">
        <v>0</v>
      </c>
      <c r="U736" s="8" t="n">
        <v>0</v>
      </c>
      <c r="W736" s="8" t="n">
        <v>0</v>
      </c>
      <c r="Y736" s="8" t="inlineStr">
        <is>
          <t>Name in source: Peter Yarnell</t>
        </is>
      </c>
    </row>
    <row r="737" ht="15.75" customHeight="1" s="35">
      <c r="A737" s="8" t="inlineStr">
        <is>
          <t>2026-03-21_HWRD_at_HMMN</t>
        </is>
      </c>
      <c r="B737" s="2" t="n">
        <v>46102</v>
      </c>
      <c r="C737" s="8" t="inlineStr">
        <is>
          <t>Howard Varsity Lions</t>
        </is>
      </c>
      <c r="D737" s="8" t="inlineStr">
        <is>
          <t>HMMN</t>
        </is>
      </c>
      <c r="E737" s="8" t="inlineStr">
        <is>
          <t>C Stryker</t>
        </is>
      </c>
      <c r="F737" s="8" t="n">
        <v>3</v>
      </c>
      <c r="G737" s="8" t="n">
        <v>3</v>
      </c>
      <c r="H737" s="8" t="n">
        <v>1</v>
      </c>
      <c r="I737" s="8" t="n">
        <v>1</v>
      </c>
      <c r="J737" s="8" t="n">
        <v>0</v>
      </c>
      <c r="K737" s="8" t="n">
        <v>0</v>
      </c>
      <c r="L737" s="8" t="n">
        <v>0</v>
      </c>
      <c r="M737" s="8" t="n">
        <v>0</v>
      </c>
      <c r="N737" s="8" t="n">
        <v>0</v>
      </c>
      <c r="O737" s="8" t="n">
        <v>0</v>
      </c>
      <c r="R737" s="8" t="n">
        <v>0</v>
      </c>
      <c r="S737" s="8" t="n">
        <v>0</v>
      </c>
      <c r="T737" s="8" t="n">
        <v>0</v>
      </c>
      <c r="U737" s="8" t="n">
        <v>0</v>
      </c>
      <c r="W737" s="8" t="n">
        <v>0</v>
      </c>
      <c r="Y737" s="8" t="inlineStr">
        <is>
          <t>Name in source: Collin Stryker</t>
        </is>
      </c>
    </row>
    <row r="738" ht="15.75" customHeight="1" s="35">
      <c r="A738" s="8" t="inlineStr">
        <is>
          <t>2026-03-21_HWRD_at_HMMN</t>
        </is>
      </c>
      <c r="B738" s="2" t="n">
        <v>46102</v>
      </c>
      <c r="C738" s="8" t="inlineStr">
        <is>
          <t>Howard Varsity Lions</t>
        </is>
      </c>
      <c r="D738" s="8" t="inlineStr">
        <is>
          <t>HMMN</t>
        </is>
      </c>
      <c r="E738" s="8" t="inlineStr">
        <is>
          <t>L Tordella</t>
        </is>
      </c>
      <c r="F738" s="8" t="n">
        <v>3</v>
      </c>
      <c r="G738" s="8" t="n">
        <v>3</v>
      </c>
      <c r="H738" s="8" t="n">
        <v>0</v>
      </c>
      <c r="I738" s="8" t="n">
        <v>0</v>
      </c>
      <c r="J738" s="8" t="n">
        <v>0</v>
      </c>
      <c r="K738" s="8" t="n">
        <v>0</v>
      </c>
      <c r="L738" s="8" t="n">
        <v>0</v>
      </c>
      <c r="M738" s="8" t="n">
        <v>0</v>
      </c>
      <c r="N738" s="8" t="n">
        <v>0</v>
      </c>
      <c r="O738" s="8" t="n">
        <v>2</v>
      </c>
      <c r="R738" s="8" t="n">
        <v>0</v>
      </c>
      <c r="S738" s="8" t="n">
        <v>0</v>
      </c>
      <c r="T738" s="8" t="n">
        <v>0</v>
      </c>
      <c r="U738" s="8" t="n">
        <v>0</v>
      </c>
      <c r="W738" s="8" t="n">
        <v>0</v>
      </c>
      <c r="Y738" s="8" t="inlineStr">
        <is>
          <t>Name in source: Lucas Tordella</t>
        </is>
      </c>
    </row>
    <row r="739" ht="15.75" customHeight="1" s="35">
      <c r="A739" s="8" t="inlineStr">
        <is>
          <t>2026-03-21_HWRD_at_HMMN</t>
        </is>
      </c>
      <c r="B739" s="2" t="n">
        <v>46102</v>
      </c>
      <c r="C739" s="8" t="inlineStr">
        <is>
          <t>Howard Varsity Lions</t>
        </is>
      </c>
      <c r="D739" s="8" t="inlineStr">
        <is>
          <t>HMMN</t>
        </is>
      </c>
      <c r="E739" s="8" t="inlineStr">
        <is>
          <t>G Draminski</t>
        </is>
      </c>
      <c r="F739" s="8" t="n">
        <v>3</v>
      </c>
      <c r="G739" s="8" t="n">
        <v>3</v>
      </c>
      <c r="H739" s="8" t="n">
        <v>0</v>
      </c>
      <c r="I739" s="8" t="n">
        <v>0</v>
      </c>
      <c r="J739" s="8" t="n">
        <v>0</v>
      </c>
      <c r="K739" s="8" t="n">
        <v>0</v>
      </c>
      <c r="L739" s="8" t="n">
        <v>0</v>
      </c>
      <c r="M739" s="8" t="n">
        <v>0</v>
      </c>
      <c r="N739" s="8" t="n">
        <v>0</v>
      </c>
      <c r="O739" s="8" t="n">
        <v>2</v>
      </c>
      <c r="R739" s="8" t="n">
        <v>0</v>
      </c>
      <c r="S739" s="8" t="n">
        <v>0</v>
      </c>
      <c r="T739" s="8" t="n">
        <v>0</v>
      </c>
      <c r="U739" s="8" t="n">
        <v>0</v>
      </c>
      <c r="W739" s="8" t="n">
        <v>0</v>
      </c>
      <c r="Y739" s="8" t="inlineStr">
        <is>
          <t>Name in source: Gavin Draminski</t>
        </is>
      </c>
    </row>
    <row r="740" ht="15.75" customHeight="1" s="35">
      <c r="A740" s="8" t="inlineStr">
        <is>
          <t>2026-03-21_HWRD_at_HMMN</t>
        </is>
      </c>
      <c r="B740" s="2" t="n">
        <v>46102</v>
      </c>
      <c r="C740" s="8" t="inlineStr">
        <is>
          <t>Howard Varsity Lions</t>
        </is>
      </c>
      <c r="D740" s="8" t="inlineStr">
        <is>
          <t>HMMN</t>
        </is>
      </c>
      <c r="E740" s="8" t="inlineStr">
        <is>
          <t>G Garris</t>
        </is>
      </c>
      <c r="F740" s="8" t="n">
        <v>3</v>
      </c>
      <c r="G740" s="8" t="n">
        <v>3</v>
      </c>
      <c r="H740" s="8" t="n">
        <v>0</v>
      </c>
      <c r="I740" s="8" t="n">
        <v>0</v>
      </c>
      <c r="J740" s="8" t="n">
        <v>0</v>
      </c>
      <c r="K740" s="8" t="n">
        <v>0</v>
      </c>
      <c r="L740" s="8" t="n">
        <v>0</v>
      </c>
      <c r="M740" s="8" t="n">
        <v>0</v>
      </c>
      <c r="N740" s="8" t="n">
        <v>0</v>
      </c>
      <c r="O740" s="8" t="n">
        <v>2</v>
      </c>
      <c r="R740" s="8" t="n">
        <v>1</v>
      </c>
      <c r="S740" s="8" t="n">
        <v>0</v>
      </c>
      <c r="T740" s="8" t="n">
        <v>1</v>
      </c>
      <c r="U740" s="8" t="n">
        <v>0</v>
      </c>
      <c r="W740" s="8" t="n">
        <v>0</v>
      </c>
      <c r="Y740" s="8" t="inlineStr">
        <is>
          <t>Name in source: Griffin Garris</t>
        </is>
      </c>
    </row>
    <row r="741" ht="15.75" customHeight="1" s="35">
      <c r="A741" s="8" t="inlineStr">
        <is>
          <t>2026-03-21_HWRD_at_HMMN</t>
        </is>
      </c>
      <c r="B741" s="2" t="n">
        <v>46102</v>
      </c>
      <c r="C741" s="8" t="inlineStr">
        <is>
          <t>Howard Varsity Lions</t>
        </is>
      </c>
      <c r="D741" s="8" t="inlineStr">
        <is>
          <t>HMMN</t>
        </is>
      </c>
      <c r="E741" s="8" t="inlineStr">
        <is>
          <t>K Gardner</t>
        </is>
      </c>
      <c r="F741" s="8" t="n">
        <v>0</v>
      </c>
      <c r="G741" s="8" t="n">
        <v>0</v>
      </c>
      <c r="H741" s="8" t="n">
        <v>0</v>
      </c>
      <c r="I741" s="8" t="n">
        <v>0</v>
      </c>
      <c r="J741" s="8" t="n">
        <v>0</v>
      </c>
      <c r="K741" s="8" t="n">
        <v>0</v>
      </c>
      <c r="L741" s="8" t="n">
        <v>0</v>
      </c>
      <c r="M741" s="8" t="n">
        <v>0</v>
      </c>
      <c r="N741" s="8" t="n">
        <v>0</v>
      </c>
      <c r="O741" s="8" t="n">
        <v>0</v>
      </c>
      <c r="R741" s="8" t="n">
        <v>0</v>
      </c>
      <c r="S741" s="8" t="n">
        <v>0</v>
      </c>
      <c r="T741" s="8" t="n">
        <v>0</v>
      </c>
      <c r="U741" s="8" t="n">
        <v>0</v>
      </c>
      <c r="W741" s="8" t="n">
        <v>0</v>
      </c>
      <c r="Y741" s="8" t="inlineStr">
        <is>
          <t>Name in source: Kaz Gardner. Zero-PA player.</t>
        </is>
      </c>
    </row>
    <row r="742" ht="15.75" customHeight="1" s="35">
      <c r="A742" s="8" t="inlineStr">
        <is>
          <t>2026-03-21_HWRD_at_HMMN</t>
        </is>
      </c>
      <c r="B742" s="2" t="n">
        <v>46102</v>
      </c>
      <c r="C742" s="8" t="inlineStr">
        <is>
          <t>Howard Varsity Lions</t>
        </is>
      </c>
      <c r="D742" s="8" t="inlineStr">
        <is>
          <t>HMMN</t>
        </is>
      </c>
      <c r="E742" s="8" t="inlineStr">
        <is>
          <t>B Garris</t>
        </is>
      </c>
      <c r="F742" s="8" t="n">
        <v>2</v>
      </c>
      <c r="G742" s="8" t="n">
        <v>2</v>
      </c>
      <c r="H742" s="8" t="n">
        <v>0</v>
      </c>
      <c r="I742" s="8" t="n">
        <v>0</v>
      </c>
      <c r="J742" s="8" t="n">
        <v>0</v>
      </c>
      <c r="K742" s="8" t="n">
        <v>0</v>
      </c>
      <c r="L742" s="8" t="n">
        <v>0</v>
      </c>
      <c r="M742" s="8" t="n">
        <v>0</v>
      </c>
      <c r="N742" s="8" t="n">
        <v>0</v>
      </c>
      <c r="O742" s="8" t="n">
        <v>0</v>
      </c>
      <c r="R742" s="8" t="n">
        <v>0</v>
      </c>
      <c r="S742" s="8" t="n">
        <v>0</v>
      </c>
      <c r="T742" s="8" t="n">
        <v>0</v>
      </c>
      <c r="U742" s="8" t="n">
        <v>0</v>
      </c>
      <c r="W742" s="8" t="n">
        <v>0</v>
      </c>
      <c r="Y742" s="8" t="inlineStr">
        <is>
          <t>Name in source: Braeden Garris</t>
        </is>
      </c>
    </row>
    <row r="743" ht="15.75" customHeight="1" s="35">
      <c r="A743" s="8" t="inlineStr">
        <is>
          <t>2026-03-21_HWRD_at_HMMN</t>
        </is>
      </c>
      <c r="B743" s="2" t="n">
        <v>46102</v>
      </c>
      <c r="C743" s="8" t="inlineStr">
        <is>
          <t>Howard Varsity Lions</t>
        </is>
      </c>
      <c r="D743" s="8" t="inlineStr">
        <is>
          <t>HMMN</t>
        </is>
      </c>
      <c r="E743" s="8" t="inlineStr">
        <is>
          <t>N Macomber</t>
        </is>
      </c>
      <c r="F743" s="8" t="n">
        <v>1</v>
      </c>
      <c r="G743" s="8" t="n">
        <v>1</v>
      </c>
      <c r="H743" s="8" t="n">
        <v>0</v>
      </c>
      <c r="I743" s="8" t="n">
        <v>0</v>
      </c>
      <c r="J743" s="8" t="n">
        <v>0</v>
      </c>
      <c r="K743" s="8" t="n">
        <v>0</v>
      </c>
      <c r="L743" s="8" t="n">
        <v>0</v>
      </c>
      <c r="M743" s="8" t="n">
        <v>0</v>
      </c>
      <c r="N743" s="8" t="n">
        <v>0</v>
      </c>
      <c r="O743" s="8" t="n">
        <v>1</v>
      </c>
      <c r="R743" s="8" t="n">
        <v>0</v>
      </c>
      <c r="S743" s="8" t="n">
        <v>0</v>
      </c>
      <c r="T743" s="8" t="n">
        <v>0</v>
      </c>
      <c r="U743" s="8" t="n">
        <v>0</v>
      </c>
      <c r="W743" s="8" t="n">
        <v>0</v>
      </c>
      <c r="Y743" s="8" t="inlineStr">
        <is>
          <t>Name in source: Noah Macomber</t>
        </is>
      </c>
    </row>
    <row r="744" ht="15.75" customHeight="1" s="35">
      <c r="A744" s="8" t="inlineStr">
        <is>
          <t>2026-03-21_HWRD_at_HMMN</t>
        </is>
      </c>
      <c r="B744" s="2" t="n">
        <v>46102</v>
      </c>
      <c r="C744" s="8" t="inlineStr">
        <is>
          <t>Howard Varsity Lions</t>
        </is>
      </c>
      <c r="D744" s="8" t="inlineStr">
        <is>
          <t>HMMN</t>
        </is>
      </c>
      <c r="E744" s="8" t="inlineStr">
        <is>
          <t>L Duckworth</t>
        </is>
      </c>
      <c r="F744" s="8" t="n">
        <v>0</v>
      </c>
      <c r="G744" s="8" t="n">
        <v>0</v>
      </c>
      <c r="H744" s="8" t="n">
        <v>0</v>
      </c>
      <c r="I744" s="8" t="n">
        <v>0</v>
      </c>
      <c r="J744" s="8" t="n">
        <v>0</v>
      </c>
      <c r="K744" s="8" t="n">
        <v>0</v>
      </c>
      <c r="L744" s="8" t="n">
        <v>0</v>
      </c>
      <c r="M744" s="8" t="n">
        <v>0</v>
      </c>
      <c r="N744" s="8" t="n">
        <v>0</v>
      </c>
      <c r="O744" s="8" t="n">
        <v>0</v>
      </c>
      <c r="R744" s="8" t="n">
        <v>1</v>
      </c>
      <c r="S744" s="8" t="n">
        <v>0</v>
      </c>
      <c r="T744" s="8" t="n">
        <v>1</v>
      </c>
      <c r="U744" s="8" t="n">
        <v>0</v>
      </c>
      <c r="W744" s="8" t="n">
        <v>0</v>
      </c>
      <c r="Y744" s="8" t="inlineStr">
        <is>
          <t>Name in source: Luke Duckworth. AB=0, R=1 — pinch runner/courtesy runner; SB=1 credited per box score notes.</t>
        </is>
      </c>
    </row>
    <row r="745" ht="15.75" customHeight="1" s="35">
      <c r="A745" s="8" t="inlineStr">
        <is>
          <t>2026-03-21_HWRD_at_HMMN</t>
        </is>
      </c>
      <c r="B745" s="2" t="n">
        <v>46102</v>
      </c>
      <c r="C745" s="8" t="inlineStr">
        <is>
          <t>Howard Varsity Lions</t>
        </is>
      </c>
      <c r="D745" s="8" t="inlineStr">
        <is>
          <t>HMMN</t>
        </is>
      </c>
      <c r="E745" s="8" t="inlineStr">
        <is>
          <t>Darsh Bhatt</t>
        </is>
      </c>
      <c r="F745" s="8" t="n">
        <v>1</v>
      </c>
      <c r="G745" s="8" t="n">
        <v>1</v>
      </c>
      <c r="H745" s="8" t="n">
        <v>0</v>
      </c>
      <c r="I745" s="8" t="n">
        <v>0</v>
      </c>
      <c r="J745" s="8" t="n">
        <v>0</v>
      </c>
      <c r="K745" s="8" t="n">
        <v>0</v>
      </c>
      <c r="L745" s="8" t="n">
        <v>0</v>
      </c>
      <c r="M745" s="8" t="n">
        <v>0</v>
      </c>
      <c r="N745" s="8" t="n">
        <v>0</v>
      </c>
      <c r="O745" s="8" t="n">
        <v>0</v>
      </c>
      <c r="R745" s="8" t="n">
        <v>0</v>
      </c>
      <c r="S745" s="8" t="n">
        <v>0</v>
      </c>
      <c r="T745" s="8" t="n">
        <v>0</v>
      </c>
      <c r="U745" s="8" t="n">
        <v>0</v>
      </c>
      <c r="W745" s="8" t="n">
        <v>0</v>
      </c>
    </row>
    <row r="746" ht="15.75" customHeight="1" s="35">
      <c r="A746" s="8" t="inlineStr">
        <is>
          <t>2026-03-31_HWRD_at_CRFT</t>
        </is>
      </c>
      <c r="B746" s="2" t="n">
        <v>46112</v>
      </c>
      <c r="C746" s="8" t="inlineStr">
        <is>
          <t>Crofton Varsity Cardinals</t>
        </is>
      </c>
      <c r="D746" s="8" t="inlineStr">
        <is>
          <t>HWRD</t>
        </is>
      </c>
      <c r="E746" s="8" t="inlineStr">
        <is>
          <t>C Parise</t>
        </is>
      </c>
      <c r="F746" s="8" t="n">
        <v>4</v>
      </c>
      <c r="G746" s="8" t="n">
        <v>3</v>
      </c>
      <c r="H746" s="8" t="n">
        <v>0</v>
      </c>
      <c r="I746" s="8" t="n">
        <v>0</v>
      </c>
      <c r="J746" s="8" t="n">
        <v>0</v>
      </c>
      <c r="K746" s="8" t="n">
        <v>0</v>
      </c>
      <c r="L746" s="8" t="n">
        <v>0</v>
      </c>
      <c r="M746" s="8" t="n">
        <v>1</v>
      </c>
      <c r="N746" s="8" t="n">
        <v>0</v>
      </c>
      <c r="O746" s="8" t="n">
        <v>0</v>
      </c>
      <c r="R746" s="8" t="n">
        <v>0</v>
      </c>
      <c r="S746" s="8" t="n">
        <v>1</v>
      </c>
      <c r="T746" s="8" t="n">
        <v>0</v>
      </c>
      <c r="U746" s="8" t="n">
        <v>0</v>
      </c>
      <c r="W746" s="8" t="n">
        <v>0</v>
      </c>
      <c r="Y746" s="8" t="inlineStr">
        <is>
          <t>Name in source: Carter Parise</t>
        </is>
      </c>
    </row>
    <row r="747" ht="15.75" customHeight="1" s="35">
      <c r="A747" s="8" t="inlineStr">
        <is>
          <t>2026-03-31_HWRD_at_CRFT</t>
        </is>
      </c>
      <c r="B747" s="2" t="n">
        <v>46112</v>
      </c>
      <c r="C747" s="8" t="inlineStr">
        <is>
          <t>Crofton Varsity Cardinals</t>
        </is>
      </c>
      <c r="D747" s="8" t="inlineStr">
        <is>
          <t>HWRD</t>
        </is>
      </c>
      <c r="E747" s="8" t="inlineStr">
        <is>
          <t>B Giangrasso</t>
        </is>
      </c>
      <c r="F747" s="8" t="n">
        <v>4</v>
      </c>
      <c r="G747" s="8" t="n">
        <v>3</v>
      </c>
      <c r="H747" s="8" t="n">
        <v>2</v>
      </c>
      <c r="I747" s="8" t="n">
        <v>2</v>
      </c>
      <c r="J747" s="8" t="n">
        <v>0</v>
      </c>
      <c r="K747" s="8" t="n">
        <v>0</v>
      </c>
      <c r="L747" s="8" t="n">
        <v>0</v>
      </c>
      <c r="M747" s="8" t="n">
        <v>1</v>
      </c>
      <c r="N747" s="8" t="n">
        <v>0</v>
      </c>
      <c r="O747" s="8" t="n">
        <v>1</v>
      </c>
      <c r="R747" s="8" t="n">
        <v>0</v>
      </c>
      <c r="S747" s="8" t="n">
        <v>2</v>
      </c>
      <c r="T747" s="8" t="n">
        <v>0</v>
      </c>
      <c r="U747" s="8" t="n">
        <v>0</v>
      </c>
      <c r="W747" s="8" t="n">
        <v>0</v>
      </c>
      <c r="Y747" s="8" t="inlineStr">
        <is>
          <t>Name in source: Brennan Giangrasso</t>
        </is>
      </c>
    </row>
    <row r="748" ht="15.75" customHeight="1" s="35">
      <c r="A748" s="8" t="inlineStr">
        <is>
          <t>2026-03-31_HWRD_at_CRFT</t>
        </is>
      </c>
      <c r="B748" s="2" t="n">
        <v>46112</v>
      </c>
      <c r="C748" s="8" t="inlineStr">
        <is>
          <t>Crofton Varsity Cardinals</t>
        </is>
      </c>
      <c r="D748" s="8" t="inlineStr">
        <is>
          <t>HWRD</t>
        </is>
      </c>
      <c r="E748" s="8" t="inlineStr">
        <is>
          <t>G Nystrom</t>
        </is>
      </c>
      <c r="F748" s="8" t="n">
        <v>4</v>
      </c>
      <c r="G748" s="8" t="n">
        <v>2</v>
      </c>
      <c r="H748" s="8" t="n">
        <v>0</v>
      </c>
      <c r="I748" s="8" t="n">
        <v>0</v>
      </c>
      <c r="J748" s="8" t="n">
        <v>0</v>
      </c>
      <c r="K748" s="8" t="n">
        <v>0</v>
      </c>
      <c r="L748" s="8" t="n">
        <v>0</v>
      </c>
      <c r="M748" s="8" t="n">
        <v>1</v>
      </c>
      <c r="N748" s="8" t="n">
        <v>1</v>
      </c>
      <c r="O748" s="8" t="n">
        <v>1</v>
      </c>
      <c r="R748" s="8" t="n">
        <v>1</v>
      </c>
      <c r="S748" s="8" t="n">
        <v>0</v>
      </c>
      <c r="T748" s="8" t="n">
        <v>0</v>
      </c>
      <c r="U748" s="8" t="n">
        <v>0</v>
      </c>
      <c r="W748" s="8" t="n">
        <v>0</v>
      </c>
      <c r="Y748" s="8" t="inlineStr">
        <is>
          <t>Name in source: Gavin Nystrom</t>
        </is>
      </c>
    </row>
    <row r="749" ht="15.75" customHeight="1" s="35">
      <c r="A749" s="8" t="inlineStr">
        <is>
          <t>2026-03-31_HWRD_at_CRFT</t>
        </is>
      </c>
      <c r="B749" s="2" t="n">
        <v>46112</v>
      </c>
      <c r="C749" s="8" t="inlineStr">
        <is>
          <t>Crofton Varsity Cardinals</t>
        </is>
      </c>
      <c r="D749" s="8" t="inlineStr">
        <is>
          <t>HWRD</t>
        </is>
      </c>
      <c r="E749" s="8" t="inlineStr">
        <is>
          <t>A Proescher</t>
        </is>
      </c>
      <c r="F749" s="8" t="n">
        <v>4</v>
      </c>
      <c r="G749" s="8" t="n">
        <v>2</v>
      </c>
      <c r="H749" s="8" t="n">
        <v>1</v>
      </c>
      <c r="I749" s="8" t="n">
        <v>0</v>
      </c>
      <c r="J749" s="8" t="n">
        <v>1</v>
      </c>
      <c r="K749" s="8" t="n">
        <v>0</v>
      </c>
      <c r="L749" s="8" t="n">
        <v>0</v>
      </c>
      <c r="M749" s="8" t="n">
        <v>2</v>
      </c>
      <c r="N749" s="8" t="n">
        <v>0</v>
      </c>
      <c r="O749" s="8" t="n">
        <v>1</v>
      </c>
      <c r="R749" s="8" t="n">
        <v>3</v>
      </c>
      <c r="S749" s="8" t="n">
        <v>0</v>
      </c>
      <c r="T749" s="8" t="n">
        <v>0</v>
      </c>
      <c r="U749" s="8" t="n">
        <v>0</v>
      </c>
      <c r="W749" s="8" t="n">
        <v>0</v>
      </c>
      <c r="Y749" s="8" t="inlineStr">
        <is>
          <t>Name in source: Austin Proescher</t>
        </is>
      </c>
    </row>
    <row r="750" ht="15.75" customHeight="1" s="35">
      <c r="A750" s="8" t="inlineStr">
        <is>
          <t>2026-03-31_HWRD_at_CRFT</t>
        </is>
      </c>
      <c r="B750" s="2" t="n">
        <v>46112</v>
      </c>
      <c r="C750" s="8" t="inlineStr">
        <is>
          <t>Crofton Varsity Cardinals</t>
        </is>
      </c>
      <c r="D750" s="8" t="inlineStr">
        <is>
          <t>HWRD</t>
        </is>
      </c>
      <c r="E750" s="8" t="inlineStr">
        <is>
          <t>D Heim</t>
        </is>
      </c>
      <c r="F750" s="8" t="n">
        <v>4</v>
      </c>
      <c r="G750" s="8" t="n">
        <v>3</v>
      </c>
      <c r="H750" s="8" t="n">
        <v>1</v>
      </c>
      <c r="I750" s="8" t="n">
        <v>1</v>
      </c>
      <c r="J750" s="8" t="n">
        <v>0</v>
      </c>
      <c r="K750" s="8" t="n">
        <v>0</v>
      </c>
      <c r="L750" s="8" t="n">
        <v>0</v>
      </c>
      <c r="M750" s="8" t="n">
        <v>0</v>
      </c>
      <c r="N750" s="8" t="n">
        <v>1</v>
      </c>
      <c r="O750" s="8" t="n">
        <v>0</v>
      </c>
      <c r="R750" s="8" t="n">
        <v>2</v>
      </c>
      <c r="S750" s="8" t="n">
        <v>0</v>
      </c>
      <c r="T750" s="8" t="n">
        <v>0</v>
      </c>
      <c r="U750" s="8" t="n">
        <v>0</v>
      </c>
      <c r="W750" s="8" t="n">
        <v>0</v>
      </c>
      <c r="Y750" s="8" t="inlineStr">
        <is>
          <t>Name in source: Darren Heim</t>
        </is>
      </c>
    </row>
    <row r="751" ht="15.75" customHeight="1" s="35">
      <c r="A751" s="8" t="inlineStr">
        <is>
          <t>2026-03-31_HWRD_at_CRFT</t>
        </is>
      </c>
      <c r="B751" s="2" t="n">
        <v>46112</v>
      </c>
      <c r="C751" s="8" t="inlineStr">
        <is>
          <t>Crofton Varsity Cardinals</t>
        </is>
      </c>
      <c r="D751" s="8" t="inlineStr">
        <is>
          <t>HWRD</t>
        </is>
      </c>
      <c r="E751" s="8" t="inlineStr">
        <is>
          <t>B Sawyer</t>
        </is>
      </c>
      <c r="F751" s="8" t="n">
        <v>4</v>
      </c>
      <c r="G751" s="8" t="n">
        <v>3</v>
      </c>
      <c r="H751" s="8" t="n">
        <v>2</v>
      </c>
      <c r="I751" s="8" t="n">
        <v>2</v>
      </c>
      <c r="J751" s="8" t="n">
        <v>0</v>
      </c>
      <c r="K751" s="8" t="n">
        <v>0</v>
      </c>
      <c r="L751" s="8" t="n">
        <v>0</v>
      </c>
      <c r="M751" s="8" t="n">
        <v>1</v>
      </c>
      <c r="N751" s="8" t="n">
        <v>0</v>
      </c>
      <c r="O751" s="8" t="n">
        <v>0</v>
      </c>
      <c r="R751" s="8" t="n">
        <v>2</v>
      </c>
      <c r="S751" s="8" t="n">
        <v>1</v>
      </c>
      <c r="T751" s="8" t="n">
        <v>0</v>
      </c>
      <c r="U751" s="8" t="n">
        <v>0</v>
      </c>
      <c r="W751" s="8" t="n">
        <v>0</v>
      </c>
      <c r="Y751" s="8" t="inlineStr">
        <is>
          <t>Name in source: Brady Sawyer</t>
        </is>
      </c>
    </row>
    <row r="752" ht="15.75" customHeight="1" s="35">
      <c r="A752" s="8" t="inlineStr">
        <is>
          <t>2026-03-31_HWRD_at_CRFT</t>
        </is>
      </c>
      <c r="B752" s="2" t="n">
        <v>46112</v>
      </c>
      <c r="C752" s="8" t="inlineStr">
        <is>
          <t>Crofton Varsity Cardinals</t>
        </is>
      </c>
      <c r="D752" s="8" t="inlineStr">
        <is>
          <t>HWRD</t>
        </is>
      </c>
      <c r="E752" s="8" t="inlineStr">
        <is>
          <t>D Alves</t>
        </is>
      </c>
      <c r="F752" s="8" t="n">
        <v>4</v>
      </c>
      <c r="G752" s="8" t="n">
        <v>2</v>
      </c>
      <c r="H752" s="8" t="n">
        <v>1</v>
      </c>
      <c r="I752" s="8" t="n">
        <v>1</v>
      </c>
      <c r="J752" s="8" t="n">
        <v>0</v>
      </c>
      <c r="K752" s="8" t="n">
        <v>0</v>
      </c>
      <c r="L752" s="8" t="n">
        <v>0</v>
      </c>
      <c r="M752" s="8" t="n">
        <v>1</v>
      </c>
      <c r="N752" s="8" t="n">
        <v>0</v>
      </c>
      <c r="O752" s="8" t="n">
        <v>0</v>
      </c>
      <c r="R752" s="8" t="n">
        <v>2</v>
      </c>
      <c r="S752" s="8" t="n">
        <v>2</v>
      </c>
      <c r="T752" s="8" t="n">
        <v>1</v>
      </c>
      <c r="U752" s="8" t="n">
        <v>0</v>
      </c>
      <c r="W752" s="8" t="n">
        <v>0</v>
      </c>
      <c r="Y752" s="8" t="inlineStr">
        <is>
          <t>Name in source: Dominic Alves. SF counted in PA (SF=1).</t>
        </is>
      </c>
    </row>
    <row r="753" ht="15.75" customHeight="1" s="35">
      <c r="A753" s="8" t="inlineStr">
        <is>
          <t>2026-03-31_HWRD_at_CRFT</t>
        </is>
      </c>
      <c r="B753" s="2" t="n">
        <v>46112</v>
      </c>
      <c r="C753" s="8" t="inlineStr">
        <is>
          <t>Crofton Varsity Cardinals</t>
        </is>
      </c>
      <c r="D753" s="8" t="inlineStr">
        <is>
          <t>HWRD</t>
        </is>
      </c>
      <c r="E753" s="8" t="inlineStr">
        <is>
          <t>N Hegedus</t>
        </is>
      </c>
      <c r="F753" s="8" t="n">
        <v>4</v>
      </c>
      <c r="G753" s="8" t="n">
        <v>4</v>
      </c>
      <c r="H753" s="8" t="n">
        <v>2</v>
      </c>
      <c r="I753" s="8" t="n">
        <v>2</v>
      </c>
      <c r="J753" s="8" t="n">
        <v>0</v>
      </c>
      <c r="K753" s="8" t="n">
        <v>0</v>
      </c>
      <c r="L753" s="8" t="n">
        <v>0</v>
      </c>
      <c r="M753" s="8" t="n">
        <v>0</v>
      </c>
      <c r="N753" s="8" t="n">
        <v>0</v>
      </c>
      <c r="O753" s="8" t="n">
        <v>1</v>
      </c>
      <c r="R753" s="8" t="n">
        <v>1</v>
      </c>
      <c r="S753" s="8" t="n">
        <v>0</v>
      </c>
      <c r="T753" s="8" t="n">
        <v>0</v>
      </c>
      <c r="U753" s="8" t="n">
        <v>0</v>
      </c>
      <c r="W753" s="8" t="n">
        <v>0</v>
      </c>
      <c r="Y753" s="8" t="inlineStr">
        <is>
          <t>Name in source: Nate Hegedus</t>
        </is>
      </c>
    </row>
    <row r="754" ht="15.75" customHeight="1" s="35">
      <c r="A754" s="8" t="inlineStr">
        <is>
          <t>2026-03-31_HWRD_at_CRFT</t>
        </is>
      </c>
      <c r="B754" s="2" t="n">
        <v>46112</v>
      </c>
      <c r="C754" s="8" t="inlineStr">
        <is>
          <t>Crofton Varsity Cardinals</t>
        </is>
      </c>
      <c r="D754" s="8" t="inlineStr">
        <is>
          <t>HWRD</t>
        </is>
      </c>
      <c r="E754" s="8" t="inlineStr">
        <is>
          <t>Max Parise</t>
        </is>
      </c>
      <c r="F754" s="8" t="n">
        <v>3</v>
      </c>
      <c r="G754" s="8" t="n">
        <v>1</v>
      </c>
      <c r="H754" s="8" t="n">
        <v>1</v>
      </c>
      <c r="I754" s="8" t="n">
        <v>1</v>
      </c>
      <c r="J754" s="8" t="n">
        <v>0</v>
      </c>
      <c r="K754" s="8" t="n">
        <v>0</v>
      </c>
      <c r="L754" s="8" t="n">
        <v>0</v>
      </c>
      <c r="M754" s="8" t="n">
        <v>1</v>
      </c>
      <c r="N754" s="8" t="n">
        <v>0</v>
      </c>
      <c r="O754" s="8" t="n">
        <v>0</v>
      </c>
      <c r="R754" s="8" t="n">
        <v>1</v>
      </c>
      <c r="S754" s="8" t="n">
        <v>3</v>
      </c>
      <c r="T754" s="8" t="n">
        <v>0</v>
      </c>
      <c r="U754" s="8" t="n">
        <v>0</v>
      </c>
      <c r="W754" s="8" t="n">
        <v>0</v>
      </c>
      <c r="Y754" s="8" t="inlineStr">
        <is>
          <t>SF counted in PA (SF=1). Bases-loaded single (RBI=3).</t>
        </is>
      </c>
    </row>
    <row r="755" ht="15.75" customHeight="1" s="35">
      <c r="A755" s="8" t="inlineStr">
        <is>
          <t>2026-03-31_HWRD_at_CRFT</t>
        </is>
      </c>
      <c r="B755" s="2" t="n">
        <v>46112</v>
      </c>
      <c r="C755" s="8" t="inlineStr">
        <is>
          <t>Howard Varsity Lions</t>
        </is>
      </c>
      <c r="D755" s="8" t="inlineStr">
        <is>
          <t>CRFT</t>
        </is>
      </c>
      <c r="E755" s="8" t="inlineStr">
        <is>
          <t>Marcell Brown-Mitchell</t>
        </is>
      </c>
      <c r="F755" s="8" t="n">
        <v>4</v>
      </c>
      <c r="G755" s="8" t="n">
        <v>1</v>
      </c>
      <c r="H755" s="8" t="n">
        <v>0</v>
      </c>
      <c r="I755" s="8" t="n">
        <v>0</v>
      </c>
      <c r="J755" s="8" t="n">
        <v>0</v>
      </c>
      <c r="K755" s="8" t="n">
        <v>0</v>
      </c>
      <c r="L755" s="8" t="n">
        <v>0</v>
      </c>
      <c r="M755" s="8" t="n">
        <v>2</v>
      </c>
      <c r="N755" s="8" t="n">
        <v>1</v>
      </c>
      <c r="O755" s="8" t="n">
        <v>0</v>
      </c>
      <c r="R755" s="8" t="n">
        <v>2</v>
      </c>
      <c r="S755" s="8" t="n">
        <v>0</v>
      </c>
      <c r="T755" s="8" t="n">
        <v>2</v>
      </c>
      <c r="U755" s="8" t="n">
        <v>1</v>
      </c>
      <c r="W755" s="8" t="n">
        <v>0</v>
      </c>
    </row>
    <row r="756" ht="15.75" customHeight="1" s="35">
      <c r="A756" s="8" t="inlineStr">
        <is>
          <t>2026-03-31_HWRD_at_CRFT</t>
        </is>
      </c>
      <c r="B756" s="2" t="n">
        <v>46112</v>
      </c>
      <c r="C756" s="8" t="inlineStr">
        <is>
          <t>Howard Varsity Lions</t>
        </is>
      </c>
      <c r="D756" s="8" t="inlineStr">
        <is>
          <t>CRFT</t>
        </is>
      </c>
      <c r="E756" s="8" t="inlineStr">
        <is>
          <t>Billy White</t>
        </is>
      </c>
      <c r="F756" s="8" t="n">
        <v>4</v>
      </c>
      <c r="G756" s="8" t="n">
        <v>1</v>
      </c>
      <c r="H756" s="8" t="n">
        <v>0</v>
      </c>
      <c r="I756" s="8" t="n">
        <v>0</v>
      </c>
      <c r="J756" s="8" t="n">
        <v>0</v>
      </c>
      <c r="K756" s="8" t="n">
        <v>0</v>
      </c>
      <c r="L756" s="8" t="n">
        <v>0</v>
      </c>
      <c r="M756" s="8" t="n">
        <v>3</v>
      </c>
      <c r="N756" s="8" t="n">
        <v>0</v>
      </c>
      <c r="O756" s="8" t="n">
        <v>0</v>
      </c>
      <c r="R756" s="8" t="n">
        <v>3</v>
      </c>
      <c r="S756" s="8" t="n">
        <v>0</v>
      </c>
      <c r="T756" s="8" t="n">
        <v>2</v>
      </c>
      <c r="U756" s="8" t="n">
        <v>0</v>
      </c>
      <c r="W756" s="8" t="n">
        <v>0</v>
      </c>
    </row>
    <row r="757" ht="15.75" customHeight="1" s="35">
      <c r="A757" s="8" t="inlineStr">
        <is>
          <t>2026-03-31_HWRD_at_CRFT</t>
        </is>
      </c>
      <c r="B757" s="2" t="n">
        <v>46112</v>
      </c>
      <c r="C757" s="8" t="inlineStr">
        <is>
          <t>Howard Varsity Lions</t>
        </is>
      </c>
      <c r="D757" s="8" t="inlineStr">
        <is>
          <t>CRFT</t>
        </is>
      </c>
      <c r="E757" s="8" t="inlineStr">
        <is>
          <t>Jason Gifford</t>
        </is>
      </c>
      <c r="F757" s="8" t="n">
        <v>4</v>
      </c>
      <c r="G757" s="8" t="n">
        <v>3</v>
      </c>
      <c r="H757" s="8" t="n">
        <v>1</v>
      </c>
      <c r="I757" s="8" t="n">
        <v>1</v>
      </c>
      <c r="J757" s="8" t="n">
        <v>0</v>
      </c>
      <c r="K757" s="8" t="n">
        <v>0</v>
      </c>
      <c r="L757" s="8" t="n">
        <v>0</v>
      </c>
      <c r="M757" s="8" t="n">
        <v>1</v>
      </c>
      <c r="N757" s="8" t="n">
        <v>0</v>
      </c>
      <c r="O757" s="8" t="n">
        <v>1</v>
      </c>
      <c r="R757" s="8" t="n">
        <v>2</v>
      </c>
      <c r="S757" s="8" t="n">
        <v>2</v>
      </c>
      <c r="T757" s="8" t="n">
        <v>0</v>
      </c>
      <c r="U757" s="8" t="n">
        <v>0</v>
      </c>
      <c r="W757" s="8" t="n">
        <v>0</v>
      </c>
    </row>
    <row r="758" ht="15.75" customHeight="1" s="35">
      <c r="A758" s="8" t="inlineStr">
        <is>
          <t>2026-03-31_HWRD_at_CRFT</t>
        </is>
      </c>
      <c r="B758" s="2" t="n">
        <v>46112</v>
      </c>
      <c r="C758" s="8" t="inlineStr">
        <is>
          <t>Howard Varsity Lions</t>
        </is>
      </c>
      <c r="D758" s="8" t="inlineStr">
        <is>
          <t>CRFT</t>
        </is>
      </c>
      <c r="E758" s="8" t="inlineStr">
        <is>
          <t>Evan Colgan</t>
        </is>
      </c>
      <c r="F758" s="8" t="n">
        <v>0</v>
      </c>
      <c r="G758" s="8" t="n">
        <v>0</v>
      </c>
      <c r="H758" s="8" t="n">
        <v>0</v>
      </c>
      <c r="I758" s="8" t="n">
        <v>0</v>
      </c>
      <c r="J758" s="8" t="n">
        <v>0</v>
      </c>
      <c r="K758" s="8" t="n">
        <v>0</v>
      </c>
      <c r="L758" s="8" t="n">
        <v>0</v>
      </c>
      <c r="M758" s="8" t="n">
        <v>0</v>
      </c>
      <c r="N758" s="8" t="n">
        <v>0</v>
      </c>
      <c r="O758" s="8" t="n">
        <v>0</v>
      </c>
      <c r="R758" s="8" t="n">
        <v>0</v>
      </c>
      <c r="S758" s="8" t="n">
        <v>0</v>
      </c>
      <c r="T758" s="8" t="n">
        <v>0</v>
      </c>
      <c r="U758" s="8" t="n">
        <v>0</v>
      </c>
      <c r="W758" s="8" t="n">
        <v>0</v>
      </c>
      <c r="Y758" s="8" t="inlineStr">
        <is>
          <t>PA=0 — write all zeros per zero-PA rule.</t>
        </is>
      </c>
    </row>
    <row r="759" ht="15.75" customHeight="1" s="35">
      <c r="A759" s="8" t="inlineStr">
        <is>
          <t>2026-03-31_HWRD_at_CRFT</t>
        </is>
      </c>
      <c r="B759" s="2" t="n">
        <v>46112</v>
      </c>
      <c r="C759" s="8" t="inlineStr">
        <is>
          <t>Howard Varsity Lions</t>
        </is>
      </c>
      <c r="D759" s="8" t="inlineStr">
        <is>
          <t>CRFT</t>
        </is>
      </c>
      <c r="E759" s="8" t="inlineStr">
        <is>
          <t>Nathan Truman</t>
        </is>
      </c>
      <c r="F759" s="8" t="n">
        <v>4</v>
      </c>
      <c r="G759" s="8" t="n">
        <v>2</v>
      </c>
      <c r="H759" s="8" t="n">
        <v>2</v>
      </c>
      <c r="I759" s="8" t="n">
        <v>2</v>
      </c>
      <c r="J759" s="8" t="n">
        <v>0</v>
      </c>
      <c r="K759" s="8" t="n">
        <v>0</v>
      </c>
      <c r="L759" s="8" t="n">
        <v>0</v>
      </c>
      <c r="M759" s="8" t="n">
        <v>2</v>
      </c>
      <c r="N759" s="8" t="n">
        <v>0</v>
      </c>
      <c r="O759" s="8" t="n">
        <v>0</v>
      </c>
      <c r="R759" s="8" t="n">
        <v>2</v>
      </c>
      <c r="S759" s="8" t="n">
        <v>0</v>
      </c>
      <c r="T759" s="8" t="n">
        <v>1</v>
      </c>
      <c r="U759" s="8" t="n">
        <v>0</v>
      </c>
      <c r="W759" s="8" t="n">
        <v>0</v>
      </c>
    </row>
    <row r="760" ht="15.75" customHeight="1" s="35">
      <c r="A760" s="8" t="inlineStr">
        <is>
          <t>2026-03-31_HWRD_at_CRFT</t>
        </is>
      </c>
      <c r="B760" s="2" t="n">
        <v>46112</v>
      </c>
      <c r="C760" s="8" t="inlineStr">
        <is>
          <t>Howard Varsity Lions</t>
        </is>
      </c>
      <c r="D760" s="8" t="inlineStr">
        <is>
          <t>CRFT</t>
        </is>
      </c>
      <c r="E760" s="8" t="inlineStr">
        <is>
          <t>Xander Bejar</t>
        </is>
      </c>
      <c r="F760" s="8" t="n">
        <v>2</v>
      </c>
      <c r="G760" s="8" t="n">
        <v>1</v>
      </c>
      <c r="H760" s="8" t="n">
        <v>1</v>
      </c>
      <c r="I760" s="8" t="n">
        <v>0</v>
      </c>
      <c r="J760" s="8" t="n">
        <v>0</v>
      </c>
      <c r="K760" s="8" t="n">
        <v>1</v>
      </c>
      <c r="L760" s="8" t="n">
        <v>0</v>
      </c>
      <c r="M760" s="8" t="n">
        <v>0</v>
      </c>
      <c r="N760" s="8" t="n">
        <v>1</v>
      </c>
      <c r="O760" s="8" t="n">
        <v>0</v>
      </c>
      <c r="R760" s="8" t="n">
        <v>1</v>
      </c>
      <c r="S760" s="8" t="n">
        <v>2</v>
      </c>
      <c r="T760" s="8" t="n">
        <v>0</v>
      </c>
      <c r="U760" s="8" t="n">
        <v>0</v>
      </c>
      <c r="W760" s="8" t="n">
        <v>0</v>
      </c>
      <c r="Y760" s="8" t="inlineStr">
        <is>
          <t>Also pitches for CRFT.</t>
        </is>
      </c>
    </row>
    <row r="761" ht="15.75" customHeight="1" s="35">
      <c r="A761" s="8" t="inlineStr">
        <is>
          <t>2026-03-31_HWRD_at_CRFT</t>
        </is>
      </c>
      <c r="B761" s="2" t="n">
        <v>46112</v>
      </c>
      <c r="C761" s="8" t="inlineStr">
        <is>
          <t>Howard Varsity Lions</t>
        </is>
      </c>
      <c r="D761" s="8" t="inlineStr">
        <is>
          <t>CRFT</t>
        </is>
      </c>
      <c r="E761" s="8" t="inlineStr">
        <is>
          <t>CRFT_#10</t>
        </is>
      </c>
      <c r="F761" s="8" t="n">
        <v>3</v>
      </c>
      <c r="G761" s="8" t="n">
        <v>1</v>
      </c>
      <c r="H761" s="8" t="n">
        <v>0</v>
      </c>
      <c r="I761" s="8" t="n">
        <v>0</v>
      </c>
      <c r="J761" s="8" t="n">
        <v>0</v>
      </c>
      <c r="K761" s="8" t="n">
        <v>0</v>
      </c>
      <c r="L761" s="8" t="n">
        <v>0</v>
      </c>
      <c r="M761" s="8" t="n">
        <v>1</v>
      </c>
      <c r="N761" s="8" t="n">
        <v>0</v>
      </c>
      <c r="O761" s="8" t="n">
        <v>1</v>
      </c>
      <c r="R761" s="8" t="n">
        <v>0</v>
      </c>
      <c r="S761" s="8" t="n">
        <v>0</v>
      </c>
      <c r="T761" s="8" t="n">
        <v>0</v>
      </c>
      <c r="U761" s="8" t="n">
        <v>0</v>
      </c>
      <c r="W761" s="8" t="n">
        <v>0</v>
      </c>
      <c r="Y761" s="8" t="inlineStr">
        <is>
          <t>SF counted in PA (SF=1). RBI=0 per table; advisory: SF should give RBI=1 — team RBI total discrepancy noted. Also pitches for CRFT.</t>
        </is>
      </c>
    </row>
    <row r="762" ht="15.75" customHeight="1" s="35">
      <c r="A762" s="8" t="inlineStr">
        <is>
          <t>2026-03-31_HWRD_at_CRFT</t>
        </is>
      </c>
      <c r="B762" s="2" t="n">
        <v>46112</v>
      </c>
      <c r="C762" s="8" t="inlineStr">
        <is>
          <t>Howard Varsity Lions</t>
        </is>
      </c>
      <c r="D762" s="8" t="inlineStr">
        <is>
          <t>CRFT</t>
        </is>
      </c>
      <c r="E762" s="8" t="inlineStr">
        <is>
          <t>Kaleb Willis</t>
        </is>
      </c>
      <c r="F762" s="8" t="n">
        <v>4</v>
      </c>
      <c r="G762" s="8" t="n">
        <v>4</v>
      </c>
      <c r="H762" s="8" t="n">
        <v>3</v>
      </c>
      <c r="I762" s="8" t="n">
        <v>1</v>
      </c>
      <c r="J762" s="8" t="n">
        <v>1</v>
      </c>
      <c r="K762" s="8" t="n">
        <v>1</v>
      </c>
      <c r="L762" s="8" t="n">
        <v>0</v>
      </c>
      <c r="M762" s="8" t="n">
        <v>0</v>
      </c>
      <c r="N762" s="8" t="n">
        <v>0</v>
      </c>
      <c r="O762" s="8" t="n">
        <v>0</v>
      </c>
      <c r="R762" s="8" t="n">
        <v>1</v>
      </c>
      <c r="S762" s="8" t="n">
        <v>3</v>
      </c>
      <c r="T762" s="8" t="n">
        <v>0</v>
      </c>
      <c r="U762" s="8" t="n">
        <v>0</v>
      </c>
      <c r="W762" s="8" t="n">
        <v>0</v>
      </c>
    </row>
    <row r="763" ht="15.75" customHeight="1" s="35">
      <c r="A763" s="8" t="inlineStr">
        <is>
          <t>2026-03-31_HWRD_at_CRFT</t>
        </is>
      </c>
      <c r="B763" s="2" t="n">
        <v>46112</v>
      </c>
      <c r="C763" s="8" t="inlineStr">
        <is>
          <t>Howard Varsity Lions</t>
        </is>
      </c>
      <c r="D763" s="8" t="inlineStr">
        <is>
          <t>CRFT</t>
        </is>
      </c>
      <c r="E763" s="8" t="inlineStr">
        <is>
          <t>Logan Davis</t>
        </is>
      </c>
      <c r="F763" s="8" t="n">
        <v>4</v>
      </c>
      <c r="G763" s="8" t="n">
        <v>4</v>
      </c>
      <c r="H763" s="8" t="n">
        <v>1</v>
      </c>
      <c r="I763" s="8" t="n">
        <v>1</v>
      </c>
      <c r="J763" s="8" t="n">
        <v>0</v>
      </c>
      <c r="K763" s="8" t="n">
        <v>0</v>
      </c>
      <c r="L763" s="8" t="n">
        <v>0</v>
      </c>
      <c r="M763" s="8" t="n">
        <v>0</v>
      </c>
      <c r="N763" s="8" t="n">
        <v>0</v>
      </c>
      <c r="O763" s="8" t="n">
        <v>0</v>
      </c>
      <c r="R763" s="8" t="n">
        <v>0</v>
      </c>
      <c r="S763" s="8" t="n">
        <v>1</v>
      </c>
      <c r="T763" s="8" t="n">
        <v>0</v>
      </c>
      <c r="U763" s="8" t="n">
        <v>0</v>
      </c>
      <c r="W763" s="8" t="n">
        <v>0</v>
      </c>
    </row>
    <row r="764" ht="15.75" customHeight="1" s="35">
      <c r="A764" s="8" t="inlineStr">
        <is>
          <t>2026-03-31_HWRD_at_CRFT</t>
        </is>
      </c>
      <c r="B764" s="2" t="n">
        <v>46112</v>
      </c>
      <c r="C764" s="8" t="inlineStr">
        <is>
          <t>Howard Varsity Lions</t>
        </is>
      </c>
      <c r="D764" s="8" t="inlineStr">
        <is>
          <t>CRFT</t>
        </is>
      </c>
      <c r="E764" s="8" t="inlineStr">
        <is>
          <t>Joe Hammock</t>
        </is>
      </c>
      <c r="F764" s="8" t="n">
        <v>3</v>
      </c>
      <c r="G764" s="8" t="n">
        <v>3</v>
      </c>
      <c r="H764" s="8" t="n">
        <v>1</v>
      </c>
      <c r="I764" s="8" t="n">
        <v>1</v>
      </c>
      <c r="J764" s="8" t="n">
        <v>0</v>
      </c>
      <c r="K764" s="8" t="n">
        <v>0</v>
      </c>
      <c r="L764" s="8" t="n">
        <v>0</v>
      </c>
      <c r="M764" s="8" t="n">
        <v>0</v>
      </c>
      <c r="N764" s="8" t="n">
        <v>0</v>
      </c>
      <c r="O764" s="8" t="n">
        <v>1</v>
      </c>
      <c r="R764" s="8" t="n">
        <v>0</v>
      </c>
      <c r="S764" s="8" t="n">
        <v>0</v>
      </c>
      <c r="T764" s="8" t="n">
        <v>0</v>
      </c>
      <c r="U764" s="8" t="n">
        <v>0</v>
      </c>
      <c r="W764" s="8" t="n">
        <v>0</v>
      </c>
    </row>
    <row r="765" ht="15.75" customHeight="1" s="35">
      <c r="A765" s="8" t="inlineStr">
        <is>
          <t>2026-03-31_HWRD_at_CRFT</t>
        </is>
      </c>
      <c r="B765" s="2" t="n">
        <v>46112</v>
      </c>
      <c r="C765" s="8" t="inlineStr">
        <is>
          <t>Howard Varsity Lions</t>
        </is>
      </c>
      <c r="D765" s="8" t="inlineStr">
        <is>
          <t>CRFT</t>
        </is>
      </c>
      <c r="E765" s="8" t="inlineStr">
        <is>
          <t>Aaron Weber</t>
        </is>
      </c>
      <c r="F765" s="8" t="n">
        <v>3</v>
      </c>
      <c r="G765" s="8" t="n">
        <v>3</v>
      </c>
      <c r="H765" s="8" t="n">
        <v>1</v>
      </c>
      <c r="I765" s="8" t="n">
        <v>1</v>
      </c>
      <c r="J765" s="8" t="n">
        <v>0</v>
      </c>
      <c r="K765" s="8" t="n">
        <v>0</v>
      </c>
      <c r="L765" s="8" t="n">
        <v>0</v>
      </c>
      <c r="M765" s="8" t="n">
        <v>0</v>
      </c>
      <c r="N765" s="8" t="n">
        <v>0</v>
      </c>
      <c r="O765" s="8" t="n">
        <v>0</v>
      </c>
      <c r="R765" s="8" t="n">
        <v>0</v>
      </c>
      <c r="S765" s="8" t="n">
        <v>0</v>
      </c>
      <c r="T765" s="8" t="n">
        <v>0</v>
      </c>
      <c r="U765" s="8" t="n">
        <v>1</v>
      </c>
      <c r="W765" s="8" t="n">
        <v>0</v>
      </c>
    </row>
    <row r="766" ht="15.75" customHeight="1" s="35">
      <c r="A766" s="8" t="inlineStr">
        <is>
          <t>2026-03-30_HWRD_at_MRRT</t>
        </is>
      </c>
      <c r="B766" s="2" t="n">
        <v>46111</v>
      </c>
      <c r="C766" s="8" t="inlineStr">
        <is>
          <t>Marriotts Ridge Varsity Mustangs</t>
        </is>
      </c>
      <c r="D766" s="8" t="inlineStr">
        <is>
          <t>HWRD</t>
        </is>
      </c>
      <c r="E766" s="8" t="inlineStr">
        <is>
          <t>C Parise</t>
        </is>
      </c>
      <c r="F766" s="8" t="n">
        <v>3</v>
      </c>
      <c r="G766" s="8" t="n">
        <v>1</v>
      </c>
      <c r="H766" s="8" t="n">
        <v>0</v>
      </c>
      <c r="I766" s="8" t="n">
        <v>0</v>
      </c>
      <c r="J766" s="8" t="n">
        <v>0</v>
      </c>
      <c r="K766" s="8" t="n">
        <v>0</v>
      </c>
      <c r="L766" s="8" t="n">
        <v>0</v>
      </c>
      <c r="M766" s="8" t="n">
        <v>2</v>
      </c>
      <c r="N766" s="8" t="n">
        <v>0</v>
      </c>
      <c r="O766" s="8" t="n">
        <v>0</v>
      </c>
      <c r="R766" s="8" t="n">
        <v>2</v>
      </c>
      <c r="S766" s="8" t="n">
        <v>0</v>
      </c>
      <c r="T766" s="8" t="n">
        <v>0</v>
      </c>
      <c r="U766" s="8" t="n">
        <v>0</v>
      </c>
      <c r="W766" s="8" t="n">
        <v>0</v>
      </c>
      <c r="Y766" s="8" t="inlineStr">
        <is>
          <t>Name in source: Carter Parise</t>
        </is>
      </c>
    </row>
    <row r="767" ht="15.75" customHeight="1" s="35">
      <c r="A767" s="8" t="inlineStr">
        <is>
          <t>2026-03-30_HWRD_at_MRRT</t>
        </is>
      </c>
      <c r="B767" s="2" t="n">
        <v>46111</v>
      </c>
      <c r="C767" s="8" t="inlineStr">
        <is>
          <t>Marriotts Ridge Varsity Mustangs</t>
        </is>
      </c>
      <c r="D767" s="8" t="inlineStr">
        <is>
          <t>HWRD</t>
        </is>
      </c>
      <c r="E767" s="8" t="inlineStr">
        <is>
          <t>B Giangrasso</t>
        </is>
      </c>
      <c r="F767" s="8" t="n">
        <v>3</v>
      </c>
      <c r="G767" s="8" t="n">
        <v>2</v>
      </c>
      <c r="H767" s="8" t="n">
        <v>1</v>
      </c>
      <c r="I767" s="8" t="n">
        <v>1</v>
      </c>
      <c r="J767" s="8" t="n">
        <v>0</v>
      </c>
      <c r="K767" s="8" t="n">
        <v>0</v>
      </c>
      <c r="L767" s="8" t="n">
        <v>0</v>
      </c>
      <c r="M767" s="8" t="n">
        <v>0</v>
      </c>
      <c r="N767" s="8" t="n">
        <v>1</v>
      </c>
      <c r="O767" s="8" t="n">
        <v>1</v>
      </c>
      <c r="R767" s="8" t="n">
        <v>0</v>
      </c>
      <c r="S767" s="8" t="n">
        <v>1</v>
      </c>
      <c r="T767" s="8" t="n">
        <v>0</v>
      </c>
      <c r="U767" s="8" t="n">
        <v>0</v>
      </c>
      <c r="W767" s="8" t="n">
        <v>0</v>
      </c>
      <c r="Y767" s="8" t="inlineStr">
        <is>
          <t>Name in source: Brennan Giangrasso</t>
        </is>
      </c>
    </row>
    <row r="768" ht="15.75" customHeight="1" s="35">
      <c r="A768" s="8" t="inlineStr">
        <is>
          <t>2026-03-30_HWRD_at_MRRT</t>
        </is>
      </c>
      <c r="B768" s="2" t="n">
        <v>46111</v>
      </c>
      <c r="C768" s="8" t="inlineStr">
        <is>
          <t>Marriotts Ridge Varsity Mustangs</t>
        </is>
      </c>
      <c r="D768" s="8" t="inlineStr">
        <is>
          <t>HWRD</t>
        </is>
      </c>
      <c r="E768" s="8" t="inlineStr">
        <is>
          <t>G Nystrom</t>
        </is>
      </c>
      <c r="F768" s="8" t="n">
        <v>3</v>
      </c>
      <c r="G768" s="8" t="n">
        <v>3</v>
      </c>
      <c r="H768" s="8" t="n">
        <v>0</v>
      </c>
      <c r="I768" s="8" t="n">
        <v>0</v>
      </c>
      <c r="J768" s="8" t="n">
        <v>0</v>
      </c>
      <c r="K768" s="8" t="n">
        <v>0</v>
      </c>
      <c r="L768" s="8" t="n">
        <v>0</v>
      </c>
      <c r="M768" s="8" t="n">
        <v>0</v>
      </c>
      <c r="N768" s="8" t="n">
        <v>0</v>
      </c>
      <c r="O768" s="8" t="n">
        <v>1</v>
      </c>
      <c r="R768" s="8" t="n">
        <v>0</v>
      </c>
      <c r="S768" s="8" t="n">
        <v>0</v>
      </c>
      <c r="T768" s="8" t="n">
        <v>0</v>
      </c>
      <c r="U768" s="8" t="n">
        <v>0</v>
      </c>
      <c r="W768" s="8" t="n">
        <v>0</v>
      </c>
      <c r="Y768" s="8" t="inlineStr">
        <is>
          <t>Name in source: Gavin Nystrom</t>
        </is>
      </c>
    </row>
    <row r="769" ht="15.75" customHeight="1" s="35">
      <c r="A769" s="8" t="inlineStr">
        <is>
          <t>2026-03-30_HWRD_at_MRRT</t>
        </is>
      </c>
      <c r="B769" s="2" t="n">
        <v>46111</v>
      </c>
      <c r="C769" s="8" t="inlineStr">
        <is>
          <t>Marriotts Ridge Varsity Mustangs</t>
        </is>
      </c>
      <c r="D769" s="8" t="inlineStr">
        <is>
          <t>HWRD</t>
        </is>
      </c>
      <c r="E769" s="8" t="inlineStr">
        <is>
          <t>A Proescher</t>
        </is>
      </c>
      <c r="F769" s="8" t="n">
        <v>3</v>
      </c>
      <c r="G769" s="8" t="n">
        <v>2</v>
      </c>
      <c r="H769" s="8" t="n">
        <v>0</v>
      </c>
      <c r="I769" s="8" t="n">
        <v>0</v>
      </c>
      <c r="J769" s="8" t="n">
        <v>0</v>
      </c>
      <c r="K769" s="8" t="n">
        <v>0</v>
      </c>
      <c r="L769" s="8" t="n">
        <v>0</v>
      </c>
      <c r="M769" s="8" t="n">
        <v>1</v>
      </c>
      <c r="N769" s="8" t="n">
        <v>0</v>
      </c>
      <c r="O769" s="8" t="n">
        <v>0</v>
      </c>
      <c r="R769" s="8" t="n">
        <v>0</v>
      </c>
      <c r="S769" s="8" t="n">
        <v>0</v>
      </c>
      <c r="T769" s="8" t="n">
        <v>0</v>
      </c>
      <c r="U769" s="8" t="n">
        <v>0</v>
      </c>
      <c r="W769" s="8" t="n">
        <v>0</v>
      </c>
      <c r="Y769" s="8" t="inlineStr">
        <is>
          <t>Name in source: Austin Proescher</t>
        </is>
      </c>
    </row>
    <row r="770" ht="15.75" customHeight="1" s="35">
      <c r="A770" s="8" t="inlineStr">
        <is>
          <t>2026-03-30_HWRD_at_MRRT</t>
        </is>
      </c>
      <c r="B770" s="2" t="n">
        <v>46111</v>
      </c>
      <c r="C770" s="8" t="inlineStr">
        <is>
          <t>Marriotts Ridge Varsity Mustangs</t>
        </is>
      </c>
      <c r="D770" s="8" t="inlineStr">
        <is>
          <t>HWRD</t>
        </is>
      </c>
      <c r="E770" s="8" t="inlineStr">
        <is>
          <t>D Heim</t>
        </is>
      </c>
      <c r="F770" s="8" t="n">
        <v>3</v>
      </c>
      <c r="G770" s="8" t="n">
        <v>2</v>
      </c>
      <c r="H770" s="8" t="n">
        <v>1</v>
      </c>
      <c r="I770" s="8" t="n">
        <v>1</v>
      </c>
      <c r="J770" s="8" t="n">
        <v>0</v>
      </c>
      <c r="K770" s="8" t="n">
        <v>0</v>
      </c>
      <c r="L770" s="8" t="n">
        <v>0</v>
      </c>
      <c r="M770" s="8" t="n">
        <v>1</v>
      </c>
      <c r="N770" s="8" t="n">
        <v>0</v>
      </c>
      <c r="O770" s="8" t="n">
        <v>0</v>
      </c>
      <c r="R770" s="8" t="n">
        <v>0</v>
      </c>
      <c r="S770" s="8" t="n">
        <v>0</v>
      </c>
      <c r="T770" s="8" t="n">
        <v>0</v>
      </c>
      <c r="U770" s="8" t="n">
        <v>0</v>
      </c>
      <c r="W770" s="8" t="n">
        <v>0</v>
      </c>
      <c r="Y770" s="8" t="inlineStr">
        <is>
          <t>Name in source: Darren Heim</t>
        </is>
      </c>
    </row>
    <row r="771" ht="15.75" customHeight="1" s="35">
      <c r="A771" s="8" t="inlineStr">
        <is>
          <t>2026-03-30_HWRD_at_MRRT</t>
        </is>
      </c>
      <c r="B771" s="2" t="n">
        <v>46111</v>
      </c>
      <c r="C771" s="8" t="inlineStr">
        <is>
          <t>Marriotts Ridge Varsity Mustangs</t>
        </is>
      </c>
      <c r="D771" s="8" t="inlineStr">
        <is>
          <t>HWRD</t>
        </is>
      </c>
      <c r="E771" s="8" t="inlineStr">
        <is>
          <t>Gibson Martin</t>
        </is>
      </c>
      <c r="F771" s="8" t="n">
        <v>0</v>
      </c>
      <c r="G771" s="8" t="n">
        <v>0</v>
      </c>
      <c r="H771" s="8" t="n">
        <v>0</v>
      </c>
      <c r="I771" s="8" t="n">
        <v>0</v>
      </c>
      <c r="J771" s="8" t="n">
        <v>0</v>
      </c>
      <c r="K771" s="8" t="n">
        <v>0</v>
      </c>
      <c r="L771" s="8" t="n">
        <v>0</v>
      </c>
      <c r="M771" s="8" t="n">
        <v>0</v>
      </c>
      <c r="N771" s="8" t="n">
        <v>0</v>
      </c>
      <c r="O771" s="8" t="n">
        <v>0</v>
      </c>
      <c r="R771" s="8" t="n">
        <v>0</v>
      </c>
      <c r="S771" s="8" t="n">
        <v>0</v>
      </c>
      <c r="T771" s="8" t="n">
        <v>0</v>
      </c>
      <c r="U771" s="8" t="n">
        <v>0</v>
      </c>
      <c r="W771" s="8" t="n">
        <v>0</v>
      </c>
      <c r="Y771" s="8" t="inlineStr">
        <is>
          <t>PA=0 — write all zeros per zero-PA rule.</t>
        </is>
      </c>
    </row>
    <row r="772" ht="15.75" customHeight="1" s="35">
      <c r="A772" s="8" t="inlineStr">
        <is>
          <t>2026-03-30_HWRD_at_MRRT</t>
        </is>
      </c>
      <c r="B772" s="2" t="n">
        <v>46111</v>
      </c>
      <c r="C772" s="8" t="inlineStr">
        <is>
          <t>Marriotts Ridge Varsity Mustangs</t>
        </is>
      </c>
      <c r="D772" s="8" t="inlineStr">
        <is>
          <t>HWRD</t>
        </is>
      </c>
      <c r="E772" s="8" t="inlineStr">
        <is>
          <t>B Sawyer</t>
        </is>
      </c>
      <c r="F772" s="8" t="n">
        <v>2</v>
      </c>
      <c r="G772" s="8" t="n">
        <v>2</v>
      </c>
      <c r="H772" s="8" t="n">
        <v>1</v>
      </c>
      <c r="I772" s="8" t="n">
        <v>1</v>
      </c>
      <c r="J772" s="8" t="n">
        <v>0</v>
      </c>
      <c r="K772" s="8" t="n">
        <v>0</v>
      </c>
      <c r="L772" s="8" t="n">
        <v>0</v>
      </c>
      <c r="M772" s="8" t="n">
        <v>0</v>
      </c>
      <c r="N772" s="8" t="n">
        <v>0</v>
      </c>
      <c r="O772" s="8" t="n">
        <v>1</v>
      </c>
      <c r="R772" s="8" t="n">
        <v>0</v>
      </c>
      <c r="S772" s="8" t="n">
        <v>0</v>
      </c>
      <c r="T772" s="8" t="n">
        <v>0</v>
      </c>
      <c r="U772" s="8" t="n">
        <v>0</v>
      </c>
      <c r="W772" s="8" t="n">
        <v>0</v>
      </c>
      <c r="Y772" s="8" t="inlineStr">
        <is>
          <t>Name in source: Brady Sawyer</t>
        </is>
      </c>
    </row>
    <row r="773" ht="15.75" customHeight="1" s="35">
      <c r="A773" s="8" t="inlineStr">
        <is>
          <t>2026-03-30_HWRD_at_MRRT</t>
        </is>
      </c>
      <c r="B773" s="2" t="n">
        <v>46111</v>
      </c>
      <c r="C773" s="8" t="inlineStr">
        <is>
          <t>Marriotts Ridge Varsity Mustangs</t>
        </is>
      </c>
      <c r="D773" s="8" t="inlineStr">
        <is>
          <t>HWRD</t>
        </is>
      </c>
      <c r="E773" s="8" t="inlineStr">
        <is>
          <t>C Hudson</t>
        </is>
      </c>
      <c r="F773" s="8" t="n">
        <v>2</v>
      </c>
      <c r="G773" s="8" t="n">
        <v>2</v>
      </c>
      <c r="H773" s="8" t="n">
        <v>0</v>
      </c>
      <c r="I773" s="8" t="n">
        <v>0</v>
      </c>
      <c r="J773" s="8" t="n">
        <v>0</v>
      </c>
      <c r="K773" s="8" t="n">
        <v>0</v>
      </c>
      <c r="L773" s="8" t="n">
        <v>0</v>
      </c>
      <c r="M773" s="8" t="n">
        <v>0</v>
      </c>
      <c r="N773" s="8" t="n">
        <v>0</v>
      </c>
      <c r="O773" s="8" t="n">
        <v>0</v>
      </c>
      <c r="R773" s="8" t="n">
        <v>0</v>
      </c>
      <c r="S773" s="8" t="n">
        <v>0</v>
      </c>
      <c r="T773" s="8" t="n">
        <v>0</v>
      </c>
      <c r="U773" s="8" t="n">
        <v>0</v>
      </c>
      <c r="W773" s="8" t="n">
        <v>0</v>
      </c>
      <c r="Y773" s="8" t="inlineStr">
        <is>
          <t>Name in source: Carter Hudson</t>
        </is>
      </c>
    </row>
    <row r="774" ht="15.75" customHeight="1" s="35">
      <c r="A774" s="8" t="inlineStr">
        <is>
          <t>2026-03-30_HWRD_at_MRRT</t>
        </is>
      </c>
      <c r="B774" s="2" t="n">
        <v>46111</v>
      </c>
      <c r="C774" s="8" t="inlineStr">
        <is>
          <t>Marriotts Ridge Varsity Mustangs</t>
        </is>
      </c>
      <c r="D774" s="8" t="inlineStr">
        <is>
          <t>HWRD</t>
        </is>
      </c>
      <c r="E774" s="8" t="inlineStr">
        <is>
          <t>D Alves</t>
        </is>
      </c>
      <c r="F774" s="8" t="n">
        <v>2</v>
      </c>
      <c r="G774" s="8" t="n">
        <v>0</v>
      </c>
      <c r="H774" s="8" t="n">
        <v>0</v>
      </c>
      <c r="I774" s="8" t="n">
        <v>0</v>
      </c>
      <c r="J774" s="8" t="n">
        <v>0</v>
      </c>
      <c r="K774" s="8" t="n">
        <v>0</v>
      </c>
      <c r="L774" s="8" t="n">
        <v>0</v>
      </c>
      <c r="M774" s="8" t="n">
        <v>2</v>
      </c>
      <c r="N774" s="8" t="n">
        <v>0</v>
      </c>
      <c r="O774" s="8" t="n">
        <v>0</v>
      </c>
      <c r="R774" s="8" t="n">
        <v>1</v>
      </c>
      <c r="S774" s="8" t="n">
        <v>0</v>
      </c>
      <c r="T774" s="8" t="n">
        <v>1</v>
      </c>
      <c r="U774" s="8" t="n">
        <v>1</v>
      </c>
      <c r="W774" s="8" t="n">
        <v>0</v>
      </c>
      <c r="Y774" s="8" t="inlineStr">
        <is>
          <t>Name in source: Dominic Alves</t>
        </is>
      </c>
    </row>
    <row r="775" ht="15.75" customHeight="1" s="35">
      <c r="A775" s="8" t="inlineStr">
        <is>
          <t>2026-03-30_HWRD_at_MRRT</t>
        </is>
      </c>
      <c r="B775" s="2" t="n">
        <v>46111</v>
      </c>
      <c r="C775" s="8" t="inlineStr">
        <is>
          <t>Marriotts Ridge Varsity Mustangs</t>
        </is>
      </c>
      <c r="D775" s="8" t="inlineStr">
        <is>
          <t>HWRD</t>
        </is>
      </c>
      <c r="E775" s="8" t="inlineStr">
        <is>
          <t>N Hegedus</t>
        </is>
      </c>
      <c r="F775" s="8" t="n">
        <v>2</v>
      </c>
      <c r="G775" s="8" t="n">
        <v>2</v>
      </c>
      <c r="H775" s="8" t="n">
        <v>0</v>
      </c>
      <c r="I775" s="8" t="n">
        <v>0</v>
      </c>
      <c r="J775" s="8" t="n">
        <v>0</v>
      </c>
      <c r="K775" s="8" t="n">
        <v>0</v>
      </c>
      <c r="L775" s="8" t="n">
        <v>0</v>
      </c>
      <c r="M775" s="8" t="n">
        <v>0</v>
      </c>
      <c r="N775" s="8" t="n">
        <v>0</v>
      </c>
      <c r="O775" s="8" t="n">
        <v>1</v>
      </c>
      <c r="R775" s="8" t="n">
        <v>0</v>
      </c>
      <c r="S775" s="8" t="n">
        <v>0</v>
      </c>
      <c r="T775" s="8" t="n">
        <v>0</v>
      </c>
      <c r="U775" s="8" t="n">
        <v>0</v>
      </c>
      <c r="W775" s="8" t="n">
        <v>0</v>
      </c>
      <c r="Y775" s="8" t="inlineStr">
        <is>
          <t>Name in source: Nate Hegedus</t>
        </is>
      </c>
    </row>
    <row r="776" ht="15.75" customHeight="1" s="35">
      <c r="A776" s="8" t="inlineStr">
        <is>
          <t>2026-03-30_HWRD_at_MRRT</t>
        </is>
      </c>
      <c r="B776" s="2" t="n">
        <v>46111</v>
      </c>
      <c r="C776" s="8" t="inlineStr">
        <is>
          <t>Howard Varsity Lions</t>
        </is>
      </c>
      <c r="D776" s="8" t="inlineStr">
        <is>
          <t>MRRT</t>
        </is>
      </c>
      <c r="E776" s="8" t="inlineStr">
        <is>
          <t>A Schwendeman</t>
        </is>
      </c>
      <c r="F776" s="8" t="n">
        <v>4</v>
      </c>
      <c r="G776" s="8" t="n">
        <v>4</v>
      </c>
      <c r="H776" s="8" t="n">
        <v>1</v>
      </c>
      <c r="I776" s="8" t="n">
        <v>1</v>
      </c>
      <c r="J776" s="8" t="n">
        <v>0</v>
      </c>
      <c r="K776" s="8" t="n">
        <v>0</v>
      </c>
      <c r="L776" s="8" t="n">
        <v>0</v>
      </c>
      <c r="M776" s="8" t="n">
        <v>0</v>
      </c>
      <c r="N776" s="8" t="n">
        <v>0</v>
      </c>
      <c r="O776" s="8" t="n">
        <v>0</v>
      </c>
      <c r="R776" s="8" t="n">
        <v>2</v>
      </c>
      <c r="S776" s="8" t="n">
        <v>1</v>
      </c>
      <c r="T776" s="8" t="n">
        <v>0</v>
      </c>
      <c r="U776" s="8" t="n">
        <v>0</v>
      </c>
      <c r="W776" s="8" t="n">
        <v>0</v>
      </c>
      <c r="Y776" s="8" t="inlineStr">
        <is>
          <t>Name in source: Alec Schwendeman</t>
        </is>
      </c>
    </row>
    <row r="777" ht="15.75" customHeight="1" s="35">
      <c r="A777" s="8" t="inlineStr">
        <is>
          <t>2026-03-30_HWRD_at_MRRT</t>
        </is>
      </c>
      <c r="B777" s="2" t="n">
        <v>46111</v>
      </c>
      <c r="C777" s="8" t="inlineStr">
        <is>
          <t>Howard Varsity Lions</t>
        </is>
      </c>
      <c r="D777" s="8" t="inlineStr">
        <is>
          <t>MRRT</t>
        </is>
      </c>
      <c r="E777" s="8" t="inlineStr">
        <is>
          <t>O Snow</t>
        </is>
      </c>
      <c r="F777" s="8" t="n">
        <v>4</v>
      </c>
      <c r="G777" s="8" t="n">
        <v>3</v>
      </c>
      <c r="H777" s="8" t="n">
        <v>2</v>
      </c>
      <c r="I777" s="8" t="n">
        <v>2</v>
      </c>
      <c r="J777" s="8" t="n">
        <v>0</v>
      </c>
      <c r="K777" s="8" t="n">
        <v>0</v>
      </c>
      <c r="L777" s="8" t="n">
        <v>0</v>
      </c>
      <c r="M777" s="8" t="n">
        <v>1</v>
      </c>
      <c r="N777" s="8" t="n">
        <v>0</v>
      </c>
      <c r="O777" s="8" t="n">
        <v>0</v>
      </c>
      <c r="R777" s="8" t="n">
        <v>3</v>
      </c>
      <c r="S777" s="8" t="n">
        <v>1</v>
      </c>
      <c r="T777" s="8" t="n">
        <v>1</v>
      </c>
      <c r="U777" s="8" t="n">
        <v>0</v>
      </c>
      <c r="W777" s="8" t="n">
        <v>0</v>
      </c>
      <c r="Y777" s="8" t="inlineStr">
        <is>
          <t>Name in source: Owen Snow. Also pitches for MRRT.</t>
        </is>
      </c>
    </row>
    <row r="778" ht="15.75" customHeight="1" s="35">
      <c r="A778" s="8" t="inlineStr">
        <is>
          <t>2026-03-30_HWRD_at_MRRT</t>
        </is>
      </c>
      <c r="B778" s="2" t="n">
        <v>46111</v>
      </c>
      <c r="C778" s="8" t="inlineStr">
        <is>
          <t>Howard Varsity Lions</t>
        </is>
      </c>
      <c r="D778" s="8" t="inlineStr">
        <is>
          <t>MRRT</t>
        </is>
      </c>
      <c r="E778" s="8" t="inlineStr">
        <is>
          <t>M Parson</t>
        </is>
      </c>
      <c r="F778" s="8" t="n">
        <v>4</v>
      </c>
      <c r="G778" s="8" t="n">
        <v>0</v>
      </c>
      <c r="H778" s="8" t="n">
        <v>0</v>
      </c>
      <c r="I778" s="8" t="n">
        <v>0</v>
      </c>
      <c r="J778" s="8" t="n">
        <v>0</v>
      </c>
      <c r="K778" s="8" t="n">
        <v>0</v>
      </c>
      <c r="L778" s="8" t="n">
        <v>0</v>
      </c>
      <c r="M778" s="8" t="n">
        <v>2</v>
      </c>
      <c r="N778" s="8" t="n">
        <v>2</v>
      </c>
      <c r="O778" s="8" t="n">
        <v>0</v>
      </c>
      <c r="R778" s="8" t="n">
        <v>3</v>
      </c>
      <c r="S778" s="8" t="n">
        <v>1</v>
      </c>
      <c r="T778" s="8" t="n">
        <v>0</v>
      </c>
      <c r="U778" s="8" t="n">
        <v>0</v>
      </c>
      <c r="W778" s="8" t="n">
        <v>0</v>
      </c>
      <c r="Y778" s="8" t="inlineStr">
        <is>
          <t>Name in source: Malcolm Parson</t>
        </is>
      </c>
    </row>
    <row r="779" ht="15.75" customHeight="1" s="35">
      <c r="A779" s="8" t="inlineStr">
        <is>
          <t>2026-03-30_HWRD_at_MRRT</t>
        </is>
      </c>
      <c r="B779" s="2" t="n">
        <v>46111</v>
      </c>
      <c r="C779" s="8" t="inlineStr">
        <is>
          <t>Howard Varsity Lions</t>
        </is>
      </c>
      <c r="D779" s="8" t="inlineStr">
        <is>
          <t>MRRT</t>
        </is>
      </c>
      <c r="E779" s="8" t="inlineStr">
        <is>
          <t>N Brown</t>
        </is>
      </c>
      <c r="F779" s="8" t="n">
        <v>4</v>
      </c>
      <c r="G779" s="8" t="n">
        <v>1</v>
      </c>
      <c r="H779" s="8" t="n">
        <v>0</v>
      </c>
      <c r="I779" s="8" t="n">
        <v>0</v>
      </c>
      <c r="J779" s="8" t="n">
        <v>0</v>
      </c>
      <c r="K779" s="8" t="n">
        <v>0</v>
      </c>
      <c r="L779" s="8" t="n">
        <v>0</v>
      </c>
      <c r="M779" s="8" t="n">
        <v>2</v>
      </c>
      <c r="N779" s="8" t="n">
        <v>0</v>
      </c>
      <c r="O779" s="8" t="n">
        <v>0</v>
      </c>
      <c r="R779" s="8" t="n">
        <v>1</v>
      </c>
      <c r="S779" s="8" t="n">
        <v>0</v>
      </c>
      <c r="T779" s="8" t="n">
        <v>0</v>
      </c>
      <c r="U779" s="8" t="n">
        <v>0</v>
      </c>
      <c r="W779" s="8" t="n">
        <v>0</v>
      </c>
      <c r="Y779" s="8" t="inlineStr">
        <is>
          <t>Name in source: Nick Brown. SF counted in PA (SF=1). RBI=0 per table (advisory: SF should give RBI≥1).</t>
        </is>
      </c>
    </row>
    <row r="780" ht="15.75" customHeight="1" s="35">
      <c r="A780" s="8" t="inlineStr">
        <is>
          <t>2026-03-30_HWRD_at_MRRT</t>
        </is>
      </c>
      <c r="B780" s="2" t="n">
        <v>46111</v>
      </c>
      <c r="C780" s="8" t="inlineStr">
        <is>
          <t>Howard Varsity Lions</t>
        </is>
      </c>
      <c r="D780" s="8" t="inlineStr">
        <is>
          <t>MRRT</t>
        </is>
      </c>
      <c r="E780" s="8" t="inlineStr">
        <is>
          <t>A Devito</t>
        </is>
      </c>
      <c r="F780" s="8" t="n">
        <v>3</v>
      </c>
      <c r="G780" s="8" t="n">
        <v>2</v>
      </c>
      <c r="H780" s="8" t="n">
        <v>0</v>
      </c>
      <c r="I780" s="8" t="n">
        <v>0</v>
      </c>
      <c r="J780" s="8" t="n">
        <v>0</v>
      </c>
      <c r="K780" s="8" t="n">
        <v>0</v>
      </c>
      <c r="L780" s="8" t="n">
        <v>0</v>
      </c>
      <c r="M780" s="8" t="n">
        <v>1</v>
      </c>
      <c r="N780" s="8" t="n">
        <v>0</v>
      </c>
      <c r="O780" s="8" t="n">
        <v>1</v>
      </c>
      <c r="R780" s="8" t="n">
        <v>1</v>
      </c>
      <c r="S780" s="8" t="n">
        <v>0</v>
      </c>
      <c r="T780" s="8" t="n">
        <v>0</v>
      </c>
      <c r="U780" s="8" t="n">
        <v>0</v>
      </c>
      <c r="W780" s="8" t="n">
        <v>0</v>
      </c>
      <c r="Y780" s="8" t="inlineStr">
        <is>
          <t>Name in source: Anthony Devito</t>
        </is>
      </c>
    </row>
    <row r="781" ht="15.75" customHeight="1" s="35">
      <c r="A781" s="8" t="inlineStr">
        <is>
          <t>2026-03-30_HWRD_at_MRRT</t>
        </is>
      </c>
      <c r="B781" s="2" t="n">
        <v>46111</v>
      </c>
      <c r="C781" s="8" t="inlineStr">
        <is>
          <t>Howard Varsity Lions</t>
        </is>
      </c>
      <c r="D781" s="8" t="inlineStr">
        <is>
          <t>MRRT</t>
        </is>
      </c>
      <c r="E781" s="8" t="inlineStr">
        <is>
          <t>J Devito</t>
        </is>
      </c>
      <c r="F781" s="8" t="n">
        <v>3</v>
      </c>
      <c r="G781" s="8" t="n">
        <v>2</v>
      </c>
      <c r="H781" s="8" t="n">
        <v>0</v>
      </c>
      <c r="I781" s="8" t="n">
        <v>0</v>
      </c>
      <c r="J781" s="8" t="n">
        <v>0</v>
      </c>
      <c r="K781" s="8" t="n">
        <v>0</v>
      </c>
      <c r="L781" s="8" t="n">
        <v>0</v>
      </c>
      <c r="M781" s="8" t="n">
        <v>0</v>
      </c>
      <c r="N781" s="8" t="n">
        <v>0</v>
      </c>
      <c r="O781" s="8" t="n">
        <v>1</v>
      </c>
      <c r="R781" s="8" t="n">
        <v>1</v>
      </c>
      <c r="S781" s="8" t="n">
        <v>1</v>
      </c>
      <c r="T781" s="8" t="n">
        <v>0</v>
      </c>
      <c r="U781" s="8" t="n">
        <v>0</v>
      </c>
      <c r="W781" s="8" t="n">
        <v>0</v>
      </c>
      <c r="Y781" s="8" t="inlineStr">
        <is>
          <t>Name in source: Jason Devito. SF counted in PA (SF=1). RBI=1 per table.</t>
        </is>
      </c>
    </row>
    <row r="782" ht="15.75" customHeight="1" s="35">
      <c r="A782" s="8" t="inlineStr">
        <is>
          <t>2026-03-30_HWRD_at_MRRT</t>
        </is>
      </c>
      <c r="B782" s="2" t="n">
        <v>46111</v>
      </c>
      <c r="C782" s="8" t="inlineStr">
        <is>
          <t>Howard Varsity Lions</t>
        </is>
      </c>
      <c r="D782" s="8" t="inlineStr">
        <is>
          <t>MRRT</t>
        </is>
      </c>
      <c r="E782" s="8" t="inlineStr">
        <is>
          <t>A Hlavaty</t>
        </is>
      </c>
      <c r="F782" s="8" t="n">
        <v>2</v>
      </c>
      <c r="G782" s="8" t="n">
        <v>1</v>
      </c>
      <c r="H782" s="8" t="n">
        <v>0</v>
      </c>
      <c r="I782" s="8" t="n">
        <v>0</v>
      </c>
      <c r="J782" s="8" t="n">
        <v>0</v>
      </c>
      <c r="K782" s="8" t="n">
        <v>0</v>
      </c>
      <c r="L782" s="8" t="n">
        <v>0</v>
      </c>
      <c r="M782" s="8" t="n">
        <v>1</v>
      </c>
      <c r="N782" s="8" t="n">
        <v>1</v>
      </c>
      <c r="O782" s="8" t="n">
        <v>0</v>
      </c>
      <c r="R782" s="8" t="n">
        <v>0</v>
      </c>
      <c r="S782" s="8" t="n">
        <v>0</v>
      </c>
      <c r="T782" s="8" t="n">
        <v>0</v>
      </c>
      <c r="U782" s="8" t="n">
        <v>0</v>
      </c>
      <c r="W782" s="8" t="n">
        <v>0</v>
      </c>
      <c r="Y782" s="8" t="inlineStr">
        <is>
          <t>Name in source: Aiden Hlavaty. Also pitches for MRRT.</t>
        </is>
      </c>
    </row>
    <row r="783" ht="15.75" customHeight="1" s="35">
      <c r="A783" s="8" t="inlineStr">
        <is>
          <t>2026-03-30_HWRD_at_MRRT</t>
        </is>
      </c>
      <c r="B783" s="2" t="n">
        <v>46111</v>
      </c>
      <c r="C783" s="8" t="inlineStr">
        <is>
          <t>Howard Varsity Lions</t>
        </is>
      </c>
      <c r="D783" s="8" t="inlineStr">
        <is>
          <t>MRRT</t>
        </is>
      </c>
      <c r="E783" s="8" t="inlineStr">
        <is>
          <t>Alex Montgomery</t>
        </is>
      </c>
      <c r="F783" s="8" t="n">
        <v>2</v>
      </c>
      <c r="G783" s="8" t="n">
        <v>1</v>
      </c>
      <c r="H783" s="8" t="n">
        <v>0</v>
      </c>
      <c r="I783" s="8" t="n">
        <v>0</v>
      </c>
      <c r="J783" s="8" t="n">
        <v>0</v>
      </c>
      <c r="K783" s="8" t="n">
        <v>0</v>
      </c>
      <c r="L783" s="8" t="n">
        <v>0</v>
      </c>
      <c r="M783" s="8" t="n">
        <v>1</v>
      </c>
      <c r="N783" s="8" t="n">
        <v>0</v>
      </c>
      <c r="O783" s="8" t="n">
        <v>1</v>
      </c>
      <c r="R783" s="8" t="n">
        <v>0</v>
      </c>
      <c r="S783" s="8" t="n">
        <v>0</v>
      </c>
      <c r="T783" s="8" t="n">
        <v>0</v>
      </c>
      <c r="U783" s="8" t="n">
        <v>0</v>
      </c>
      <c r="W783" s="8" t="n">
        <v>0</v>
      </c>
    </row>
    <row r="784" ht="15.75" customHeight="1" s="35">
      <c r="A784" s="8" t="inlineStr">
        <is>
          <t>2026-03-30_HWRD_at_MRRT</t>
        </is>
      </c>
      <c r="B784" s="2" t="n">
        <v>46111</v>
      </c>
      <c r="C784" s="8" t="inlineStr">
        <is>
          <t>Howard Varsity Lions</t>
        </is>
      </c>
      <c r="D784" s="8" t="inlineStr">
        <is>
          <t>MRRT</t>
        </is>
      </c>
      <c r="E784" s="8" t="inlineStr">
        <is>
          <t>S Grams</t>
        </is>
      </c>
      <c r="F784" s="8" t="n">
        <v>3</v>
      </c>
      <c r="G784" s="8" t="n">
        <v>2</v>
      </c>
      <c r="H784" s="8" t="n">
        <v>0</v>
      </c>
      <c r="I784" s="8" t="n">
        <v>0</v>
      </c>
      <c r="J784" s="8" t="n">
        <v>0</v>
      </c>
      <c r="K784" s="8" t="n">
        <v>0</v>
      </c>
      <c r="L784" s="8" t="n">
        <v>0</v>
      </c>
      <c r="M784" s="8" t="n">
        <v>1</v>
      </c>
      <c r="N784" s="8" t="n">
        <v>0</v>
      </c>
      <c r="O784" s="8" t="n">
        <v>0</v>
      </c>
      <c r="R784" s="8" t="n">
        <v>2</v>
      </c>
      <c r="S784" s="8" t="n">
        <v>0</v>
      </c>
      <c r="T784" s="8" t="n">
        <v>1</v>
      </c>
      <c r="U784" s="8" t="n">
        <v>0</v>
      </c>
      <c r="W784" s="8" t="n">
        <v>0</v>
      </c>
      <c r="Y784" s="8" t="inlineStr">
        <is>
          <t>Name in source: Spencer Grams</t>
        </is>
      </c>
    </row>
    <row r="785" ht="15.75" customHeight="1" s="35">
      <c r="A785" s="8" t="inlineStr">
        <is>
          <t>2026-03-23_CPPN_at_PLYV</t>
        </is>
      </c>
      <c r="B785" s="2" t="n">
        <v>46104</v>
      </c>
      <c r="C785" s="8" t="inlineStr">
        <is>
          <t>Poly Varsity Engineers 2026</t>
        </is>
      </c>
      <c r="D785" s="8" t="inlineStr">
        <is>
          <t>CPPN</t>
        </is>
      </c>
      <c r="E785" s="8" t="inlineStr">
        <is>
          <t>J Spencer</t>
        </is>
      </c>
      <c r="F785" s="8" t="n">
        <v>2</v>
      </c>
      <c r="G785" s="8" t="n">
        <v>2</v>
      </c>
      <c r="H785" s="8" t="n">
        <v>0</v>
      </c>
      <c r="I785" s="8" t="n">
        <v>0</v>
      </c>
      <c r="J785" s="8" t="n">
        <v>0</v>
      </c>
      <c r="K785" s="8" t="n">
        <v>0</v>
      </c>
      <c r="L785" s="8" t="n">
        <v>0</v>
      </c>
      <c r="M785" s="8" t="n">
        <v>0</v>
      </c>
      <c r="N785" s="8" t="n">
        <v>0</v>
      </c>
      <c r="O785" s="8" t="n">
        <v>2</v>
      </c>
      <c r="R785" s="8" t="n">
        <v>0</v>
      </c>
      <c r="S785" s="8" t="n">
        <v>0</v>
      </c>
      <c r="T785" s="8" t="n">
        <v>0</v>
      </c>
      <c r="U785" s="8" t="n">
        <v>0</v>
      </c>
      <c r="W785" s="8" t="n">
        <v>0</v>
      </c>
    </row>
    <row r="786" ht="15.75" customHeight="1" s="35">
      <c r="A786" s="8" t="inlineStr">
        <is>
          <t>2026-03-23_CPPN_at_PLYV</t>
        </is>
      </c>
      <c r="B786" s="2" t="n">
        <v>46104</v>
      </c>
      <c r="C786" s="8" t="inlineStr">
        <is>
          <t>Poly Varsity Engineers 2026</t>
        </is>
      </c>
      <c r="D786" s="8" t="inlineStr">
        <is>
          <t>CPPN</t>
        </is>
      </c>
      <c r="E786" s="8" t="inlineStr">
        <is>
          <t>K Diggs</t>
        </is>
      </c>
      <c r="F786" s="8" t="n">
        <v>2</v>
      </c>
      <c r="G786" s="8" t="n">
        <v>1</v>
      </c>
      <c r="H786" s="8" t="n">
        <v>0</v>
      </c>
      <c r="I786" s="8" t="n">
        <v>0</v>
      </c>
      <c r="J786" s="8" t="n">
        <v>0</v>
      </c>
      <c r="K786" s="8" t="n">
        <v>0</v>
      </c>
      <c r="L786" s="8" t="n">
        <v>0</v>
      </c>
      <c r="M786" s="8" t="n">
        <v>1</v>
      </c>
      <c r="N786" s="8" t="n">
        <v>0</v>
      </c>
      <c r="O786" s="8" t="n">
        <v>1</v>
      </c>
      <c r="R786" s="8" t="n">
        <v>0</v>
      </c>
      <c r="S786" s="8" t="n">
        <v>0</v>
      </c>
      <c r="T786" s="8" t="n">
        <v>0</v>
      </c>
      <c r="U786" s="8" t="n">
        <v>0</v>
      </c>
      <c r="W786" s="8" t="n">
        <v>0</v>
      </c>
    </row>
    <row r="787" ht="15.75" customHeight="1" s="35">
      <c r="A787" s="8" t="inlineStr">
        <is>
          <t>2026-03-23_CPPN_at_PLYV</t>
        </is>
      </c>
      <c r="B787" s="2" t="n">
        <v>46104</v>
      </c>
      <c r="C787" s="8" t="inlineStr">
        <is>
          <t>Poly Varsity Engineers 2026</t>
        </is>
      </c>
      <c r="D787" s="8" t="inlineStr">
        <is>
          <t>CPPN</t>
        </is>
      </c>
      <c r="E787" s="8" t="inlineStr">
        <is>
          <t>J Whitehead</t>
        </is>
      </c>
      <c r="F787" s="8" t="n">
        <v>2</v>
      </c>
      <c r="G787" s="8" t="n">
        <v>2</v>
      </c>
      <c r="H787" s="8" t="n">
        <v>0</v>
      </c>
      <c r="I787" s="8" t="n">
        <v>0</v>
      </c>
      <c r="J787" s="8" t="n">
        <v>0</v>
      </c>
      <c r="K787" s="8" t="n">
        <v>0</v>
      </c>
      <c r="L787" s="8" t="n">
        <v>0</v>
      </c>
      <c r="M787" s="8" t="n">
        <v>0</v>
      </c>
      <c r="N787" s="8" t="n">
        <v>0</v>
      </c>
      <c r="O787" s="8" t="n">
        <v>1</v>
      </c>
      <c r="R787" s="8" t="n">
        <v>0</v>
      </c>
      <c r="S787" s="8" t="n">
        <v>0</v>
      </c>
      <c r="T787" s="8" t="n">
        <v>0</v>
      </c>
      <c r="U787" s="8" t="n">
        <v>1</v>
      </c>
      <c r="W787" s="8" t="n">
        <v>0</v>
      </c>
      <c r="Y787" s="8" t="inlineStr">
        <is>
          <t>Also pitches; CS=1 per batting notes</t>
        </is>
      </c>
    </row>
    <row r="788" ht="15.75" customHeight="1" s="35">
      <c r="A788" s="8" t="inlineStr">
        <is>
          <t>2026-03-23_CPPN_at_PLYV</t>
        </is>
      </c>
      <c r="B788" s="2" t="n">
        <v>46104</v>
      </c>
      <c r="C788" s="8" t="inlineStr">
        <is>
          <t>Poly Varsity Engineers 2026</t>
        </is>
      </c>
      <c r="D788" s="8" t="inlineStr">
        <is>
          <t>CPPN</t>
        </is>
      </c>
      <c r="E788" s="8" t="inlineStr">
        <is>
          <t>J Hardy</t>
        </is>
      </c>
      <c r="F788" s="8" t="n">
        <v>2</v>
      </c>
      <c r="G788" s="8" t="n">
        <v>2</v>
      </c>
      <c r="H788" s="8" t="n">
        <v>0</v>
      </c>
      <c r="I788" s="8" t="n">
        <v>0</v>
      </c>
      <c r="J788" s="8" t="n">
        <v>0</v>
      </c>
      <c r="K788" s="8" t="n">
        <v>0</v>
      </c>
      <c r="L788" s="8" t="n">
        <v>0</v>
      </c>
      <c r="M788" s="8" t="n">
        <v>0</v>
      </c>
      <c r="N788" s="8" t="n">
        <v>0</v>
      </c>
      <c r="O788" s="8" t="n">
        <v>2</v>
      </c>
      <c r="R788" s="8" t="n">
        <v>0</v>
      </c>
      <c r="S788" s="8" t="n">
        <v>0</v>
      </c>
      <c r="T788" s="8" t="n">
        <v>0</v>
      </c>
      <c r="U788" s="8" t="n">
        <v>0</v>
      </c>
      <c r="W788" s="8" t="n">
        <v>0</v>
      </c>
      <c r="Y788" s="8" t="inlineStr">
        <is>
          <t>Also pitches</t>
        </is>
      </c>
    </row>
    <row r="789" ht="15.75" customHeight="1" s="35">
      <c r="A789" s="8" t="inlineStr">
        <is>
          <t>2026-03-23_CPPN_at_PLYV</t>
        </is>
      </c>
      <c r="B789" s="2" t="n">
        <v>46104</v>
      </c>
      <c r="C789" s="8" t="inlineStr">
        <is>
          <t>Poly Varsity Engineers 2026</t>
        </is>
      </c>
      <c r="D789" s="8" t="inlineStr">
        <is>
          <t>CPPN</t>
        </is>
      </c>
      <c r="E789" s="8" t="inlineStr">
        <is>
          <t>A Sterrette</t>
        </is>
      </c>
      <c r="F789" s="8" t="n">
        <v>2</v>
      </c>
      <c r="G789" s="8" t="n">
        <v>2</v>
      </c>
      <c r="H789" s="8" t="n">
        <v>0</v>
      </c>
      <c r="I789" s="8" t="n">
        <v>0</v>
      </c>
      <c r="J789" s="8" t="n">
        <v>0</v>
      </c>
      <c r="K789" s="8" t="n">
        <v>0</v>
      </c>
      <c r="L789" s="8" t="n">
        <v>0</v>
      </c>
      <c r="M789" s="8" t="n">
        <v>0</v>
      </c>
      <c r="N789" s="8" t="n">
        <v>0</v>
      </c>
      <c r="O789" s="8" t="n">
        <v>2</v>
      </c>
      <c r="R789" s="8" t="n">
        <v>0</v>
      </c>
      <c r="S789" s="8" t="n">
        <v>0</v>
      </c>
      <c r="T789" s="8" t="n">
        <v>0</v>
      </c>
      <c r="U789" s="8" t="n">
        <v>0</v>
      </c>
      <c r="W789" s="8" t="n">
        <v>0</v>
      </c>
      <c r="Y789" s="8" t="inlineStr">
        <is>
          <t>E in Fielding sheet; source: box score E line</t>
        </is>
      </c>
    </row>
    <row r="790" ht="15.75" customHeight="1" s="35">
      <c r="A790" s="8" t="inlineStr">
        <is>
          <t>2026-03-23_CPPN_at_PLYV</t>
        </is>
      </c>
      <c r="B790" s="2" t="n">
        <v>46104</v>
      </c>
      <c r="C790" s="8" t="inlineStr">
        <is>
          <t>Poly Varsity Engineers 2026</t>
        </is>
      </c>
      <c r="D790" s="8" t="inlineStr">
        <is>
          <t>CPPN</t>
        </is>
      </c>
      <c r="E790" s="8" t="inlineStr">
        <is>
          <t>J Trusty</t>
        </is>
      </c>
      <c r="F790" s="8" t="n">
        <v>2</v>
      </c>
      <c r="G790" s="8" t="n">
        <v>2</v>
      </c>
      <c r="H790" s="8" t="n">
        <v>0</v>
      </c>
      <c r="I790" s="8" t="n">
        <v>0</v>
      </c>
      <c r="J790" s="8" t="n">
        <v>0</v>
      </c>
      <c r="K790" s="8" t="n">
        <v>0</v>
      </c>
      <c r="L790" s="8" t="n">
        <v>0</v>
      </c>
      <c r="M790" s="8" t="n">
        <v>0</v>
      </c>
      <c r="N790" s="8" t="n">
        <v>0</v>
      </c>
      <c r="O790" s="8" t="n">
        <v>2</v>
      </c>
      <c r="R790" s="8" t="n">
        <v>0</v>
      </c>
      <c r="S790" s="8" t="n">
        <v>0</v>
      </c>
      <c r="T790" s="8" t="n">
        <v>0</v>
      </c>
      <c r="U790" s="8" t="n">
        <v>0</v>
      </c>
      <c r="W790" s="8" t="n">
        <v>0</v>
      </c>
    </row>
    <row r="791" ht="15.75" customHeight="1" s="35">
      <c r="A791" s="8" t="inlineStr">
        <is>
          <t>2026-03-23_CPPN_at_PLYV</t>
        </is>
      </c>
      <c r="B791" s="2" t="n">
        <v>46104</v>
      </c>
      <c r="C791" s="8" t="inlineStr">
        <is>
          <t>Poly Varsity Engineers 2026</t>
        </is>
      </c>
      <c r="D791" s="8" t="inlineStr">
        <is>
          <t>CPPN</t>
        </is>
      </c>
      <c r="E791" s="8" t="inlineStr">
        <is>
          <t>H Rodwell</t>
        </is>
      </c>
      <c r="F791" s="8" t="n">
        <v>2</v>
      </c>
      <c r="G791" s="8" t="n">
        <v>2</v>
      </c>
      <c r="H791" s="8" t="n">
        <v>0</v>
      </c>
      <c r="I791" s="8" t="n">
        <v>0</v>
      </c>
      <c r="J791" s="8" t="n">
        <v>0</v>
      </c>
      <c r="K791" s="8" t="n">
        <v>0</v>
      </c>
      <c r="L791" s="8" t="n">
        <v>0</v>
      </c>
      <c r="M791" s="8" t="n">
        <v>0</v>
      </c>
      <c r="N791" s="8" t="n">
        <v>0</v>
      </c>
      <c r="O791" s="8" t="n">
        <v>2</v>
      </c>
      <c r="R791" s="8" t="n">
        <v>0</v>
      </c>
      <c r="S791" s="8" t="n">
        <v>0</v>
      </c>
      <c r="T791" s="8" t="n">
        <v>0</v>
      </c>
      <c r="U791" s="8" t="n">
        <v>0</v>
      </c>
      <c r="W791" s="8" t="n">
        <v>0</v>
      </c>
    </row>
    <row r="792" ht="15.75" customHeight="1" s="35">
      <c r="A792" s="8" t="inlineStr">
        <is>
          <t>2026-03-23_CPPN_at_PLYV</t>
        </is>
      </c>
      <c r="B792" s="2" t="n">
        <v>46104</v>
      </c>
      <c r="C792" s="8" t="inlineStr">
        <is>
          <t>Poly Varsity Engineers 2026</t>
        </is>
      </c>
      <c r="D792" s="8" t="inlineStr">
        <is>
          <t>CPPN</t>
        </is>
      </c>
      <c r="E792" s="8" t="inlineStr">
        <is>
          <t>M Garrett</t>
        </is>
      </c>
      <c r="F792" s="8" t="n">
        <v>2</v>
      </c>
      <c r="G792" s="8" t="n">
        <v>2</v>
      </c>
      <c r="H792" s="8" t="n">
        <v>0</v>
      </c>
      <c r="I792" s="8" t="n">
        <v>0</v>
      </c>
      <c r="J792" s="8" t="n">
        <v>0</v>
      </c>
      <c r="K792" s="8" t="n">
        <v>0</v>
      </c>
      <c r="L792" s="8" t="n">
        <v>0</v>
      </c>
      <c r="M792" s="8" t="n">
        <v>0</v>
      </c>
      <c r="N792" s="8" t="n">
        <v>0</v>
      </c>
      <c r="O792" s="8" t="n">
        <v>1</v>
      </c>
      <c r="R792" s="8" t="n">
        <v>0</v>
      </c>
      <c r="S792" s="8" t="n">
        <v>0</v>
      </c>
      <c r="T792" s="8" t="n">
        <v>0</v>
      </c>
      <c r="U792" s="8" t="n">
        <v>0</v>
      </c>
      <c r="W792" s="8" t="n">
        <v>0</v>
      </c>
    </row>
    <row r="793" ht="15.75" customHeight="1" s="35">
      <c r="A793" s="8" t="inlineStr">
        <is>
          <t>2026-03-23_CPPN_at_PLYV</t>
        </is>
      </c>
      <c r="B793" s="2" t="n">
        <v>46104</v>
      </c>
      <c r="C793" s="8" t="inlineStr">
        <is>
          <t>Poly Varsity Engineers 2026</t>
        </is>
      </c>
      <c r="D793" s="8" t="inlineStr">
        <is>
          <t>CPPN</t>
        </is>
      </c>
      <c r="E793" s="8" t="inlineStr">
        <is>
          <t>K Rice</t>
        </is>
      </c>
      <c r="F793" s="8" t="n">
        <v>1</v>
      </c>
      <c r="G793" s="8" t="n">
        <v>1</v>
      </c>
      <c r="H793" s="8" t="n">
        <v>0</v>
      </c>
      <c r="I793" s="8" t="n">
        <v>0</v>
      </c>
      <c r="J793" s="8" t="n">
        <v>0</v>
      </c>
      <c r="K793" s="8" t="n">
        <v>0</v>
      </c>
      <c r="L793" s="8" t="n">
        <v>0</v>
      </c>
      <c r="M793" s="8" t="n">
        <v>0</v>
      </c>
      <c r="N793" s="8" t="n">
        <v>0</v>
      </c>
      <c r="O793" s="8" t="n">
        <v>1</v>
      </c>
      <c r="R793" s="8" t="n">
        <v>0</v>
      </c>
      <c r="S793" s="8" t="n">
        <v>0</v>
      </c>
      <c r="T793" s="8" t="n">
        <v>0</v>
      </c>
      <c r="U793" s="8" t="n">
        <v>0</v>
      </c>
      <c r="W793" s="8" t="n">
        <v>0</v>
      </c>
      <c r="Y793" s="8" t="inlineStr">
        <is>
          <t>Also pitches</t>
        </is>
      </c>
    </row>
    <row r="794" ht="15.75" customHeight="1" s="35">
      <c r="A794" s="8" t="inlineStr">
        <is>
          <t>2026-03-23_CPPN_at_PLYV</t>
        </is>
      </c>
      <c r="B794" s="2" t="n">
        <v>46104</v>
      </c>
      <c r="C794" s="8" t="inlineStr">
        <is>
          <t>Coppin Academy</t>
        </is>
      </c>
      <c r="D794" s="8" t="inlineStr">
        <is>
          <t>PLYV</t>
        </is>
      </c>
      <c r="E794" s="8" t="inlineStr">
        <is>
          <t>Julian Robin</t>
        </is>
      </c>
      <c r="F794" s="8" t="n">
        <v>2</v>
      </c>
      <c r="G794" s="8" t="n">
        <v>1</v>
      </c>
      <c r="H794" s="8" t="n">
        <v>1</v>
      </c>
      <c r="I794" s="8" t="n">
        <v>1</v>
      </c>
      <c r="J794" s="8" t="n">
        <v>0</v>
      </c>
      <c r="K794" s="8" t="n">
        <v>0</v>
      </c>
      <c r="L794" s="8" t="n">
        <v>0</v>
      </c>
      <c r="M794" s="8" t="n">
        <v>1</v>
      </c>
      <c r="N794" s="8" t="n">
        <v>0</v>
      </c>
      <c r="O794" s="8" t="n">
        <v>0</v>
      </c>
      <c r="R794" s="8" t="n">
        <v>2</v>
      </c>
      <c r="S794" s="8" t="n">
        <v>1</v>
      </c>
      <c r="T794" s="8" t="n">
        <v>1</v>
      </c>
      <c r="U794" s="8" t="n">
        <v>0</v>
      </c>
      <c r="W794" s="8" t="n">
        <v>0</v>
      </c>
      <c r="Y794" s="8" t="inlineStr">
        <is>
          <t>TB=1 (cross-check pass)</t>
        </is>
      </c>
    </row>
    <row r="795" ht="15.75" customHeight="1" s="35">
      <c r="A795" s="8" t="inlineStr">
        <is>
          <t>2026-03-23_CPPN_at_PLYV</t>
        </is>
      </c>
      <c r="B795" s="2" t="n">
        <v>46104</v>
      </c>
      <c r="C795" s="8" t="inlineStr">
        <is>
          <t>Coppin Academy</t>
        </is>
      </c>
      <c r="D795" s="8" t="inlineStr">
        <is>
          <t>PLYV</t>
        </is>
      </c>
      <c r="E795" s="8" t="inlineStr">
        <is>
          <t>Lucas Bryant</t>
        </is>
      </c>
      <c r="F795" s="8" t="n">
        <v>2</v>
      </c>
      <c r="G795" s="8" t="n">
        <v>1</v>
      </c>
      <c r="H795" s="8" t="n">
        <v>0</v>
      </c>
      <c r="I795" s="8" t="n">
        <v>0</v>
      </c>
      <c r="J795" s="8" t="n">
        <v>0</v>
      </c>
      <c r="K795" s="8" t="n">
        <v>0</v>
      </c>
      <c r="L795" s="8" t="n">
        <v>0</v>
      </c>
      <c r="M795" s="8" t="n">
        <v>0</v>
      </c>
      <c r="N795" s="8" t="n">
        <v>1</v>
      </c>
      <c r="O795" s="8" t="n">
        <v>0</v>
      </c>
      <c r="R795" s="8" t="n">
        <v>1</v>
      </c>
      <c r="S795" s="8" t="n">
        <v>1</v>
      </c>
      <c r="T795" s="8" t="n">
        <v>0</v>
      </c>
      <c r="U795" s="8" t="n">
        <v>0</v>
      </c>
      <c r="W795" s="8" t="n">
        <v>0</v>
      </c>
    </row>
    <row r="796" ht="15.75" customHeight="1" s="35">
      <c r="A796" s="8" t="inlineStr">
        <is>
          <t>2026-03-23_CPPN_at_PLYV</t>
        </is>
      </c>
      <c r="B796" s="2" t="n">
        <v>46104</v>
      </c>
      <c r="C796" s="8" t="inlineStr">
        <is>
          <t>Coppin Academy</t>
        </is>
      </c>
      <c r="D796" s="8" t="inlineStr">
        <is>
          <t>PLYV</t>
        </is>
      </c>
      <c r="E796" s="8" t="inlineStr">
        <is>
          <t>Nathaniel Barry</t>
        </is>
      </c>
      <c r="F796" s="8" t="n">
        <v>2</v>
      </c>
      <c r="G796" s="8" t="n">
        <v>0</v>
      </c>
      <c r="H796" s="8" t="n">
        <v>0</v>
      </c>
      <c r="I796" s="8" t="n">
        <v>0</v>
      </c>
      <c r="J796" s="8" t="n">
        <v>0</v>
      </c>
      <c r="K796" s="8" t="n">
        <v>0</v>
      </c>
      <c r="L796" s="8" t="n">
        <v>0</v>
      </c>
      <c r="M796" s="8" t="n">
        <v>2</v>
      </c>
      <c r="N796" s="8" t="n">
        <v>0</v>
      </c>
      <c r="O796" s="8" t="n">
        <v>0</v>
      </c>
      <c r="R796" s="8" t="n">
        <v>2</v>
      </c>
      <c r="S796" s="8" t="n">
        <v>0</v>
      </c>
      <c r="T796" s="8" t="n">
        <v>1</v>
      </c>
      <c r="U796" s="8" t="n">
        <v>0</v>
      </c>
      <c r="W796" s="8" t="n">
        <v>0</v>
      </c>
    </row>
    <row r="797" ht="15.75" customHeight="1" s="35">
      <c r="A797" s="8" t="inlineStr">
        <is>
          <t>2026-03-23_CPPN_at_PLYV</t>
        </is>
      </c>
      <c r="B797" s="2" t="n">
        <v>46104</v>
      </c>
      <c r="C797" s="8" t="inlineStr">
        <is>
          <t>Coppin Academy</t>
        </is>
      </c>
      <c r="D797" s="8" t="inlineStr">
        <is>
          <t>PLYV</t>
        </is>
      </c>
      <c r="E797" s="8" t="inlineStr">
        <is>
          <t>Ashton Hill</t>
        </is>
      </c>
      <c r="F797" s="8" t="n">
        <v>2</v>
      </c>
      <c r="G797" s="8" t="n">
        <v>1</v>
      </c>
      <c r="H797" s="8" t="n">
        <v>0</v>
      </c>
      <c r="I797" s="8" t="n">
        <v>0</v>
      </c>
      <c r="J797" s="8" t="n">
        <v>0</v>
      </c>
      <c r="K797" s="8" t="n">
        <v>0</v>
      </c>
      <c r="L797" s="8" t="n">
        <v>0</v>
      </c>
      <c r="M797" s="8" t="n">
        <v>0</v>
      </c>
      <c r="N797" s="8" t="n">
        <v>1</v>
      </c>
      <c r="O797" s="8" t="n">
        <v>0</v>
      </c>
      <c r="R797" s="8" t="n">
        <v>1</v>
      </c>
      <c r="S797" s="8" t="n">
        <v>1</v>
      </c>
      <c r="T797" s="8" t="n">
        <v>0</v>
      </c>
      <c r="U797" s="8" t="n">
        <v>0</v>
      </c>
      <c r="W797" s="8" t="n">
        <v>0</v>
      </c>
    </row>
    <row r="798" ht="15.75" customHeight="1" s="35">
      <c r="A798" s="8" t="inlineStr">
        <is>
          <t>2026-03-23_CPPN_at_PLYV</t>
        </is>
      </c>
      <c r="B798" s="2" t="n">
        <v>46104</v>
      </c>
      <c r="C798" s="8" t="inlineStr">
        <is>
          <t>Coppin Academy</t>
        </is>
      </c>
      <c r="D798" s="8" t="inlineStr">
        <is>
          <t>PLYV</t>
        </is>
      </c>
      <c r="E798" s="8" t="inlineStr">
        <is>
          <t>Kingston Antonio</t>
        </is>
      </c>
      <c r="F798" s="8" t="n">
        <v>2</v>
      </c>
      <c r="G798" s="8" t="n">
        <v>1</v>
      </c>
      <c r="H798" s="8" t="n">
        <v>1</v>
      </c>
      <c r="I798" s="8" t="n">
        <v>1</v>
      </c>
      <c r="J798" s="8" t="n">
        <v>0</v>
      </c>
      <c r="K798" s="8" t="n">
        <v>0</v>
      </c>
      <c r="L798" s="8" t="n">
        <v>0</v>
      </c>
      <c r="M798" s="8" t="n">
        <v>1</v>
      </c>
      <c r="N798" s="8" t="n">
        <v>0</v>
      </c>
      <c r="O798" s="8" t="n">
        <v>0</v>
      </c>
      <c r="R798" s="8" t="n">
        <v>2</v>
      </c>
      <c r="S798" s="8" t="n">
        <v>1</v>
      </c>
      <c r="T798" s="8" t="n">
        <v>0</v>
      </c>
      <c r="U798" s="8" t="n">
        <v>0</v>
      </c>
      <c r="W798" s="8" t="n">
        <v>0</v>
      </c>
      <c r="Y798" s="8" t="inlineStr">
        <is>
          <t>TB=1 (cross-check pass)</t>
        </is>
      </c>
    </row>
    <row r="799" ht="15.75" customHeight="1" s="35">
      <c r="A799" s="8" t="inlineStr">
        <is>
          <t>2026-03-23_CPPN_at_PLYV</t>
        </is>
      </c>
      <c r="B799" s="2" t="n">
        <v>46104</v>
      </c>
      <c r="C799" s="8" t="inlineStr">
        <is>
          <t>Coppin Academy</t>
        </is>
      </c>
      <c r="D799" s="8" t="inlineStr">
        <is>
          <t>PLYV</t>
        </is>
      </c>
      <c r="E799" s="8" t="inlineStr">
        <is>
          <t>Max Freeman</t>
        </is>
      </c>
      <c r="F799" s="8" t="n">
        <v>2</v>
      </c>
      <c r="G799" s="8" t="n">
        <v>2</v>
      </c>
      <c r="H799" s="8" t="n">
        <v>1</v>
      </c>
      <c r="I799" s="8" t="n">
        <v>1</v>
      </c>
      <c r="J799" s="8" t="n">
        <v>0</v>
      </c>
      <c r="K799" s="8" t="n">
        <v>0</v>
      </c>
      <c r="L799" s="8" t="n">
        <v>0</v>
      </c>
      <c r="M799" s="8" t="n">
        <v>0</v>
      </c>
      <c r="N799" s="8" t="n">
        <v>0</v>
      </c>
      <c r="O799" s="8" t="n">
        <v>0</v>
      </c>
      <c r="R799" s="8" t="n">
        <v>0</v>
      </c>
      <c r="S799" s="8" t="n">
        <v>1</v>
      </c>
      <c r="T799" s="8" t="n">
        <v>0</v>
      </c>
      <c r="U799" s="8" t="n">
        <v>0</v>
      </c>
      <c r="W799" s="8" t="n">
        <v>0</v>
      </c>
      <c r="Y799" s="8" t="inlineStr">
        <is>
          <t>Also pitches; TB=1 (cross-check pass)</t>
        </is>
      </c>
    </row>
    <row r="800" ht="15.75" customHeight="1" s="35">
      <c r="A800" s="8" t="inlineStr">
        <is>
          <t>2026-03-23_CPPN_at_PLYV</t>
        </is>
      </c>
      <c r="B800" s="2" t="n">
        <v>46104</v>
      </c>
      <c r="C800" s="8" t="inlineStr">
        <is>
          <t>Coppin Academy</t>
        </is>
      </c>
      <c r="D800" s="8" t="inlineStr">
        <is>
          <t>PLYV</t>
        </is>
      </c>
      <c r="E800" s="8" t="inlineStr">
        <is>
          <t>Jakeem Mcbride</t>
        </is>
      </c>
      <c r="F800" s="8" t="n">
        <v>2</v>
      </c>
      <c r="G800" s="8" t="n">
        <v>1</v>
      </c>
      <c r="H800" s="8" t="n">
        <v>0</v>
      </c>
      <c r="I800" s="8" t="n">
        <v>0</v>
      </c>
      <c r="J800" s="8" t="n">
        <v>0</v>
      </c>
      <c r="K800" s="8" t="n">
        <v>0</v>
      </c>
      <c r="L800" s="8" t="n">
        <v>0</v>
      </c>
      <c r="M800" s="8" t="n">
        <v>1</v>
      </c>
      <c r="N800" s="8" t="n">
        <v>0</v>
      </c>
      <c r="O800" s="8" t="n">
        <v>0</v>
      </c>
      <c r="R800" s="8" t="n">
        <v>1</v>
      </c>
      <c r="S800" s="8" t="n">
        <v>0</v>
      </c>
      <c r="T800" s="8" t="n">
        <v>0</v>
      </c>
      <c r="U800" s="8" t="n">
        <v>0</v>
      </c>
      <c r="W800" s="8" t="n">
        <v>0</v>
      </c>
    </row>
    <row r="801" ht="15.75" customHeight="1" s="35">
      <c r="A801" s="8" t="inlineStr">
        <is>
          <t>2026-03-23_CPPN_at_PLYV</t>
        </is>
      </c>
      <c r="B801" s="2" t="n">
        <v>46104</v>
      </c>
      <c r="C801" s="8" t="inlineStr">
        <is>
          <t>Coppin Academy</t>
        </is>
      </c>
      <c r="D801" s="8" t="inlineStr">
        <is>
          <t>PLYV</t>
        </is>
      </c>
      <c r="E801" s="8" t="inlineStr">
        <is>
          <t>Ian Dickensheets</t>
        </is>
      </c>
      <c r="F801" s="8" t="n">
        <v>2</v>
      </c>
      <c r="G801" s="8" t="n">
        <v>1</v>
      </c>
      <c r="H801" s="8" t="n">
        <v>0</v>
      </c>
      <c r="I801" s="8" t="n">
        <v>0</v>
      </c>
      <c r="J801" s="8" t="n">
        <v>0</v>
      </c>
      <c r="K801" s="8" t="n">
        <v>0</v>
      </c>
      <c r="L801" s="8" t="n">
        <v>0</v>
      </c>
      <c r="M801" s="8" t="n">
        <v>0</v>
      </c>
      <c r="N801" s="8" t="n">
        <v>1</v>
      </c>
      <c r="O801" s="8" t="n">
        <v>0</v>
      </c>
      <c r="R801" s="8" t="n">
        <v>1</v>
      </c>
      <c r="S801" s="8" t="n">
        <v>0</v>
      </c>
      <c r="T801" s="8" t="n">
        <v>0</v>
      </c>
      <c r="U801" s="8" t="n">
        <v>0</v>
      </c>
      <c r="W801" s="8" t="n">
        <v>0</v>
      </c>
    </row>
    <row r="802" ht="15.75" customHeight="1" s="35">
      <c r="A802" s="8" t="inlineStr">
        <is>
          <t>2026-03-23_CPPN_at_PLYV</t>
        </is>
      </c>
      <c r="B802" s="2" t="n">
        <v>46104</v>
      </c>
      <c r="C802" s="8" t="inlineStr">
        <is>
          <t>Coppin Academy</t>
        </is>
      </c>
      <c r="D802" s="8" t="inlineStr">
        <is>
          <t>PLYV</t>
        </is>
      </c>
      <c r="E802" s="8" t="inlineStr">
        <is>
          <t>Ikram Khan</t>
        </is>
      </c>
      <c r="F802" s="8" t="n">
        <v>4</v>
      </c>
      <c r="G802" s="8" t="n">
        <v>1</v>
      </c>
      <c r="H802" s="8" t="n">
        <v>0</v>
      </c>
      <c r="I802" s="8" t="n">
        <v>0</v>
      </c>
      <c r="J802" s="8" t="n">
        <v>0</v>
      </c>
      <c r="K802" s="8" t="n">
        <v>0</v>
      </c>
      <c r="L802" s="8" t="n">
        <v>0</v>
      </c>
      <c r="M802" s="8" t="n">
        <v>2</v>
      </c>
      <c r="N802" s="8" t="n">
        <v>1</v>
      </c>
      <c r="O802" s="8" t="n">
        <v>0</v>
      </c>
      <c r="R802" s="8" t="n">
        <v>2</v>
      </c>
      <c r="S802" s="8" t="n">
        <v>1</v>
      </c>
      <c r="T802" s="8" t="n">
        <v>0</v>
      </c>
      <c r="U802" s="8" t="n">
        <v>0</v>
      </c>
      <c r="W802" s="8" t="n">
        <v>0</v>
      </c>
      <c r="Y802" s="8" t="inlineStr">
        <is>
          <t>E in Fielding sheet; source: box score E line</t>
        </is>
      </c>
    </row>
    <row r="803" ht="15.75" customHeight="1" s="35">
      <c r="A803" s="8" t="inlineStr">
        <is>
          <t>2026-03-23_CPPN_at_PLYV</t>
        </is>
      </c>
      <c r="B803" s="2" t="n">
        <v>46104</v>
      </c>
      <c r="C803" s="8" t="inlineStr">
        <is>
          <t>Coppin Academy</t>
        </is>
      </c>
      <c r="D803" s="8" t="inlineStr">
        <is>
          <t>PLYV</t>
        </is>
      </c>
      <c r="E803" s="8" t="inlineStr">
        <is>
          <t>Hayden Flipovitz</t>
        </is>
      </c>
      <c r="F803" s="8" t="n">
        <v>2</v>
      </c>
      <c r="G803" s="8" t="n">
        <v>0</v>
      </c>
      <c r="H803" s="8" t="n">
        <v>0</v>
      </c>
      <c r="I803" s="8" t="n">
        <v>0</v>
      </c>
      <c r="J803" s="8" t="n">
        <v>0</v>
      </c>
      <c r="K803" s="8" t="n">
        <v>0</v>
      </c>
      <c r="L803" s="8" t="n">
        <v>0</v>
      </c>
      <c r="M803" s="8" t="n">
        <v>1</v>
      </c>
      <c r="N803" s="8" t="n">
        <v>1</v>
      </c>
      <c r="O803" s="8" t="n">
        <v>0</v>
      </c>
      <c r="R803" s="8" t="n">
        <v>2</v>
      </c>
      <c r="S803" s="8" t="n">
        <v>1</v>
      </c>
      <c r="T803" s="8" t="n">
        <v>0</v>
      </c>
      <c r="U803" s="8" t="n">
        <v>0</v>
      </c>
      <c r="W803" s="8" t="n">
        <v>0</v>
      </c>
      <c r="Y803" s="8" t="inlineStr">
        <is>
          <t>[AMBIGUOUS] R OCR-corrected 0→2 (reached base twice via BB+HBP; team cross-check)</t>
        </is>
      </c>
    </row>
    <row r="804" ht="15.75" customHeight="1" s="35">
      <c r="A804" s="8" t="inlineStr">
        <is>
          <t>2026-03-23_CPPN_at_PLYV</t>
        </is>
      </c>
      <c r="B804" s="2" t="n">
        <v>46104</v>
      </c>
      <c r="C804" s="8" t="inlineStr">
        <is>
          <t>Coppin Academy</t>
        </is>
      </c>
      <c r="D804" s="8" t="inlineStr">
        <is>
          <t>PLYV</t>
        </is>
      </c>
      <c r="E804" s="8" t="inlineStr">
        <is>
          <t>Zachariah Lawrence</t>
        </is>
      </c>
      <c r="F804" s="8" t="n">
        <v>2</v>
      </c>
      <c r="G804" s="8" t="n">
        <v>2</v>
      </c>
      <c r="H804" s="8" t="n">
        <v>0</v>
      </c>
      <c r="I804" s="8" t="n">
        <v>0</v>
      </c>
      <c r="J804" s="8" t="n">
        <v>0</v>
      </c>
      <c r="K804" s="8" t="n">
        <v>0</v>
      </c>
      <c r="L804" s="8" t="n">
        <v>0</v>
      </c>
      <c r="M804" s="8" t="n">
        <v>0</v>
      </c>
      <c r="N804" s="8" t="n">
        <v>0</v>
      </c>
      <c r="O804" s="8" t="n">
        <v>0</v>
      </c>
      <c r="R804" s="8" t="n">
        <v>1</v>
      </c>
      <c r="S804" s="8" t="n">
        <v>0</v>
      </c>
      <c r="T804" s="8" t="n">
        <v>0</v>
      </c>
      <c r="U804" s="8" t="n">
        <v>0</v>
      </c>
      <c r="W804" s="8" t="n">
        <v>0</v>
      </c>
      <c r="Y804" s="8" t="inlineStr">
        <is>
          <t>[AMBIGUOUS] R OCR-corrected 0→1 (team cross-check)</t>
        </is>
      </c>
    </row>
    <row r="805" ht="15.75" customHeight="1" s="35">
      <c r="A805" s="8" t="inlineStr">
        <is>
          <t>2026-03-23_CPPN_at_PLYV</t>
        </is>
      </c>
      <c r="B805" s="2" t="n">
        <v>46104</v>
      </c>
      <c r="C805" s="8" t="inlineStr">
        <is>
          <t>Coppin Academy</t>
        </is>
      </c>
      <c r="D805" s="8" t="inlineStr">
        <is>
          <t>PLYV</t>
        </is>
      </c>
      <c r="E805" s="8" t="inlineStr">
        <is>
          <t>Roman Girardi</t>
        </is>
      </c>
      <c r="F805" s="8" t="n">
        <v>4</v>
      </c>
      <c r="G805" s="8" t="n">
        <v>3</v>
      </c>
      <c r="H805" s="8" t="n">
        <v>0</v>
      </c>
      <c r="I805" s="8" t="n">
        <v>0</v>
      </c>
      <c r="J805" s="8" t="n">
        <v>0</v>
      </c>
      <c r="K805" s="8" t="n">
        <v>0</v>
      </c>
      <c r="L805" s="8" t="n">
        <v>0</v>
      </c>
      <c r="M805" s="8" t="n">
        <v>0</v>
      </c>
      <c r="N805" s="8" t="n">
        <v>1</v>
      </c>
      <c r="O805" s="8" t="n">
        <v>1</v>
      </c>
      <c r="R805" s="8" t="n">
        <v>2</v>
      </c>
      <c r="S805" s="8" t="n">
        <v>0</v>
      </c>
      <c r="T805" s="8" t="n">
        <v>1</v>
      </c>
      <c r="U805" s="8" t="n">
        <v>0</v>
      </c>
      <c r="W805" s="8" t="n">
        <v>0</v>
      </c>
    </row>
    <row r="806" ht="15.75" customHeight="1" s="35">
      <c r="A806" s="8" t="inlineStr">
        <is>
          <t>2026-03-23_CPPN_at_PLYV</t>
        </is>
      </c>
      <c r="B806" s="2" t="n">
        <v>46104</v>
      </c>
      <c r="C806" s="8" t="inlineStr">
        <is>
          <t>Coppin Academy</t>
        </is>
      </c>
      <c r="D806" s="8" t="inlineStr">
        <is>
          <t>PLYV</t>
        </is>
      </c>
      <c r="E806" s="8" t="inlineStr">
        <is>
          <t>Krishtain Mcleod</t>
        </is>
      </c>
      <c r="F806" s="8" t="n">
        <v>3</v>
      </c>
      <c r="G806" s="8" t="n">
        <v>2</v>
      </c>
      <c r="H806" s="8" t="n">
        <v>0</v>
      </c>
      <c r="I806" s="8" t="n">
        <v>0</v>
      </c>
      <c r="J806" s="8" t="n">
        <v>0</v>
      </c>
      <c r="K806" s="8" t="n">
        <v>0</v>
      </c>
      <c r="L806" s="8" t="n">
        <v>0</v>
      </c>
      <c r="M806" s="8" t="n">
        <v>1</v>
      </c>
      <c r="N806" s="8" t="n">
        <v>0</v>
      </c>
      <c r="O806" s="8" t="n">
        <v>0</v>
      </c>
      <c r="R806" s="8" t="n">
        <v>1</v>
      </c>
      <c r="S806" s="8" t="n">
        <v>1</v>
      </c>
      <c r="T806" s="8" t="n">
        <v>0</v>
      </c>
      <c r="U806" s="8" t="n">
        <v>0</v>
      </c>
      <c r="W806" s="8" t="n">
        <v>0</v>
      </c>
    </row>
    <row r="807" ht="15.75" customHeight="1" s="35">
      <c r="A807" s="8" t="inlineStr">
        <is>
          <t>2026-03-23_CPPN_at_PLYV</t>
        </is>
      </c>
      <c r="B807" s="2" t="n">
        <v>46104</v>
      </c>
      <c r="C807" s="8" t="inlineStr">
        <is>
          <t>Coppin Academy</t>
        </is>
      </c>
      <c r="D807" s="8" t="inlineStr">
        <is>
          <t>PLYV</t>
        </is>
      </c>
      <c r="E807" s="8" t="inlineStr">
        <is>
          <t>Joshua Tyree</t>
        </is>
      </c>
      <c r="F807" s="8" t="n">
        <v>3</v>
      </c>
      <c r="G807" s="8" t="n">
        <v>3</v>
      </c>
      <c r="H807" s="8" t="n">
        <v>0</v>
      </c>
      <c r="I807" s="8" t="n">
        <v>0</v>
      </c>
      <c r="J807" s="8" t="n">
        <v>0</v>
      </c>
      <c r="K807" s="8" t="n">
        <v>0</v>
      </c>
      <c r="L807" s="8" t="n">
        <v>0</v>
      </c>
      <c r="M807" s="8" t="n">
        <v>0</v>
      </c>
      <c r="N807" s="8" t="n">
        <v>0</v>
      </c>
      <c r="O807" s="8" t="n">
        <v>1</v>
      </c>
      <c r="R807" s="8" t="n">
        <v>2</v>
      </c>
      <c r="S807" s="8" t="n">
        <v>0</v>
      </c>
      <c r="T807" s="8" t="n">
        <v>0</v>
      </c>
      <c r="U807" s="8" t="n">
        <v>0</v>
      </c>
      <c r="W807" s="8" t="n">
        <v>0</v>
      </c>
    </row>
    <row r="808" ht="15.75" customHeight="1" s="35">
      <c r="A808" s="8" t="inlineStr">
        <is>
          <t>2026-03-25_DGLS_at_PLYV</t>
        </is>
      </c>
      <c r="B808" s="2" t="n">
        <v>46106</v>
      </c>
      <c r="C808" s="8" t="inlineStr">
        <is>
          <t>Douglass</t>
        </is>
      </c>
      <c r="D808" s="8" t="inlineStr">
        <is>
          <t>PLYV</t>
        </is>
      </c>
      <c r="E808" s="8" t="inlineStr">
        <is>
          <t>Shane King</t>
        </is>
      </c>
      <c r="F808" s="8" t="n">
        <v>3</v>
      </c>
      <c r="G808" s="8" t="n">
        <v>2</v>
      </c>
      <c r="H808" s="8" t="n">
        <v>0</v>
      </c>
      <c r="I808" s="8" t="n">
        <v>0</v>
      </c>
      <c r="J808" s="8" t="n">
        <v>0</v>
      </c>
      <c r="K808" s="8" t="n">
        <v>0</v>
      </c>
      <c r="L808" s="8" t="n">
        <v>0</v>
      </c>
      <c r="M808" s="8" t="n">
        <v>1</v>
      </c>
      <c r="N808" s="8" t="n">
        <v>0</v>
      </c>
      <c r="O808" s="8" t="n">
        <v>1</v>
      </c>
      <c r="R808" s="8" t="n">
        <v>0</v>
      </c>
      <c r="S808" s="8" t="n">
        <v>0</v>
      </c>
      <c r="T808" s="8" t="n">
        <v>2</v>
      </c>
      <c r="U808" s="8" t="n">
        <v>0</v>
      </c>
      <c r="W808" s="8" t="n">
        <v>0</v>
      </c>
    </row>
    <row r="809" ht="15.75" customHeight="1" s="35">
      <c r="A809" s="8" t="inlineStr">
        <is>
          <t>2026-03-25_DGLS_at_PLYV</t>
        </is>
      </c>
      <c r="B809" s="2" t="n">
        <v>46106</v>
      </c>
      <c r="C809" s="8" t="inlineStr">
        <is>
          <t>Douglass</t>
        </is>
      </c>
      <c r="D809" s="8" t="inlineStr">
        <is>
          <t>PLYV</t>
        </is>
      </c>
      <c r="E809" s="8" t="inlineStr">
        <is>
          <t>Nathaniel Barry</t>
        </is>
      </c>
      <c r="F809" s="8" t="n">
        <v>2</v>
      </c>
      <c r="G809" s="8" t="n">
        <v>2</v>
      </c>
      <c r="H809" s="8" t="n">
        <v>0</v>
      </c>
      <c r="I809" s="8" t="n">
        <v>0</v>
      </c>
      <c r="J809" s="8" t="n">
        <v>0</v>
      </c>
      <c r="K809" s="8" t="n">
        <v>0</v>
      </c>
      <c r="L809" s="8" t="n">
        <v>0</v>
      </c>
      <c r="M809" s="8" t="n">
        <v>0</v>
      </c>
      <c r="N809" s="8" t="n">
        <v>0</v>
      </c>
      <c r="O809" s="8" t="n">
        <v>2</v>
      </c>
      <c r="R809" s="8" t="n">
        <v>0</v>
      </c>
      <c r="S809" s="8" t="n">
        <v>0</v>
      </c>
      <c r="T809" s="8" t="n">
        <v>0</v>
      </c>
      <c r="U809" s="8" t="n">
        <v>0</v>
      </c>
      <c r="W809" s="8" t="n">
        <v>0</v>
      </c>
    </row>
    <row r="810" ht="15.75" customHeight="1" s="35">
      <c r="A810" s="8" t="inlineStr">
        <is>
          <t>2026-03-25_DGLS_at_PLYV</t>
        </is>
      </c>
      <c r="B810" s="2" t="n">
        <v>46106</v>
      </c>
      <c r="C810" s="8" t="inlineStr">
        <is>
          <t>Douglass</t>
        </is>
      </c>
      <c r="D810" s="8" t="inlineStr">
        <is>
          <t>PLYV</t>
        </is>
      </c>
      <c r="E810" s="8" t="inlineStr">
        <is>
          <t>Kaden Wooden</t>
        </is>
      </c>
      <c r="F810" s="8" t="n">
        <v>2</v>
      </c>
      <c r="G810" s="8" t="n">
        <v>1</v>
      </c>
      <c r="H810" s="8" t="n">
        <v>0</v>
      </c>
      <c r="I810" s="8" t="n">
        <v>0</v>
      </c>
      <c r="J810" s="8" t="n">
        <v>0</v>
      </c>
      <c r="K810" s="8" t="n">
        <v>0</v>
      </c>
      <c r="L810" s="8" t="n">
        <v>0</v>
      </c>
      <c r="M810" s="8" t="n">
        <v>1</v>
      </c>
      <c r="N810" s="8" t="n">
        <v>0</v>
      </c>
      <c r="O810" s="8" t="n">
        <v>1</v>
      </c>
      <c r="R810" s="8" t="n">
        <v>1</v>
      </c>
      <c r="S810" s="8" t="n">
        <v>0</v>
      </c>
      <c r="T810" s="8" t="n">
        <v>0</v>
      </c>
      <c r="U810" s="8" t="n">
        <v>0</v>
      </c>
      <c r="W810" s="8" t="n">
        <v>0</v>
      </c>
    </row>
    <row r="811" ht="15.75" customHeight="1" s="35">
      <c r="A811" s="8" t="inlineStr">
        <is>
          <t>2026-03-25_DGLS_at_PLYV</t>
        </is>
      </c>
      <c r="B811" s="2" t="n">
        <v>46106</v>
      </c>
      <c r="C811" s="8" t="inlineStr">
        <is>
          <t>Douglass</t>
        </is>
      </c>
      <c r="D811" s="8" t="inlineStr">
        <is>
          <t>PLYV</t>
        </is>
      </c>
      <c r="E811" s="8" t="inlineStr">
        <is>
          <t>Kingston Antonio</t>
        </is>
      </c>
      <c r="F811" s="8" t="n">
        <v>3</v>
      </c>
      <c r="G811" s="8" t="n">
        <v>2</v>
      </c>
      <c r="H811" s="8" t="n">
        <v>1</v>
      </c>
      <c r="I811" s="8" t="n">
        <v>0</v>
      </c>
      <c r="J811" s="8" t="n">
        <v>0</v>
      </c>
      <c r="K811" s="8" t="n">
        <v>0</v>
      </c>
      <c r="L811" s="8" t="n">
        <v>1</v>
      </c>
      <c r="M811" s="8" t="n">
        <v>1</v>
      </c>
      <c r="N811" s="8" t="n">
        <v>0</v>
      </c>
      <c r="O811" s="8" t="n">
        <v>1</v>
      </c>
      <c r="R811" s="8" t="n">
        <v>2</v>
      </c>
      <c r="S811" s="8" t="n">
        <v>2</v>
      </c>
      <c r="T811" s="8" t="n">
        <v>0</v>
      </c>
      <c r="U811" s="8" t="n">
        <v>0</v>
      </c>
      <c r="W811" s="8" t="n">
        <v>0</v>
      </c>
      <c r="Y811" s="8" t="inlineStr">
        <is>
          <t>HR; TB=4 (cross-check ✓)</t>
        </is>
      </c>
    </row>
    <row r="812" ht="15.75" customHeight="1" s="35">
      <c r="A812" s="8" t="inlineStr">
        <is>
          <t>2026-03-25_DGLS_at_PLYV</t>
        </is>
      </c>
      <c r="B812" s="2" t="n">
        <v>46106</v>
      </c>
      <c r="C812" s="8" t="inlineStr">
        <is>
          <t>Douglass</t>
        </is>
      </c>
      <c r="D812" s="8" t="inlineStr">
        <is>
          <t>PLYV</t>
        </is>
      </c>
      <c r="E812" s="8" t="inlineStr">
        <is>
          <t>Ian Dickensheets</t>
        </is>
      </c>
      <c r="F812" s="8" t="n">
        <v>1</v>
      </c>
      <c r="G812" s="8" t="n">
        <v>0</v>
      </c>
      <c r="H812" s="8" t="n">
        <v>0</v>
      </c>
      <c r="I812" s="8" t="n">
        <v>0</v>
      </c>
      <c r="J812" s="8" t="n">
        <v>0</v>
      </c>
      <c r="K812" s="8" t="n">
        <v>0</v>
      </c>
      <c r="L812" s="8" t="n">
        <v>0</v>
      </c>
      <c r="M812" s="8" t="n">
        <v>1</v>
      </c>
      <c r="N812" s="8" t="n">
        <v>0</v>
      </c>
      <c r="O812" s="8" t="n">
        <v>0</v>
      </c>
      <c r="R812" s="8" t="n">
        <v>0</v>
      </c>
      <c r="S812" s="8" t="n">
        <v>0</v>
      </c>
      <c r="T812" s="8" t="n">
        <v>0</v>
      </c>
      <c r="U812" s="8" t="n">
        <v>0</v>
      </c>
      <c r="W812" s="8" t="n">
        <v>0</v>
      </c>
      <c r="Y812" s="8" t="inlineStr">
        <is>
          <t>Also pitches</t>
        </is>
      </c>
    </row>
    <row r="813" ht="15.75" customHeight="1" s="35">
      <c r="A813" s="8" t="inlineStr">
        <is>
          <t>2026-03-25_DGLS_at_PLYV</t>
        </is>
      </c>
      <c r="B813" s="2" t="n">
        <v>46106</v>
      </c>
      <c r="C813" s="8" t="inlineStr">
        <is>
          <t>Douglass</t>
        </is>
      </c>
      <c r="D813" s="8" t="inlineStr">
        <is>
          <t>PLYV</t>
        </is>
      </c>
      <c r="E813" s="8" t="inlineStr">
        <is>
          <t>Roman Girardi</t>
        </is>
      </c>
      <c r="F813" s="8" t="n">
        <v>0</v>
      </c>
      <c r="G813" s="8" t="n">
        <v>0</v>
      </c>
      <c r="H813" s="8" t="n">
        <v>0</v>
      </c>
      <c r="I813" s="8" t="n">
        <v>0</v>
      </c>
      <c r="J813" s="8" t="n">
        <v>0</v>
      </c>
      <c r="K813" s="8" t="n">
        <v>0</v>
      </c>
      <c r="L813" s="8" t="n">
        <v>0</v>
      </c>
      <c r="M813" s="8" t="n">
        <v>0</v>
      </c>
      <c r="N813" s="8" t="n">
        <v>0</v>
      </c>
      <c r="O813" s="8" t="n">
        <v>0</v>
      </c>
      <c r="R813" s="8" t="n">
        <v>0</v>
      </c>
      <c r="S813" s="8" t="n">
        <v>0</v>
      </c>
      <c r="T813" s="8" t="n">
        <v>0</v>
      </c>
      <c r="U813" s="8" t="n">
        <v>0</v>
      </c>
      <c r="W813" s="8" t="n">
        <v>0</v>
      </c>
      <c r="Y813" s="8" t="inlineStr">
        <is>
          <t>Zero PA; also pitches</t>
        </is>
      </c>
    </row>
    <row r="814" ht="15.75" customHeight="1" s="35">
      <c r="A814" s="8" t="inlineStr">
        <is>
          <t>2026-03-25_DGLS_at_PLYV</t>
        </is>
      </c>
      <c r="B814" s="2" t="n">
        <v>46106</v>
      </c>
      <c r="C814" s="8" t="inlineStr">
        <is>
          <t>Douglass</t>
        </is>
      </c>
      <c r="D814" s="8" t="inlineStr">
        <is>
          <t>PLYV</t>
        </is>
      </c>
      <c r="E814" s="8" t="inlineStr">
        <is>
          <t>Jakeem Mcbride</t>
        </is>
      </c>
      <c r="F814" s="8" t="n">
        <v>3</v>
      </c>
      <c r="G814" s="8" t="n">
        <v>3</v>
      </c>
      <c r="H814" s="8" t="n">
        <v>2</v>
      </c>
      <c r="I814" s="8" t="n">
        <v>2</v>
      </c>
      <c r="J814" s="8" t="n">
        <v>0</v>
      </c>
      <c r="K814" s="8" t="n">
        <v>0</v>
      </c>
      <c r="L814" s="8" t="n">
        <v>0</v>
      </c>
      <c r="M814" s="8" t="n">
        <v>0</v>
      </c>
      <c r="N814" s="8" t="n">
        <v>0</v>
      </c>
      <c r="O814" s="8" t="n">
        <v>1</v>
      </c>
      <c r="R814" s="8" t="n">
        <v>2</v>
      </c>
      <c r="S814" s="8" t="n">
        <v>0</v>
      </c>
      <c r="T814" s="8" t="n">
        <v>0</v>
      </c>
      <c r="U814" s="8" t="n">
        <v>0</v>
      </c>
      <c r="W814" s="8" t="n">
        <v>0</v>
      </c>
    </row>
    <row r="815" ht="15.75" customHeight="1" s="35">
      <c r="A815" s="8" t="inlineStr">
        <is>
          <t>2026-03-25_DGLS_at_PLYV</t>
        </is>
      </c>
      <c r="B815" s="2" t="n">
        <v>46106</v>
      </c>
      <c r="C815" s="8" t="inlineStr">
        <is>
          <t>Douglass</t>
        </is>
      </c>
      <c r="D815" s="8" t="inlineStr">
        <is>
          <t>PLYV</t>
        </is>
      </c>
      <c r="E815" s="8" t="inlineStr">
        <is>
          <t>Daniel Hong</t>
        </is>
      </c>
      <c r="F815" s="8" t="n">
        <v>1</v>
      </c>
      <c r="G815" s="8" t="n">
        <v>1</v>
      </c>
      <c r="H815" s="8" t="n">
        <v>0</v>
      </c>
      <c r="I815" s="8" t="n">
        <v>0</v>
      </c>
      <c r="J815" s="8" t="n">
        <v>0</v>
      </c>
      <c r="K815" s="8" t="n">
        <v>0</v>
      </c>
      <c r="L815" s="8" t="n">
        <v>0</v>
      </c>
      <c r="M815" s="8" t="n">
        <v>0</v>
      </c>
      <c r="N815" s="8" t="n">
        <v>0</v>
      </c>
      <c r="O815" s="8" t="n">
        <v>0</v>
      </c>
      <c r="R815" s="8" t="n">
        <v>0</v>
      </c>
      <c r="S815" s="8" t="n">
        <v>0</v>
      </c>
      <c r="T815" s="8" t="n">
        <v>0</v>
      </c>
      <c r="U815" s="8" t="n">
        <v>0</v>
      </c>
      <c r="W815" s="8" t="n">
        <v>0</v>
      </c>
    </row>
    <row r="816" ht="15.75" customHeight="1" s="35">
      <c r="A816" s="8" t="inlineStr">
        <is>
          <t>2026-03-25_DGLS_at_PLYV</t>
        </is>
      </c>
      <c r="B816" s="2" t="n">
        <v>46106</v>
      </c>
      <c r="C816" s="8" t="inlineStr">
        <is>
          <t>Douglass</t>
        </is>
      </c>
      <c r="D816" s="8" t="inlineStr">
        <is>
          <t>PLYV</t>
        </is>
      </c>
      <c r="E816" s="8" t="inlineStr">
        <is>
          <t>Ikram Khan</t>
        </is>
      </c>
      <c r="F816" s="8" t="n">
        <v>4</v>
      </c>
      <c r="G816" s="8" t="n">
        <v>2</v>
      </c>
      <c r="H816" s="8" t="n">
        <v>2</v>
      </c>
      <c r="I816" s="8" t="n">
        <v>0</v>
      </c>
      <c r="J816" s="8" t="n">
        <v>1</v>
      </c>
      <c r="K816" s="8" t="n">
        <v>1</v>
      </c>
      <c r="L816" s="8" t="n">
        <v>0</v>
      </c>
      <c r="M816" s="8" t="n">
        <v>2</v>
      </c>
      <c r="N816" s="8" t="n">
        <v>0</v>
      </c>
      <c r="O816" s="8" t="n">
        <v>0</v>
      </c>
      <c r="R816" s="8" t="n">
        <v>2</v>
      </c>
      <c r="S816" s="8" t="n">
        <v>2</v>
      </c>
      <c r="T816" s="8" t="n">
        <v>1</v>
      </c>
      <c r="U816" s="8" t="n">
        <v>0</v>
      </c>
      <c r="W816" s="8" t="n">
        <v>0</v>
      </c>
      <c r="Y816" s="8" t="inlineStr">
        <is>
          <t>2B+3B; TB=5 (cross-check ✓)</t>
        </is>
      </c>
    </row>
    <row r="817" ht="15.75" customHeight="1" s="35">
      <c r="A817" s="8" t="inlineStr">
        <is>
          <t>2026-03-25_DGLS_at_PLYV</t>
        </is>
      </c>
      <c r="B817" s="2" t="n">
        <v>46106</v>
      </c>
      <c r="C817" s="8" t="inlineStr">
        <is>
          <t>Douglass</t>
        </is>
      </c>
      <c r="D817" s="8" t="inlineStr">
        <is>
          <t>PLYV</t>
        </is>
      </c>
      <c r="E817" s="8" t="inlineStr">
        <is>
          <t>Julian Robin</t>
        </is>
      </c>
      <c r="F817" s="8" t="n">
        <v>2</v>
      </c>
      <c r="G817" s="8" t="n">
        <v>1</v>
      </c>
      <c r="H817" s="8" t="n">
        <v>1</v>
      </c>
      <c r="I817" s="8" t="n">
        <v>1</v>
      </c>
      <c r="J817" s="8" t="n">
        <v>0</v>
      </c>
      <c r="K817" s="8" t="n">
        <v>0</v>
      </c>
      <c r="L817" s="8" t="n">
        <v>0</v>
      </c>
      <c r="M817" s="8" t="n">
        <v>1</v>
      </c>
      <c r="N817" s="8" t="n">
        <v>0</v>
      </c>
      <c r="O817" s="8" t="n">
        <v>0</v>
      </c>
      <c r="R817" s="8" t="n">
        <v>1</v>
      </c>
      <c r="S817" s="8" t="n">
        <v>0</v>
      </c>
      <c r="T817" s="8" t="n">
        <v>0</v>
      </c>
      <c r="U817" s="8" t="n">
        <v>0</v>
      </c>
      <c r="W817" s="8" t="n">
        <v>0</v>
      </c>
      <c r="Y817" s="8" t="inlineStr">
        <is>
          <t>TB=1 (cross-check ✓)</t>
        </is>
      </c>
    </row>
    <row r="818" ht="15.75" customHeight="1" s="35">
      <c r="A818" s="8" t="inlineStr">
        <is>
          <t>2026-03-25_DGLS_at_PLYV</t>
        </is>
      </c>
      <c r="B818" s="2" t="n">
        <v>46106</v>
      </c>
      <c r="C818" s="8" t="inlineStr">
        <is>
          <t>Douglass</t>
        </is>
      </c>
      <c r="D818" s="8" t="inlineStr">
        <is>
          <t>PLYV</t>
        </is>
      </c>
      <c r="E818" s="8" t="inlineStr">
        <is>
          <t>Hayden Flipovitz</t>
        </is>
      </c>
      <c r="F818" s="8" t="n">
        <v>1</v>
      </c>
      <c r="G818" s="8" t="n">
        <v>1</v>
      </c>
      <c r="H818" s="8" t="n">
        <v>1</v>
      </c>
      <c r="I818" s="8" t="n">
        <v>1</v>
      </c>
      <c r="J818" s="8" t="n">
        <v>0</v>
      </c>
      <c r="K818" s="8" t="n">
        <v>0</v>
      </c>
      <c r="L818" s="8" t="n">
        <v>0</v>
      </c>
      <c r="M818" s="8" t="n">
        <v>0</v>
      </c>
      <c r="N818" s="8" t="n">
        <v>0</v>
      </c>
      <c r="O818" s="8" t="n">
        <v>0</v>
      </c>
      <c r="R818" s="8" t="n">
        <v>0</v>
      </c>
      <c r="S818" s="8" t="n">
        <v>0</v>
      </c>
      <c r="T818" s="8" t="n">
        <v>0</v>
      </c>
      <c r="U818" s="8" t="n">
        <v>0</v>
      </c>
      <c r="W818" s="8" t="n">
        <v>0</v>
      </c>
      <c r="Y818" s="8" t="inlineStr">
        <is>
          <t>TB=1 (cross-check ✓)</t>
        </is>
      </c>
    </row>
    <row r="819" ht="15.75" customHeight="1" s="35">
      <c r="A819" s="8" t="inlineStr">
        <is>
          <t>2026-03-25_DGLS_at_PLYV</t>
        </is>
      </c>
      <c r="B819" s="2" t="n">
        <v>46106</v>
      </c>
      <c r="C819" s="8" t="inlineStr">
        <is>
          <t>Douglass</t>
        </is>
      </c>
      <c r="D819" s="8" t="inlineStr">
        <is>
          <t>PLYV</t>
        </is>
      </c>
      <c r="E819" s="8" t="inlineStr">
        <is>
          <t>Joshua Tyree</t>
        </is>
      </c>
      <c r="F819" s="8" t="n">
        <v>2</v>
      </c>
      <c r="G819" s="8" t="n">
        <v>2</v>
      </c>
      <c r="H819" s="8" t="n">
        <v>0</v>
      </c>
      <c r="I819" s="8" t="n">
        <v>0</v>
      </c>
      <c r="J819" s="8" t="n">
        <v>0</v>
      </c>
      <c r="K819" s="8" t="n">
        <v>0</v>
      </c>
      <c r="L819" s="8" t="n">
        <v>0</v>
      </c>
      <c r="M819" s="8" t="n">
        <v>0</v>
      </c>
      <c r="N819" s="8" t="n">
        <v>0</v>
      </c>
      <c r="O819" s="8" t="n">
        <v>0</v>
      </c>
      <c r="R819" s="8" t="n">
        <v>1</v>
      </c>
      <c r="S819" s="8" t="n">
        <v>0</v>
      </c>
      <c r="T819" s="8" t="n">
        <v>0</v>
      </c>
      <c r="U819" s="8" t="n">
        <v>0</v>
      </c>
      <c r="W819" s="8" t="n">
        <v>0</v>
      </c>
    </row>
    <row r="820" ht="15.75" customHeight="1" s="35">
      <c r="A820" s="8" t="inlineStr">
        <is>
          <t>2026-03-25_DGLS_at_PLYV</t>
        </is>
      </c>
      <c r="B820" s="2" t="n">
        <v>46106</v>
      </c>
      <c r="C820" s="8" t="inlineStr">
        <is>
          <t>Douglass</t>
        </is>
      </c>
      <c r="D820" s="8" t="inlineStr">
        <is>
          <t>PLYV</t>
        </is>
      </c>
      <c r="E820" s="8" t="inlineStr">
        <is>
          <t>Zachariah Lawrence</t>
        </is>
      </c>
      <c r="F820" s="8" t="n">
        <v>2</v>
      </c>
      <c r="G820" s="8" t="n">
        <v>1</v>
      </c>
      <c r="H820" s="8" t="n">
        <v>1</v>
      </c>
      <c r="I820" s="8" t="n">
        <v>1</v>
      </c>
      <c r="J820" s="8" t="n">
        <v>0</v>
      </c>
      <c r="K820" s="8" t="n">
        <v>0</v>
      </c>
      <c r="L820" s="8" t="n">
        <v>0</v>
      </c>
      <c r="M820" s="8" t="n">
        <v>1</v>
      </c>
      <c r="N820" s="8" t="n">
        <v>0</v>
      </c>
      <c r="O820" s="8" t="n">
        <v>0</v>
      </c>
      <c r="R820" s="8" t="n">
        <v>1</v>
      </c>
      <c r="S820" s="8" t="n">
        <v>0</v>
      </c>
      <c r="T820" s="8" t="n">
        <v>0</v>
      </c>
      <c r="U820" s="8" t="n">
        <v>0</v>
      </c>
      <c r="W820" s="8" t="n">
        <v>0</v>
      </c>
    </row>
    <row r="821" ht="15.75" customHeight="1" s="35">
      <c r="A821" s="8" t="inlineStr">
        <is>
          <t>2026-03-25_DGLS_at_PLYV</t>
        </is>
      </c>
      <c r="B821" s="2" t="n">
        <v>46106</v>
      </c>
      <c r="C821" s="8" t="inlineStr">
        <is>
          <t>Douglass</t>
        </is>
      </c>
      <c r="D821" s="8" t="inlineStr">
        <is>
          <t>PLYV</t>
        </is>
      </c>
      <c r="E821" s="8" t="inlineStr">
        <is>
          <t>Coleman Bryant</t>
        </is>
      </c>
      <c r="F821" s="8" t="n">
        <v>0</v>
      </c>
      <c r="G821" s="8" t="n">
        <v>0</v>
      </c>
      <c r="H821" s="8" t="n">
        <v>0</v>
      </c>
      <c r="I821" s="8" t="n">
        <v>0</v>
      </c>
      <c r="J821" s="8" t="n">
        <v>0</v>
      </c>
      <c r="K821" s="8" t="n">
        <v>0</v>
      </c>
      <c r="L821" s="8" t="n">
        <v>0</v>
      </c>
      <c r="M821" s="8" t="n">
        <v>0</v>
      </c>
      <c r="N821" s="8" t="n">
        <v>0</v>
      </c>
      <c r="O821" s="8" t="n">
        <v>0</v>
      </c>
      <c r="R821" s="8" t="n">
        <v>0</v>
      </c>
      <c r="S821" s="8" t="n">
        <v>0</v>
      </c>
      <c r="T821" s="8" t="n">
        <v>0</v>
      </c>
      <c r="U821" s="8" t="n">
        <v>0</v>
      </c>
      <c r="W821" s="8" t="n">
        <v>0</v>
      </c>
      <c r="Y821" s="8" t="inlineStr">
        <is>
          <t>Zero PA</t>
        </is>
      </c>
    </row>
    <row r="822" ht="15.75" customHeight="1" s="35">
      <c r="A822" s="8" t="inlineStr">
        <is>
          <t>2026-03-25_DGLS_at_PLYV</t>
        </is>
      </c>
      <c r="B822" s="2" t="n">
        <v>46106</v>
      </c>
      <c r="C822" s="8" t="inlineStr">
        <is>
          <t>Douglass</t>
        </is>
      </c>
      <c r="D822" s="8" t="inlineStr">
        <is>
          <t>PLYV</t>
        </is>
      </c>
      <c r="E822" s="8" t="inlineStr">
        <is>
          <t>Henry Overton</t>
        </is>
      </c>
      <c r="F822" s="8" t="n">
        <v>3</v>
      </c>
      <c r="G822" s="8" t="n">
        <v>1</v>
      </c>
      <c r="H822" s="8" t="n">
        <v>1</v>
      </c>
      <c r="I822" s="8" t="n">
        <v>1</v>
      </c>
      <c r="J822" s="8" t="n">
        <v>0</v>
      </c>
      <c r="K822" s="8" t="n">
        <v>0</v>
      </c>
      <c r="L822" s="8" t="n">
        <v>0</v>
      </c>
      <c r="M822" s="8" t="n">
        <v>2</v>
      </c>
      <c r="N822" s="8" t="n">
        <v>0</v>
      </c>
      <c r="O822" s="8" t="n">
        <v>0</v>
      </c>
      <c r="R822" s="8" t="n">
        <v>3</v>
      </c>
      <c r="S822" s="8" t="n">
        <v>1</v>
      </c>
      <c r="T822" s="8" t="n">
        <v>2</v>
      </c>
      <c r="U822" s="8" t="n">
        <v>0</v>
      </c>
      <c r="W822" s="8" t="n">
        <v>0</v>
      </c>
      <c r="Y822" s="8" t="inlineStr">
        <is>
          <t>TB=1 (cross-check ✓)</t>
        </is>
      </c>
    </row>
    <row r="823" ht="15.75" customHeight="1" s="35">
      <c r="A823" s="8" t="inlineStr">
        <is>
          <t>2026-03-25_DGLS_at_PLYV</t>
        </is>
      </c>
      <c r="B823" s="2" t="n">
        <v>46106</v>
      </c>
      <c r="C823" s="8" t="inlineStr">
        <is>
          <t>Douglass</t>
        </is>
      </c>
      <c r="D823" s="8" t="inlineStr">
        <is>
          <t>PLYV</t>
        </is>
      </c>
      <c r="E823" s="8" t="inlineStr">
        <is>
          <t>Lucas Bryant</t>
        </is>
      </c>
      <c r="F823" s="8" t="n">
        <v>3</v>
      </c>
      <c r="G823" s="8" t="n">
        <v>2</v>
      </c>
      <c r="H823" s="8" t="n">
        <v>1</v>
      </c>
      <c r="I823" s="8" t="n">
        <v>0</v>
      </c>
      <c r="J823" s="8" t="n">
        <v>0</v>
      </c>
      <c r="K823" s="8" t="n">
        <v>1</v>
      </c>
      <c r="L823" s="8" t="n">
        <v>0</v>
      </c>
      <c r="M823" s="8" t="n">
        <v>1</v>
      </c>
      <c r="N823" s="8" t="n">
        <v>0</v>
      </c>
      <c r="O823" s="8" t="n">
        <v>1</v>
      </c>
      <c r="R823" s="8" t="n">
        <v>0</v>
      </c>
      <c r="S823" s="8" t="n">
        <v>2</v>
      </c>
      <c r="T823" s="8" t="n">
        <v>0</v>
      </c>
      <c r="U823" s="8" t="n">
        <v>0</v>
      </c>
      <c r="W823" s="8" t="n">
        <v>0</v>
      </c>
      <c r="Y823" s="8" t="inlineStr">
        <is>
          <t>3B; TB=3 (cross-check ✓)</t>
        </is>
      </c>
    </row>
    <row r="824" ht="15.75" customHeight="1" s="35">
      <c r="A824" s="8" t="inlineStr">
        <is>
          <t>2026-03-25_DGLS_at_PLYV</t>
        </is>
      </c>
      <c r="B824" s="2" t="n">
        <v>46106</v>
      </c>
      <c r="C824" s="8" t="inlineStr">
        <is>
          <t>Douglass</t>
        </is>
      </c>
      <c r="D824" s="8" t="inlineStr">
        <is>
          <t>PLYV</t>
        </is>
      </c>
      <c r="E824" s="8" t="inlineStr">
        <is>
          <t>Max Freeman</t>
        </is>
      </c>
      <c r="F824" s="8" t="n">
        <v>1</v>
      </c>
      <c r="G824" s="8" t="n">
        <v>1</v>
      </c>
      <c r="H824" s="8" t="n">
        <v>0</v>
      </c>
      <c r="I824" s="8" t="n">
        <v>0</v>
      </c>
      <c r="J824" s="8" t="n">
        <v>0</v>
      </c>
      <c r="K824" s="8" t="n">
        <v>0</v>
      </c>
      <c r="L824" s="8" t="n">
        <v>0</v>
      </c>
      <c r="M824" s="8" t="n">
        <v>0</v>
      </c>
      <c r="N824" s="8" t="n">
        <v>0</v>
      </c>
      <c r="O824" s="8" t="n">
        <v>1</v>
      </c>
      <c r="R824" s="8" t="n">
        <v>0</v>
      </c>
      <c r="S824" s="8" t="n">
        <v>0</v>
      </c>
      <c r="T824" s="8" t="n">
        <v>0</v>
      </c>
      <c r="U824" s="8" t="n">
        <v>0</v>
      </c>
      <c r="W824" s="8" t="n">
        <v>0</v>
      </c>
    </row>
    <row r="825" ht="15.75" customHeight="1" s="35">
      <c r="A825" s="8" t="inlineStr">
        <is>
          <t>2026-03-25_DGLS_at_PLYV</t>
        </is>
      </c>
      <c r="B825" s="2" t="n">
        <v>46106</v>
      </c>
      <c r="C825" s="8" t="inlineStr">
        <is>
          <t>Douglass</t>
        </is>
      </c>
      <c r="D825" s="8" t="inlineStr">
        <is>
          <t>PLYV</t>
        </is>
      </c>
      <c r="E825" s="8" t="inlineStr">
        <is>
          <t>Krishtain Mcleod</t>
        </is>
      </c>
      <c r="F825" s="8" t="n">
        <v>2</v>
      </c>
      <c r="G825" s="8" t="n">
        <v>2</v>
      </c>
      <c r="H825" s="8" t="n">
        <v>1</v>
      </c>
      <c r="I825" s="8" t="n">
        <v>0</v>
      </c>
      <c r="J825" s="8" t="n">
        <v>1</v>
      </c>
      <c r="K825" s="8" t="n">
        <v>0</v>
      </c>
      <c r="L825" s="8" t="n">
        <v>0</v>
      </c>
      <c r="M825" s="8" t="n">
        <v>0</v>
      </c>
      <c r="N825" s="8" t="n">
        <v>0</v>
      </c>
      <c r="O825" s="8" t="n">
        <v>0</v>
      </c>
      <c r="R825" s="8" t="n">
        <v>1</v>
      </c>
      <c r="S825" s="8" t="n">
        <v>1</v>
      </c>
      <c r="T825" s="8" t="n">
        <v>1</v>
      </c>
      <c r="U825" s="8" t="n">
        <v>0</v>
      </c>
      <c r="W825" s="8" t="n">
        <v>0</v>
      </c>
      <c r="Y825" s="8" t="inlineStr">
        <is>
          <t>2B; TB=2</t>
        </is>
      </c>
    </row>
    <row r="826" ht="15.75" customHeight="1" s="35">
      <c r="A826" s="8" t="inlineStr">
        <is>
          <t>2026-03-25_DGLS_at_PLYV</t>
        </is>
      </c>
      <c r="B826" s="2" t="n">
        <v>46106</v>
      </c>
      <c r="C826" s="8" t="inlineStr">
        <is>
          <t>Douglass</t>
        </is>
      </c>
      <c r="D826" s="8" t="inlineStr">
        <is>
          <t>PLYV</t>
        </is>
      </c>
      <c r="E826" s="8" t="inlineStr">
        <is>
          <t>Kai Ely</t>
        </is>
      </c>
      <c r="F826" s="8" t="n">
        <v>2</v>
      </c>
      <c r="G826" s="8" t="n">
        <v>2</v>
      </c>
      <c r="H826" s="8" t="n">
        <v>0</v>
      </c>
      <c r="I826" s="8" t="n">
        <v>0</v>
      </c>
      <c r="J826" s="8" t="n">
        <v>0</v>
      </c>
      <c r="K826" s="8" t="n">
        <v>0</v>
      </c>
      <c r="L826" s="8" t="n">
        <v>0</v>
      </c>
      <c r="M826" s="8" t="n">
        <v>0</v>
      </c>
      <c r="N826" s="8" t="n">
        <v>0</v>
      </c>
      <c r="O826" s="8" t="n">
        <v>0</v>
      </c>
      <c r="R826" s="8" t="n">
        <v>0</v>
      </c>
      <c r="S826" s="8" t="n">
        <v>2</v>
      </c>
      <c r="T826" s="8" t="n">
        <v>0</v>
      </c>
      <c r="U826" s="8" t="n">
        <v>0</v>
      </c>
      <c r="W826" s="8" t="n">
        <v>0</v>
      </c>
    </row>
    <row r="827" ht="15.75" customHeight="1" s="35">
      <c r="A827" s="8" t="inlineStr">
        <is>
          <t>2026-03-25_DGLS_at_PLYV</t>
        </is>
      </c>
      <c r="B827" s="2" t="n">
        <v>46106</v>
      </c>
      <c r="C827" s="8" t="inlineStr">
        <is>
          <t>Poly Varsity Engineers 2026</t>
        </is>
      </c>
      <c r="D827" s="8" t="inlineStr">
        <is>
          <t>DGLS</t>
        </is>
      </c>
      <c r="E827" s="8" t="inlineStr">
        <is>
          <t>Shaul Klein</t>
        </is>
      </c>
      <c r="F827" s="8" t="n">
        <v>2</v>
      </c>
      <c r="G827" s="8" t="n">
        <v>2</v>
      </c>
      <c r="H827" s="8" t="n">
        <v>0</v>
      </c>
      <c r="I827" s="8" t="n">
        <v>0</v>
      </c>
      <c r="J827" s="8" t="n">
        <v>0</v>
      </c>
      <c r="K827" s="8" t="n">
        <v>0</v>
      </c>
      <c r="L827" s="8" t="n">
        <v>0</v>
      </c>
      <c r="M827" s="8" t="n">
        <v>0</v>
      </c>
      <c r="N827" s="8" t="n">
        <v>0</v>
      </c>
      <c r="O827" s="8" t="n">
        <v>2</v>
      </c>
      <c r="R827" s="8" t="n">
        <v>0</v>
      </c>
      <c r="S827" s="8" t="n">
        <v>0</v>
      </c>
      <c r="T827" s="8" t="n">
        <v>0</v>
      </c>
      <c r="U827" s="8" t="n">
        <v>0</v>
      </c>
      <c r="W827" s="8" t="n">
        <v>0</v>
      </c>
    </row>
    <row r="828" ht="15.75" customHeight="1" s="35">
      <c r="A828" s="8" t="inlineStr">
        <is>
          <t>2026-03-25_DGLS_at_PLYV</t>
        </is>
      </c>
      <c r="B828" s="2" t="n">
        <v>46106</v>
      </c>
      <c r="C828" s="8" t="inlineStr">
        <is>
          <t>Poly Varsity Engineers 2026</t>
        </is>
      </c>
      <c r="D828" s="8" t="inlineStr">
        <is>
          <t>DGLS</t>
        </is>
      </c>
      <c r="E828" s="8" t="inlineStr">
        <is>
          <t>leonard jones</t>
        </is>
      </c>
      <c r="F828" s="8" t="n">
        <v>3</v>
      </c>
      <c r="G828" s="8" t="n">
        <v>3</v>
      </c>
      <c r="H828" s="8" t="n">
        <v>0</v>
      </c>
      <c r="I828" s="8" t="n">
        <v>0</v>
      </c>
      <c r="J828" s="8" t="n">
        <v>0</v>
      </c>
      <c r="K828" s="8" t="n">
        <v>0</v>
      </c>
      <c r="L828" s="8" t="n">
        <v>0</v>
      </c>
      <c r="M828" s="8" t="n">
        <v>0</v>
      </c>
      <c r="N828" s="8" t="n">
        <v>0</v>
      </c>
      <c r="O828" s="8" t="n">
        <v>3</v>
      </c>
      <c r="R828" s="8" t="n">
        <v>0</v>
      </c>
      <c r="S828" s="8" t="n">
        <v>0</v>
      </c>
      <c r="T828" s="8" t="n">
        <v>0</v>
      </c>
      <c r="U828" s="8" t="n">
        <v>0</v>
      </c>
      <c r="W828" s="8" t="n">
        <v>0</v>
      </c>
      <c r="Y828" s="8" t="inlineStr">
        <is>
          <t>E in Fielding sheet; source: box score E line</t>
        </is>
      </c>
    </row>
    <row r="829" ht="15.75" customHeight="1" s="35">
      <c r="A829" s="8" t="inlineStr">
        <is>
          <t>2026-03-25_DGLS_at_PLYV</t>
        </is>
      </c>
      <c r="B829" s="2" t="n">
        <v>46106</v>
      </c>
      <c r="C829" s="8" t="inlineStr">
        <is>
          <t>Poly Varsity Engineers 2026</t>
        </is>
      </c>
      <c r="D829" s="8" t="inlineStr">
        <is>
          <t>DGLS</t>
        </is>
      </c>
      <c r="E829" s="8" t="inlineStr">
        <is>
          <t>Wilner Vergel-Rivero</t>
        </is>
      </c>
      <c r="F829" s="8" t="n">
        <v>2</v>
      </c>
      <c r="G829" s="8" t="n">
        <v>1</v>
      </c>
      <c r="H829" s="8" t="n">
        <v>1</v>
      </c>
      <c r="I829" s="8" t="n">
        <v>1</v>
      </c>
      <c r="J829" s="8" t="n">
        <v>0</v>
      </c>
      <c r="K829" s="8" t="n">
        <v>0</v>
      </c>
      <c r="L829" s="8" t="n">
        <v>0</v>
      </c>
      <c r="M829" s="8" t="n">
        <v>1</v>
      </c>
      <c r="N829" s="8" t="n">
        <v>0</v>
      </c>
      <c r="O829" s="8" t="n">
        <v>0</v>
      </c>
      <c r="R829" s="8" t="n">
        <v>1</v>
      </c>
      <c r="S829" s="8" t="n">
        <v>0</v>
      </c>
      <c r="T829" s="8" t="n">
        <v>2</v>
      </c>
      <c r="U829" s="8" t="n">
        <v>0</v>
      </c>
      <c r="W829" s="8" t="n">
        <v>0</v>
      </c>
      <c r="Y829" s="8" t="inlineStr">
        <is>
          <t>Also pitches; TB=1 ✓</t>
        </is>
      </c>
    </row>
    <row r="830" ht="15.75" customHeight="1" s="35">
      <c r="A830" s="8" t="inlineStr">
        <is>
          <t>2026-03-25_DGLS_at_PLYV</t>
        </is>
      </c>
      <c r="B830" s="2" t="n">
        <v>46106</v>
      </c>
      <c r="C830" s="8" t="inlineStr">
        <is>
          <t>Poly Varsity Engineers 2026</t>
        </is>
      </c>
      <c r="D830" s="8" t="inlineStr">
        <is>
          <t>DGLS</t>
        </is>
      </c>
      <c r="E830" s="8" t="inlineStr">
        <is>
          <t>Nuinner Vergel-Rivero</t>
        </is>
      </c>
      <c r="F830" s="8" t="n">
        <v>2</v>
      </c>
      <c r="G830" s="8" t="n">
        <v>2</v>
      </c>
      <c r="H830" s="8" t="n">
        <v>0</v>
      </c>
      <c r="I830" s="8" t="n">
        <v>0</v>
      </c>
      <c r="J830" s="8" t="n">
        <v>0</v>
      </c>
      <c r="K830" s="8" t="n">
        <v>0</v>
      </c>
      <c r="L830" s="8" t="n">
        <v>0</v>
      </c>
      <c r="M830" s="8" t="n">
        <v>0</v>
      </c>
      <c r="N830" s="8" t="n">
        <v>0</v>
      </c>
      <c r="O830" s="8" t="n">
        <v>2</v>
      </c>
      <c r="R830" s="8" t="n">
        <v>0</v>
      </c>
      <c r="S830" s="8" t="n">
        <v>0</v>
      </c>
      <c r="T830" s="8" t="n">
        <v>0</v>
      </c>
      <c r="U830" s="8" t="n">
        <v>0</v>
      </c>
      <c r="W830" s="8" t="n">
        <v>0</v>
      </c>
    </row>
    <row r="831" ht="15.75" customHeight="1" s="35">
      <c r="A831" s="8" t="inlineStr">
        <is>
          <t>2026-03-25_DGLS_at_PLYV</t>
        </is>
      </c>
      <c r="B831" s="2" t="n">
        <v>46106</v>
      </c>
      <c r="C831" s="8" t="inlineStr">
        <is>
          <t>Poly Varsity Engineers 2026</t>
        </is>
      </c>
      <c r="D831" s="8" t="inlineStr">
        <is>
          <t>DGLS</t>
        </is>
      </c>
      <c r="E831" s="8" t="inlineStr">
        <is>
          <t>Luis Alegria Gonzalez</t>
        </is>
      </c>
      <c r="F831" s="8" t="n">
        <v>2</v>
      </c>
      <c r="G831" s="8" t="n">
        <v>2</v>
      </c>
      <c r="H831" s="8" t="n">
        <v>1</v>
      </c>
      <c r="I831" s="8" t="n">
        <v>1</v>
      </c>
      <c r="J831" s="8" t="n">
        <v>0</v>
      </c>
      <c r="K831" s="8" t="n">
        <v>0</v>
      </c>
      <c r="L831" s="8" t="n">
        <v>0</v>
      </c>
      <c r="M831" s="8" t="n">
        <v>0</v>
      </c>
      <c r="N831" s="8" t="n">
        <v>0</v>
      </c>
      <c r="O831" s="8" t="n">
        <v>1</v>
      </c>
      <c r="R831" s="8" t="n">
        <v>0</v>
      </c>
      <c r="S831" s="8" t="n">
        <v>1</v>
      </c>
      <c r="T831" s="8" t="n">
        <v>1</v>
      </c>
      <c r="U831" s="8" t="n">
        <v>0</v>
      </c>
      <c r="W831" s="8" t="n">
        <v>0</v>
      </c>
      <c r="Y831" s="8" t="inlineStr">
        <is>
          <t>TB=1 ✓</t>
        </is>
      </c>
    </row>
    <row r="832" ht="15.75" customHeight="1" s="35">
      <c r="A832" s="8" t="inlineStr">
        <is>
          <t>2026-03-25_DGLS_at_PLYV</t>
        </is>
      </c>
      <c r="B832" s="2" t="n">
        <v>46106</v>
      </c>
      <c r="C832" s="8" t="inlineStr">
        <is>
          <t>Poly Varsity Engineers 2026</t>
        </is>
      </c>
      <c r="D832" s="8" t="inlineStr">
        <is>
          <t>DGLS</t>
        </is>
      </c>
      <c r="E832" s="8" t="inlineStr">
        <is>
          <t>Deivid Mendoza</t>
        </is>
      </c>
      <c r="F832" s="8" t="n">
        <v>2</v>
      </c>
      <c r="G832" s="8" t="n">
        <v>2</v>
      </c>
      <c r="H832" s="8" t="n">
        <v>0</v>
      </c>
      <c r="I832" s="8" t="n">
        <v>0</v>
      </c>
      <c r="J832" s="8" t="n">
        <v>0</v>
      </c>
      <c r="K832" s="8" t="n">
        <v>0</v>
      </c>
      <c r="L832" s="8" t="n">
        <v>0</v>
      </c>
      <c r="M832" s="8" t="n">
        <v>0</v>
      </c>
      <c r="N832" s="8" t="n">
        <v>0</v>
      </c>
      <c r="O832" s="8" t="n">
        <v>2</v>
      </c>
      <c r="R832" s="8" t="n">
        <v>0</v>
      </c>
      <c r="S832" s="8" t="n">
        <v>0</v>
      </c>
      <c r="T832" s="8" t="n">
        <v>0</v>
      </c>
      <c r="U832" s="8" t="n">
        <v>0</v>
      </c>
      <c r="W832" s="8" t="n">
        <v>0</v>
      </c>
      <c r="Y832" s="8" t="inlineStr">
        <is>
          <t>Also pitches</t>
        </is>
      </c>
    </row>
    <row r="833" ht="15.75" customHeight="1" s="35">
      <c r="A833" s="8" t="inlineStr">
        <is>
          <t>2026-03-25_DGLS_at_PLYV</t>
        </is>
      </c>
      <c r="B833" s="2" t="n">
        <v>46106</v>
      </c>
      <c r="C833" s="8" t="inlineStr">
        <is>
          <t>Poly Varsity Engineers 2026</t>
        </is>
      </c>
      <c r="D833" s="8" t="inlineStr">
        <is>
          <t>DGLS</t>
        </is>
      </c>
      <c r="E833" s="8" t="inlineStr">
        <is>
          <t>Peyton-Antonio White</t>
        </is>
      </c>
      <c r="F833" s="8" t="n">
        <v>2</v>
      </c>
      <c r="G833" s="8" t="n">
        <v>2</v>
      </c>
      <c r="H833" s="8" t="n">
        <v>1</v>
      </c>
      <c r="I833" s="8" t="n">
        <v>1</v>
      </c>
      <c r="J833" s="8" t="n">
        <v>0</v>
      </c>
      <c r="K833" s="8" t="n">
        <v>0</v>
      </c>
      <c r="L833" s="8" t="n">
        <v>0</v>
      </c>
      <c r="M833" s="8" t="n">
        <v>0</v>
      </c>
      <c r="N833" s="8" t="n">
        <v>0</v>
      </c>
      <c r="O833" s="8" t="n">
        <v>0</v>
      </c>
      <c r="R833" s="8" t="n">
        <v>0</v>
      </c>
      <c r="S833" s="8" t="n">
        <v>0</v>
      </c>
      <c r="T833" s="8" t="n">
        <v>0</v>
      </c>
      <c r="U833" s="8" t="n">
        <v>0</v>
      </c>
      <c r="W833" s="8" t="n">
        <v>0</v>
      </c>
      <c r="Y833" s="8" t="inlineStr">
        <is>
          <t>TB=1 ✓</t>
        </is>
      </c>
    </row>
    <row r="834" ht="15.75" customHeight="1" s="35">
      <c r="A834" s="8" t="inlineStr">
        <is>
          <t>2026-03-25_DGLS_at_PLYV</t>
        </is>
      </c>
      <c r="B834" s="2" t="n">
        <v>46106</v>
      </c>
      <c r="C834" s="8" t="inlineStr">
        <is>
          <t>Poly Varsity Engineers 2026</t>
        </is>
      </c>
      <c r="D834" s="8" t="inlineStr">
        <is>
          <t>DGLS</t>
        </is>
      </c>
      <c r="E834" s="8" t="inlineStr">
        <is>
          <t>Isaac Montufar Reyes</t>
        </is>
      </c>
      <c r="F834" s="8" t="n">
        <v>2</v>
      </c>
      <c r="G834" s="8" t="n">
        <v>2</v>
      </c>
      <c r="H834" s="8" t="n">
        <v>0</v>
      </c>
      <c r="I834" s="8" t="n">
        <v>0</v>
      </c>
      <c r="J834" s="8" t="n">
        <v>0</v>
      </c>
      <c r="K834" s="8" t="n">
        <v>0</v>
      </c>
      <c r="L834" s="8" t="n">
        <v>0</v>
      </c>
      <c r="M834" s="8" t="n">
        <v>0</v>
      </c>
      <c r="N834" s="8" t="n">
        <v>0</v>
      </c>
      <c r="O834" s="8" t="n">
        <v>2</v>
      </c>
      <c r="R834" s="8" t="n">
        <v>0</v>
      </c>
      <c r="S834" s="8" t="n">
        <v>0</v>
      </c>
      <c r="T834" s="8" t="n">
        <v>0</v>
      </c>
      <c r="U834" s="8" t="n">
        <v>0</v>
      </c>
      <c r="W834" s="8" t="n">
        <v>0</v>
      </c>
      <c r="Y834" s="8" t="inlineStr">
        <is>
          <t>Also pitches; E in Fielding sheet</t>
        </is>
      </c>
    </row>
    <row r="835" ht="15.75" customHeight="1" s="35">
      <c r="A835" s="8" t="inlineStr">
        <is>
          <t>2026-03-25_DGLS_at_PLYV</t>
        </is>
      </c>
      <c r="B835" s="2" t="n">
        <v>46106</v>
      </c>
      <c r="C835" s="8" t="inlineStr">
        <is>
          <t>Poly Varsity Engineers 2026</t>
        </is>
      </c>
      <c r="D835" s="8" t="inlineStr">
        <is>
          <t>DGLS</t>
        </is>
      </c>
      <c r="E835" s="8" t="inlineStr">
        <is>
          <t>Marquise Hernandez</t>
        </is>
      </c>
      <c r="F835" s="8" t="n">
        <v>2</v>
      </c>
      <c r="G835" s="8" t="n">
        <v>2</v>
      </c>
      <c r="H835" s="8" t="n">
        <v>0</v>
      </c>
      <c r="I835" s="8" t="n">
        <v>0</v>
      </c>
      <c r="J835" s="8" t="n">
        <v>0</v>
      </c>
      <c r="K835" s="8" t="n">
        <v>0</v>
      </c>
      <c r="L835" s="8" t="n">
        <v>0</v>
      </c>
      <c r="M835" s="8" t="n">
        <v>0</v>
      </c>
      <c r="N835" s="8" t="n">
        <v>0</v>
      </c>
      <c r="O835" s="8" t="n">
        <v>2</v>
      </c>
      <c r="R835" s="8" t="n">
        <v>0</v>
      </c>
      <c r="S835" s="8" t="n">
        <v>0</v>
      </c>
      <c r="T835" s="8" t="n">
        <v>0</v>
      </c>
      <c r="U835" s="8" t="n">
        <v>0</v>
      </c>
      <c r="W835" s="8" t="n">
        <v>0</v>
      </c>
    </row>
    <row r="836" ht="15.75" customHeight="1" s="35">
      <c r="A836" s="8" t="inlineStr">
        <is>
          <t>2026-03-25_DGLS_at_PLYV</t>
        </is>
      </c>
      <c r="B836" s="2" t="n">
        <v>46106</v>
      </c>
      <c r="C836" s="8" t="inlineStr">
        <is>
          <t>Poly Varsity Engineers 2026</t>
        </is>
      </c>
      <c r="D836" s="8" t="inlineStr">
        <is>
          <t>DGLS</t>
        </is>
      </c>
      <c r="E836" s="8" t="inlineStr">
        <is>
          <t>Nehemiah Ford</t>
        </is>
      </c>
      <c r="F836" s="8" t="n">
        <v>1</v>
      </c>
      <c r="G836" s="8" t="n">
        <v>1</v>
      </c>
      <c r="H836" s="8" t="n">
        <v>0</v>
      </c>
      <c r="I836" s="8" t="n">
        <v>0</v>
      </c>
      <c r="J836" s="8" t="n">
        <v>0</v>
      </c>
      <c r="K836" s="8" t="n">
        <v>0</v>
      </c>
      <c r="L836" s="8" t="n">
        <v>0</v>
      </c>
      <c r="M836" s="8" t="n">
        <v>0</v>
      </c>
      <c r="N836" s="8" t="n">
        <v>0</v>
      </c>
      <c r="O836" s="8" t="n">
        <v>1</v>
      </c>
      <c r="R836" s="8" t="n">
        <v>0</v>
      </c>
      <c r="S836" s="8" t="n">
        <v>0</v>
      </c>
      <c r="T836" s="8" t="n">
        <v>0</v>
      </c>
      <c r="U836" s="8" t="n">
        <v>0</v>
      </c>
      <c r="W836" s="8" t="n">
        <v>0</v>
      </c>
    </row>
    <row r="837" ht="15.75" customHeight="1" s="35">
      <c r="A837" s="8" t="inlineStr">
        <is>
          <t>2026-03-27_FRST_at_PLYV</t>
        </is>
      </c>
      <c r="B837" s="2" t="n">
        <v>46108</v>
      </c>
      <c r="C837" s="8" t="inlineStr">
        <is>
          <t>Forest Park Varsity Foresters</t>
        </is>
      </c>
      <c r="D837" s="8" t="inlineStr">
        <is>
          <t>PLYV</t>
        </is>
      </c>
      <c r="E837" s="8" t="inlineStr">
        <is>
          <t>Julian Robin</t>
        </is>
      </c>
      <c r="F837" s="8" t="n">
        <v>3</v>
      </c>
      <c r="G837" s="8" t="n">
        <v>3</v>
      </c>
      <c r="H837" s="8" t="n">
        <v>1</v>
      </c>
      <c r="I837" s="8" t="n">
        <v>1</v>
      </c>
      <c r="J837" s="8" t="n">
        <v>0</v>
      </c>
      <c r="K837" s="8" t="n">
        <v>0</v>
      </c>
      <c r="L837" s="8" t="n">
        <v>0</v>
      </c>
      <c r="M837" s="8" t="n">
        <v>0</v>
      </c>
      <c r="N837" s="8" t="n">
        <v>0</v>
      </c>
      <c r="O837" s="8" t="n">
        <v>0</v>
      </c>
      <c r="R837" s="8" t="n">
        <v>2</v>
      </c>
      <c r="S837" s="8" t="n">
        <v>0</v>
      </c>
      <c r="T837" s="8" t="n">
        <v>0</v>
      </c>
      <c r="U837" s="8" t="n">
        <v>0</v>
      </c>
      <c r="W837" s="8" t="n">
        <v>0</v>
      </c>
      <c r="Y837" s="8" t="inlineStr">
        <is>
          <t>TB=1 ✓</t>
        </is>
      </c>
    </row>
    <row r="838" ht="15.75" customHeight="1" s="35">
      <c r="A838" s="8" t="inlineStr">
        <is>
          <t>2026-03-27_FRST_at_PLYV</t>
        </is>
      </c>
      <c r="B838" s="2" t="n">
        <v>46108</v>
      </c>
      <c r="C838" s="8" t="inlineStr">
        <is>
          <t>Forest Park Varsity Foresters</t>
        </is>
      </c>
      <c r="D838" s="8" t="inlineStr">
        <is>
          <t>PLYV</t>
        </is>
      </c>
      <c r="E838" s="8" t="inlineStr">
        <is>
          <t>Kaden Wooden</t>
        </is>
      </c>
      <c r="F838" s="8" t="n">
        <v>3</v>
      </c>
      <c r="G838" s="8" t="n">
        <v>2</v>
      </c>
      <c r="H838" s="8" t="n">
        <v>0</v>
      </c>
      <c r="I838" s="8" t="n">
        <v>0</v>
      </c>
      <c r="J838" s="8" t="n">
        <v>0</v>
      </c>
      <c r="K838" s="8" t="n">
        <v>0</v>
      </c>
      <c r="L838" s="8" t="n">
        <v>0</v>
      </c>
      <c r="M838" s="8" t="n">
        <v>0</v>
      </c>
      <c r="N838" s="8" t="n">
        <v>1</v>
      </c>
      <c r="O838" s="8" t="n">
        <v>1</v>
      </c>
      <c r="R838" s="8" t="n">
        <v>1</v>
      </c>
      <c r="S838" s="8" t="n">
        <v>0</v>
      </c>
      <c r="T838" s="8" t="n">
        <v>0</v>
      </c>
      <c r="U838" s="8" t="n">
        <v>0</v>
      </c>
      <c r="W838" s="8" t="n">
        <v>0</v>
      </c>
      <c r="Y838" s="8" t="inlineStr">
        <is>
          <t>HBP; TB=0 ✓</t>
        </is>
      </c>
    </row>
    <row r="839" ht="15.75" customHeight="1" s="35">
      <c r="A839" s="8" t="inlineStr">
        <is>
          <t>2026-03-27_FRST_at_PLYV</t>
        </is>
      </c>
      <c r="B839" s="2" t="n">
        <v>46108</v>
      </c>
      <c r="C839" s="8" t="inlineStr">
        <is>
          <t>Forest Park Varsity Foresters</t>
        </is>
      </c>
      <c r="D839" s="8" t="inlineStr">
        <is>
          <t>PLYV</t>
        </is>
      </c>
      <c r="E839" s="8" t="inlineStr">
        <is>
          <t>Ian Dickensheets</t>
        </is>
      </c>
      <c r="F839" s="8" t="n">
        <v>5</v>
      </c>
      <c r="G839" s="8" t="n">
        <v>3</v>
      </c>
      <c r="H839" s="8" t="n">
        <v>1</v>
      </c>
      <c r="I839" s="8" t="n">
        <v>1</v>
      </c>
      <c r="J839" s="8" t="n">
        <v>0</v>
      </c>
      <c r="K839" s="8" t="n">
        <v>0</v>
      </c>
      <c r="L839" s="8" t="n">
        <v>0</v>
      </c>
      <c r="M839" s="8" t="n">
        <v>2</v>
      </c>
      <c r="N839" s="8" t="n">
        <v>0</v>
      </c>
      <c r="O839" s="8" t="n">
        <v>0</v>
      </c>
      <c r="R839" s="8" t="n">
        <v>3</v>
      </c>
      <c r="S839" s="8" t="n">
        <v>2</v>
      </c>
      <c r="T839" s="8" t="n">
        <v>2</v>
      </c>
      <c r="U839" s="8" t="n">
        <v>0</v>
      </c>
      <c r="W839" s="8" t="n">
        <v>0</v>
      </c>
      <c r="Y839" s="8" t="inlineStr">
        <is>
          <t>SB=2; TB=1 ✓</t>
        </is>
      </c>
    </row>
    <row r="840" ht="15.75" customHeight="1" s="35">
      <c r="A840" s="8" t="inlineStr">
        <is>
          <t>2026-03-27_FRST_at_PLYV</t>
        </is>
      </c>
      <c r="B840" s="2" t="n">
        <v>46108</v>
      </c>
      <c r="C840" s="8" t="inlineStr">
        <is>
          <t>Forest Park Varsity Foresters</t>
        </is>
      </c>
      <c r="D840" s="8" t="inlineStr">
        <is>
          <t>PLYV</t>
        </is>
      </c>
      <c r="E840" s="8" t="inlineStr">
        <is>
          <t>Coleman Bryant</t>
        </is>
      </c>
      <c r="F840" s="8" t="n">
        <v>3</v>
      </c>
      <c r="G840" s="8" t="n">
        <v>3</v>
      </c>
      <c r="H840" s="8" t="n">
        <v>1</v>
      </c>
      <c r="I840" s="8" t="n">
        <v>1</v>
      </c>
      <c r="J840" s="8" t="n">
        <v>0</v>
      </c>
      <c r="K840" s="8" t="n">
        <v>0</v>
      </c>
      <c r="L840" s="8" t="n">
        <v>0</v>
      </c>
      <c r="M840" s="8" t="n">
        <v>0</v>
      </c>
      <c r="N840" s="8" t="n">
        <v>0</v>
      </c>
      <c r="O840" s="8" t="n">
        <v>1</v>
      </c>
      <c r="R840" s="8" t="n">
        <v>1</v>
      </c>
      <c r="S840" s="8" t="n">
        <v>1</v>
      </c>
      <c r="T840" s="8" t="n">
        <v>0</v>
      </c>
      <c r="U840" s="8" t="n">
        <v>0</v>
      </c>
      <c r="W840" s="8" t="n">
        <v>0</v>
      </c>
      <c r="Y840" s="8" t="inlineStr">
        <is>
          <t>TB=1 ✓</t>
        </is>
      </c>
    </row>
    <row r="841" ht="15.75" customHeight="1" s="35">
      <c r="A841" s="8" t="inlineStr">
        <is>
          <t>2026-03-27_FRST_at_PLYV</t>
        </is>
      </c>
      <c r="B841" s="2" t="n">
        <v>46108</v>
      </c>
      <c r="C841" s="8" t="inlineStr">
        <is>
          <t>Forest Park Varsity Foresters</t>
        </is>
      </c>
      <c r="D841" s="8" t="inlineStr">
        <is>
          <t>PLYV</t>
        </is>
      </c>
      <c r="E841" s="8" t="inlineStr">
        <is>
          <t>Kai Ely</t>
        </is>
      </c>
      <c r="F841" s="8" t="n">
        <v>2</v>
      </c>
      <c r="G841" s="8" t="n">
        <v>0</v>
      </c>
      <c r="H841" s="8" t="n">
        <v>0</v>
      </c>
      <c r="I841" s="8" t="n">
        <v>0</v>
      </c>
      <c r="J841" s="8" t="n">
        <v>0</v>
      </c>
      <c r="K841" s="8" t="n">
        <v>0</v>
      </c>
      <c r="L841" s="8" t="n">
        <v>0</v>
      </c>
      <c r="M841" s="8" t="n">
        <v>1</v>
      </c>
      <c r="N841" s="8" t="n">
        <v>0</v>
      </c>
      <c r="O841" s="8" t="n">
        <v>0</v>
      </c>
      <c r="R841" s="8" t="n">
        <v>1</v>
      </c>
      <c r="S841" s="8" t="n">
        <v>1</v>
      </c>
      <c r="T841" s="8" t="n">
        <v>0</v>
      </c>
      <c r="U841" s="8" t="n">
        <v>0</v>
      </c>
      <c r="W841" s="8" t="n">
        <v>0</v>
      </c>
      <c r="Y841" s="8" t="inlineStr">
        <is>
          <t>SF; PA = BB+SF=2</t>
        </is>
      </c>
    </row>
    <row r="842" ht="15.75" customHeight="1" s="35">
      <c r="A842" s="8" t="inlineStr">
        <is>
          <t>2026-03-27_FRST_at_PLYV</t>
        </is>
      </c>
      <c r="B842" s="2" t="n">
        <v>46108</v>
      </c>
      <c r="C842" s="8" t="inlineStr">
        <is>
          <t>Forest Park Varsity Foresters</t>
        </is>
      </c>
      <c r="D842" s="8" t="inlineStr">
        <is>
          <t>PLYV</t>
        </is>
      </c>
      <c r="E842" s="8" t="inlineStr">
        <is>
          <t>Roman Girardi</t>
        </is>
      </c>
      <c r="F842" s="8" t="n">
        <v>5</v>
      </c>
      <c r="G842" s="8" t="n">
        <v>3</v>
      </c>
      <c r="H842" s="8" t="n">
        <v>2</v>
      </c>
      <c r="I842" s="8" t="n">
        <v>2</v>
      </c>
      <c r="J842" s="8" t="n">
        <v>0</v>
      </c>
      <c r="K842" s="8" t="n">
        <v>0</v>
      </c>
      <c r="L842" s="8" t="n">
        <v>0</v>
      </c>
      <c r="M842" s="8" t="n">
        <v>2</v>
      </c>
      <c r="N842" s="8" t="n">
        <v>0</v>
      </c>
      <c r="O842" s="8" t="n">
        <v>0</v>
      </c>
      <c r="R842" s="8" t="n">
        <v>3</v>
      </c>
      <c r="S842" s="8" t="n">
        <v>1</v>
      </c>
      <c r="T842" s="8" t="n">
        <v>0</v>
      </c>
      <c r="U842" s="8" t="n">
        <v>0</v>
      </c>
      <c r="W842" s="8" t="n">
        <v>0</v>
      </c>
      <c r="Y842" s="8" t="inlineStr">
        <is>
          <t>TB=2 ✓</t>
        </is>
      </c>
    </row>
    <row r="843" ht="15.75" customHeight="1" s="35">
      <c r="A843" s="8" t="inlineStr">
        <is>
          <t>2026-03-27_FRST_at_PLYV</t>
        </is>
      </c>
      <c r="B843" s="2" t="n">
        <v>46108</v>
      </c>
      <c r="C843" s="8" t="inlineStr">
        <is>
          <t>Forest Park Varsity Foresters</t>
        </is>
      </c>
      <c r="D843" s="8" t="inlineStr">
        <is>
          <t>PLYV</t>
        </is>
      </c>
      <c r="E843" s="8" t="inlineStr">
        <is>
          <t>Zachariah Lawrence</t>
        </is>
      </c>
      <c r="F843" s="8" t="n">
        <v>5</v>
      </c>
      <c r="G843" s="8" t="n">
        <v>3</v>
      </c>
      <c r="H843" s="8" t="n">
        <v>0</v>
      </c>
      <c r="I843" s="8" t="n">
        <v>0</v>
      </c>
      <c r="J843" s="8" t="n">
        <v>0</v>
      </c>
      <c r="K843" s="8" t="n">
        <v>0</v>
      </c>
      <c r="L843" s="8" t="n">
        <v>0</v>
      </c>
      <c r="M843" s="8" t="n">
        <v>2</v>
      </c>
      <c r="N843" s="8" t="n">
        <v>0</v>
      </c>
      <c r="O843" s="8" t="n">
        <v>2</v>
      </c>
      <c r="R843" s="8" t="n">
        <v>3</v>
      </c>
      <c r="S843" s="8" t="n">
        <v>1</v>
      </c>
      <c r="T843" s="8" t="n">
        <v>1</v>
      </c>
      <c r="U843" s="8" t="n">
        <v>0</v>
      </c>
      <c r="W843" s="8" t="n">
        <v>0</v>
      </c>
      <c r="Y843" s="8" t="inlineStr">
        <is>
          <t>SB=1; TB=0 ✓</t>
        </is>
      </c>
    </row>
    <row r="844" ht="15.75" customHeight="1" s="35">
      <c r="A844" s="8" t="inlineStr">
        <is>
          <t>2026-03-27_FRST_at_PLYV</t>
        </is>
      </c>
      <c r="B844" s="2" t="n">
        <v>46108</v>
      </c>
      <c r="C844" s="8" t="inlineStr">
        <is>
          <t>Forest Park Varsity Foresters</t>
        </is>
      </c>
      <c r="D844" s="8" t="inlineStr">
        <is>
          <t>PLYV</t>
        </is>
      </c>
      <c r="E844" s="8" t="inlineStr">
        <is>
          <t>Hayden Flipovitz</t>
        </is>
      </c>
      <c r="F844" s="8" t="n">
        <v>5</v>
      </c>
      <c r="G844" s="8" t="n">
        <v>4</v>
      </c>
      <c r="H844" s="8" t="n">
        <v>2</v>
      </c>
      <c r="I844" s="8" t="n">
        <v>2</v>
      </c>
      <c r="J844" s="8" t="n">
        <v>0</v>
      </c>
      <c r="K844" s="8" t="n">
        <v>0</v>
      </c>
      <c r="L844" s="8" t="n">
        <v>0</v>
      </c>
      <c r="M844" s="8" t="n">
        <v>1</v>
      </c>
      <c r="N844" s="8" t="n">
        <v>0</v>
      </c>
      <c r="O844" s="8" t="n">
        <v>0</v>
      </c>
      <c r="R844" s="8" t="n">
        <v>0</v>
      </c>
      <c r="S844" s="8" t="n">
        <v>4</v>
      </c>
      <c r="T844" s="8" t="n">
        <v>0</v>
      </c>
      <c r="U844" s="8" t="n">
        <v>0</v>
      </c>
      <c r="W844" s="8" t="n">
        <v>0</v>
      </c>
      <c r="Y844" s="8" t="inlineStr">
        <is>
          <t>TB=2 ✓</t>
        </is>
      </c>
    </row>
    <row r="845" ht="15.75" customHeight="1" s="35">
      <c r="A845" s="8" t="inlineStr">
        <is>
          <t>2026-03-27_FRST_at_PLYV</t>
        </is>
      </c>
      <c r="B845" s="2" t="n">
        <v>46108</v>
      </c>
      <c r="C845" s="8" t="inlineStr">
        <is>
          <t>Forest Park Varsity Foresters</t>
        </is>
      </c>
      <c r="D845" s="8" t="inlineStr">
        <is>
          <t>PLYV</t>
        </is>
      </c>
      <c r="E845" s="8" t="inlineStr">
        <is>
          <t>Kingston Antonio</t>
        </is>
      </c>
      <c r="F845" s="8" t="n">
        <v>0</v>
      </c>
      <c r="G845" s="8" t="n">
        <v>0</v>
      </c>
      <c r="H845" s="8" t="n">
        <v>0</v>
      </c>
      <c r="I845" s="8" t="n">
        <v>0</v>
      </c>
      <c r="J845" s="8" t="n">
        <v>0</v>
      </c>
      <c r="K845" s="8" t="n">
        <v>0</v>
      </c>
      <c r="L845" s="8" t="n">
        <v>0</v>
      </c>
      <c r="M845" s="8" t="n">
        <v>0</v>
      </c>
      <c r="N845" s="8" t="n">
        <v>0</v>
      </c>
      <c r="O845" s="8" t="n">
        <v>0</v>
      </c>
      <c r="R845" s="8" t="n">
        <v>1</v>
      </c>
      <c r="S845" s="8" t="n">
        <v>0</v>
      </c>
      <c r="T845" s="8" t="n">
        <v>0</v>
      </c>
      <c r="U845" s="8" t="n">
        <v>0</v>
      </c>
      <c r="W845" s="8" t="n">
        <v>0</v>
      </c>
      <c r="Y845" s="8" t="inlineStr">
        <is>
          <t>Zero PA; also pitches</t>
        </is>
      </c>
    </row>
    <row r="846" ht="15.75" customHeight="1" s="35">
      <c r="A846" s="8" t="inlineStr">
        <is>
          <t>2026-03-27_FRST_at_PLYV</t>
        </is>
      </c>
      <c r="B846" s="2" t="n">
        <v>46108</v>
      </c>
      <c r="C846" s="8" t="inlineStr">
        <is>
          <t>Forest Park Varsity Foresters</t>
        </is>
      </c>
      <c r="D846" s="8" t="inlineStr">
        <is>
          <t>PLYV</t>
        </is>
      </c>
      <c r="E846" s="8" t="inlineStr">
        <is>
          <t>Ashton Hill</t>
        </is>
      </c>
      <c r="F846" s="8" t="n">
        <v>5</v>
      </c>
      <c r="G846" s="8" t="n">
        <v>3</v>
      </c>
      <c r="H846" s="8" t="n">
        <v>1</v>
      </c>
      <c r="I846" s="8" t="n">
        <v>1</v>
      </c>
      <c r="J846" s="8" t="n">
        <v>0</v>
      </c>
      <c r="K846" s="8" t="n">
        <v>0</v>
      </c>
      <c r="L846" s="8" t="n">
        <v>0</v>
      </c>
      <c r="M846" s="8" t="n">
        <v>2</v>
      </c>
      <c r="N846" s="8" t="n">
        <v>0</v>
      </c>
      <c r="O846" s="8" t="n">
        <v>0</v>
      </c>
      <c r="R846" s="8" t="n">
        <v>3</v>
      </c>
      <c r="S846" s="8" t="n">
        <v>0</v>
      </c>
      <c r="T846" s="8" t="n">
        <v>0</v>
      </c>
      <c r="U846" s="8" t="n">
        <v>0</v>
      </c>
      <c r="W846" s="8" t="n">
        <v>0</v>
      </c>
      <c r="Y846" s="8" t="inlineStr">
        <is>
          <t>TB=1 ✓</t>
        </is>
      </c>
    </row>
    <row r="847" ht="15.75" customHeight="1" s="35">
      <c r="A847" s="8" t="inlineStr">
        <is>
          <t>2026-03-27_FRST_at_PLYV</t>
        </is>
      </c>
      <c r="B847" s="2" t="n">
        <v>46108</v>
      </c>
      <c r="C847" s="8" t="inlineStr">
        <is>
          <t>Forest Park Varsity Foresters</t>
        </is>
      </c>
      <c r="D847" s="8" t="inlineStr">
        <is>
          <t>PLYV</t>
        </is>
      </c>
      <c r="E847" s="8" t="inlineStr">
        <is>
          <t>Max Freeman</t>
        </is>
      </c>
      <c r="F847" s="8" t="n">
        <v>5</v>
      </c>
      <c r="G847" s="8" t="n">
        <v>3</v>
      </c>
      <c r="H847" s="8" t="n">
        <v>2</v>
      </c>
      <c r="I847" s="8" t="n">
        <v>2</v>
      </c>
      <c r="J847" s="8" t="n">
        <v>0</v>
      </c>
      <c r="K847" s="8" t="n">
        <v>0</v>
      </c>
      <c r="L847" s="8" t="n">
        <v>0</v>
      </c>
      <c r="M847" s="8" t="n">
        <v>2</v>
      </c>
      <c r="N847" s="8" t="n">
        <v>0</v>
      </c>
      <c r="O847" s="8" t="n">
        <v>0</v>
      </c>
      <c r="R847" s="8" t="n">
        <v>4</v>
      </c>
      <c r="S847" s="8" t="n">
        <v>3</v>
      </c>
      <c r="T847" s="8" t="n">
        <v>0</v>
      </c>
      <c r="U847" s="8" t="n">
        <v>0</v>
      </c>
      <c r="W847" s="8" t="n">
        <v>0</v>
      </c>
      <c r="Y847" s="8" t="inlineStr">
        <is>
          <t>TB=2 ✓</t>
        </is>
      </c>
    </row>
    <row r="848" ht="15.75" customHeight="1" s="35">
      <c r="A848" s="8" t="inlineStr">
        <is>
          <t>2026-03-27_FRST_at_PLYV</t>
        </is>
      </c>
      <c r="B848" s="2" t="n">
        <v>46108</v>
      </c>
      <c r="C848" s="8" t="inlineStr">
        <is>
          <t>Forest Park Varsity Foresters</t>
        </is>
      </c>
      <c r="D848" s="8" t="inlineStr">
        <is>
          <t>PLYV</t>
        </is>
      </c>
      <c r="E848" s="8" t="inlineStr">
        <is>
          <t>Joshua Tyree</t>
        </is>
      </c>
      <c r="F848" s="8" t="n">
        <v>5</v>
      </c>
      <c r="G848" s="8" t="n">
        <v>5</v>
      </c>
      <c r="H848" s="8" t="n">
        <v>3</v>
      </c>
      <c r="I848" s="8" t="n">
        <v>3</v>
      </c>
      <c r="J848" s="8" t="n">
        <v>0</v>
      </c>
      <c r="K848" s="8" t="n">
        <v>0</v>
      </c>
      <c r="L848" s="8" t="n">
        <v>0</v>
      </c>
      <c r="M848" s="8" t="n">
        <v>0</v>
      </c>
      <c r="N848" s="8" t="n">
        <v>0</v>
      </c>
      <c r="O848" s="8" t="n">
        <v>1</v>
      </c>
      <c r="R848" s="8" t="n">
        <v>2</v>
      </c>
      <c r="S848" s="8" t="n">
        <v>2</v>
      </c>
      <c r="T848" s="8" t="n">
        <v>0</v>
      </c>
      <c r="U848" s="8" t="n">
        <v>0</v>
      </c>
      <c r="W848" s="8" t="n">
        <v>0</v>
      </c>
      <c r="Y848" s="8" t="inlineStr">
        <is>
          <t>TB=3 ✓</t>
        </is>
      </c>
    </row>
    <row r="849" ht="15.75" customHeight="1" s="35">
      <c r="A849" s="8" t="inlineStr">
        <is>
          <t>2026-03-27_FRST_at_PLYV</t>
        </is>
      </c>
      <c r="B849" s="2" t="n">
        <v>46108</v>
      </c>
      <c r="C849" s="8" t="inlineStr">
        <is>
          <t>Poly Varsity Engineers 2026</t>
        </is>
      </c>
      <c r="D849" s="8" t="inlineStr">
        <is>
          <t>FRST</t>
        </is>
      </c>
      <c r="E849" s="8" t="inlineStr">
        <is>
          <t>Timpson</t>
        </is>
      </c>
      <c r="F849" s="8" t="n">
        <v>2</v>
      </c>
      <c r="G849" s="8" t="n">
        <v>2</v>
      </c>
      <c r="H849" s="8" t="n">
        <v>0</v>
      </c>
      <c r="I849" s="8" t="n">
        <v>0</v>
      </c>
      <c r="J849" s="8" t="n">
        <v>0</v>
      </c>
      <c r="K849" s="8" t="n">
        <v>0</v>
      </c>
      <c r="L849" s="8" t="n">
        <v>0</v>
      </c>
      <c r="M849" s="8" t="n">
        <v>0</v>
      </c>
      <c r="N849" s="8" t="n">
        <v>0</v>
      </c>
      <c r="O849" s="8" t="n">
        <v>2</v>
      </c>
      <c r="R849" s="8" t="n">
        <v>0</v>
      </c>
      <c r="S849" s="8" t="n">
        <v>0</v>
      </c>
      <c r="T849" s="8" t="n">
        <v>0</v>
      </c>
      <c r="U849" s="8" t="n">
        <v>0</v>
      </c>
      <c r="W849" s="8" t="n">
        <v>0</v>
      </c>
    </row>
    <row r="850" ht="15.75" customHeight="1" s="35">
      <c r="A850" s="8" t="inlineStr">
        <is>
          <t>2026-03-27_FRST_at_PLYV</t>
        </is>
      </c>
      <c r="B850" s="2" t="n">
        <v>46108</v>
      </c>
      <c r="C850" s="8" t="inlineStr">
        <is>
          <t>Poly Varsity Engineers 2026</t>
        </is>
      </c>
      <c r="D850" s="8" t="inlineStr">
        <is>
          <t>FRST</t>
        </is>
      </c>
      <c r="E850" s="8" t="inlineStr">
        <is>
          <t>Grant</t>
        </is>
      </c>
      <c r="F850" s="8" t="n">
        <v>2</v>
      </c>
      <c r="G850" s="8" t="n">
        <v>2</v>
      </c>
      <c r="H850" s="8" t="n">
        <v>0</v>
      </c>
      <c r="I850" s="8" t="n">
        <v>0</v>
      </c>
      <c r="J850" s="8" t="n">
        <v>0</v>
      </c>
      <c r="K850" s="8" t="n">
        <v>0</v>
      </c>
      <c r="L850" s="8" t="n">
        <v>0</v>
      </c>
      <c r="M850" s="8" t="n">
        <v>0</v>
      </c>
      <c r="N850" s="8" t="n">
        <v>0</v>
      </c>
      <c r="O850" s="8" t="n">
        <v>2</v>
      </c>
      <c r="R850" s="8" t="n">
        <v>0</v>
      </c>
      <c r="S850" s="8" t="n">
        <v>0</v>
      </c>
      <c r="T850" s="8" t="n">
        <v>0</v>
      </c>
      <c r="U850" s="8" t="n">
        <v>0</v>
      </c>
      <c r="W850" s="8" t="n">
        <v>0</v>
      </c>
    </row>
    <row r="851" ht="15.75" customHeight="1" s="35">
      <c r="A851" s="8" t="inlineStr">
        <is>
          <t>2026-03-27_FRST_at_PLYV</t>
        </is>
      </c>
      <c r="B851" s="2" t="n">
        <v>46108</v>
      </c>
      <c r="C851" s="8" t="inlineStr">
        <is>
          <t>Poly Varsity Engineers 2026</t>
        </is>
      </c>
      <c r="D851" s="8" t="inlineStr">
        <is>
          <t>FRST</t>
        </is>
      </c>
      <c r="E851" s="8" t="inlineStr">
        <is>
          <t>Lucas</t>
        </is>
      </c>
      <c r="F851" s="8" t="n">
        <v>2</v>
      </c>
      <c r="G851" s="8" t="n">
        <v>2</v>
      </c>
      <c r="H851" s="8" t="n">
        <v>0</v>
      </c>
      <c r="I851" s="8" t="n">
        <v>0</v>
      </c>
      <c r="J851" s="8" t="n">
        <v>0</v>
      </c>
      <c r="K851" s="8" t="n">
        <v>0</v>
      </c>
      <c r="L851" s="8" t="n">
        <v>0</v>
      </c>
      <c r="M851" s="8" t="n">
        <v>0</v>
      </c>
      <c r="N851" s="8" t="n">
        <v>0</v>
      </c>
      <c r="O851" s="8" t="n">
        <v>2</v>
      </c>
      <c r="R851" s="8" t="n">
        <v>0</v>
      </c>
      <c r="S851" s="8" t="n">
        <v>0</v>
      </c>
      <c r="T851" s="8" t="n">
        <v>0</v>
      </c>
      <c r="U851" s="8" t="n">
        <v>0</v>
      </c>
      <c r="W851" s="8" t="n">
        <v>0</v>
      </c>
    </row>
    <row r="852" ht="15.75" customHeight="1" s="35">
      <c r="A852" s="8" t="inlineStr">
        <is>
          <t>2026-03-27_FRST_at_PLYV</t>
        </is>
      </c>
      <c r="B852" s="2" t="n">
        <v>46108</v>
      </c>
      <c r="C852" s="8" t="inlineStr">
        <is>
          <t>Poly Varsity Engineers 2026</t>
        </is>
      </c>
      <c r="D852" s="8" t="inlineStr">
        <is>
          <t>FRST</t>
        </is>
      </c>
      <c r="E852" s="8" t="inlineStr">
        <is>
          <t>Bostic</t>
        </is>
      </c>
      <c r="F852" s="8" t="n">
        <v>2</v>
      </c>
      <c r="G852" s="8" t="n">
        <v>2</v>
      </c>
      <c r="H852" s="8" t="n">
        <v>0</v>
      </c>
      <c r="I852" s="8" t="n">
        <v>0</v>
      </c>
      <c r="J852" s="8" t="n">
        <v>0</v>
      </c>
      <c r="K852" s="8" t="n">
        <v>0</v>
      </c>
      <c r="L852" s="8" t="n">
        <v>0</v>
      </c>
      <c r="M852" s="8" t="n">
        <v>0</v>
      </c>
      <c r="N852" s="8" t="n">
        <v>0</v>
      </c>
      <c r="O852" s="8" t="n">
        <v>2</v>
      </c>
      <c r="R852" s="8" t="n">
        <v>0</v>
      </c>
      <c r="S852" s="8" t="n">
        <v>0</v>
      </c>
      <c r="T852" s="8" t="n">
        <v>0</v>
      </c>
      <c r="U852" s="8" t="n">
        <v>0</v>
      </c>
      <c r="W852" s="8" t="n">
        <v>0</v>
      </c>
      <c r="Y852" s="8" t="inlineStr">
        <is>
          <t>E in Fielding; source: box score E line</t>
        </is>
      </c>
    </row>
    <row r="853" ht="15.75" customHeight="1" s="35">
      <c r="A853" s="8" t="inlineStr">
        <is>
          <t>2026-03-27_FRST_at_PLYV</t>
        </is>
      </c>
      <c r="B853" s="2" t="n">
        <v>46108</v>
      </c>
      <c r="C853" s="8" t="inlineStr">
        <is>
          <t>Poly Varsity Engineers 2026</t>
        </is>
      </c>
      <c r="D853" s="8" t="inlineStr">
        <is>
          <t>FRST</t>
        </is>
      </c>
      <c r="E853" s="8" t="inlineStr">
        <is>
          <t>Riddick</t>
        </is>
      </c>
      <c r="F853" s="8" t="n">
        <v>2</v>
      </c>
      <c r="G853" s="8" t="n">
        <v>2</v>
      </c>
      <c r="H853" s="8" t="n">
        <v>0</v>
      </c>
      <c r="I853" s="8" t="n">
        <v>0</v>
      </c>
      <c r="J853" s="8" t="n">
        <v>0</v>
      </c>
      <c r="K853" s="8" t="n">
        <v>0</v>
      </c>
      <c r="L853" s="8" t="n">
        <v>0</v>
      </c>
      <c r="M853" s="8" t="n">
        <v>0</v>
      </c>
      <c r="N853" s="8" t="n">
        <v>0</v>
      </c>
      <c r="O853" s="8" t="n">
        <v>2</v>
      </c>
      <c r="R853" s="8" t="n">
        <v>0</v>
      </c>
      <c r="S853" s="8" t="n">
        <v>0</v>
      </c>
      <c r="T853" s="8" t="n">
        <v>0</v>
      </c>
      <c r="U853" s="8" t="n">
        <v>0</v>
      </c>
      <c r="W853" s="8" t="n">
        <v>0</v>
      </c>
      <c r="Y853" s="8" t="inlineStr">
        <is>
          <t>Also pitches; E in Fielding x3</t>
        </is>
      </c>
    </row>
    <row r="854" ht="15.75" customHeight="1" s="35">
      <c r="A854" s="8" t="inlineStr">
        <is>
          <t>2026-03-27_FRST_at_PLYV</t>
        </is>
      </c>
      <c r="B854" s="2" t="n">
        <v>46108</v>
      </c>
      <c r="C854" s="8" t="inlineStr">
        <is>
          <t>Poly Varsity Engineers 2026</t>
        </is>
      </c>
      <c r="D854" s="8" t="inlineStr">
        <is>
          <t>FRST</t>
        </is>
      </c>
      <c r="E854" s="8" t="inlineStr">
        <is>
          <t>Jones</t>
        </is>
      </c>
      <c r="F854" s="8" t="n">
        <v>1</v>
      </c>
      <c r="G854" s="8" t="n">
        <v>1</v>
      </c>
      <c r="H854" s="8" t="n">
        <v>0</v>
      </c>
      <c r="I854" s="8" t="n">
        <v>0</v>
      </c>
      <c r="J854" s="8" t="n">
        <v>0</v>
      </c>
      <c r="K854" s="8" t="n">
        <v>0</v>
      </c>
      <c r="L854" s="8" t="n">
        <v>0</v>
      </c>
      <c r="M854" s="8" t="n">
        <v>0</v>
      </c>
      <c r="N854" s="8" t="n">
        <v>0</v>
      </c>
      <c r="O854" s="8" t="n">
        <v>1</v>
      </c>
      <c r="R854" s="8" t="n">
        <v>0</v>
      </c>
      <c r="S854" s="8" t="n">
        <v>0</v>
      </c>
      <c r="T854" s="8" t="n">
        <v>0</v>
      </c>
      <c r="U854" s="8" t="n">
        <v>0</v>
      </c>
      <c r="W854" s="8" t="n">
        <v>0</v>
      </c>
      <c r="Y854" s="8" t="inlineStr">
        <is>
          <t>E in Fielding; source: box score E line</t>
        </is>
      </c>
    </row>
    <row r="855" ht="15.75" customHeight="1" s="35">
      <c r="A855" s="8" t="inlineStr">
        <is>
          <t>2026-03-27_FRST_at_PLYV</t>
        </is>
      </c>
      <c r="B855" s="2" t="n">
        <v>46108</v>
      </c>
      <c r="C855" s="8" t="inlineStr">
        <is>
          <t>Poly Varsity Engineers 2026</t>
        </is>
      </c>
      <c r="D855" s="8" t="inlineStr">
        <is>
          <t>FRST</t>
        </is>
      </c>
      <c r="E855" s="8" t="inlineStr">
        <is>
          <t>Wallington</t>
        </is>
      </c>
      <c r="F855" s="8" t="n">
        <v>1</v>
      </c>
      <c r="G855" s="8" t="n">
        <v>1</v>
      </c>
      <c r="H855" s="8" t="n">
        <v>0</v>
      </c>
      <c r="I855" s="8" t="n">
        <v>0</v>
      </c>
      <c r="J855" s="8" t="n">
        <v>0</v>
      </c>
      <c r="K855" s="8" t="n">
        <v>0</v>
      </c>
      <c r="L855" s="8" t="n">
        <v>0</v>
      </c>
      <c r="M855" s="8" t="n">
        <v>0</v>
      </c>
      <c r="N855" s="8" t="n">
        <v>0</v>
      </c>
      <c r="O855" s="8" t="n">
        <v>1</v>
      </c>
      <c r="R855" s="8" t="n">
        <v>0</v>
      </c>
      <c r="S855" s="8" t="n">
        <v>0</v>
      </c>
      <c r="T855" s="8" t="n">
        <v>0</v>
      </c>
      <c r="U855" s="8" t="n">
        <v>0</v>
      </c>
      <c r="W855" s="8" t="n">
        <v>0</v>
      </c>
    </row>
    <row r="856" ht="15.75" customHeight="1" s="35">
      <c r="A856" s="8" t="inlineStr">
        <is>
          <t>2026-03-27_FRST_at_PLYV</t>
        </is>
      </c>
      <c r="B856" s="2" t="n">
        <v>46108</v>
      </c>
      <c r="C856" s="8" t="inlineStr">
        <is>
          <t>Poly Varsity Engineers 2026</t>
        </is>
      </c>
      <c r="D856" s="8" t="inlineStr">
        <is>
          <t>FRST</t>
        </is>
      </c>
      <c r="E856" s="8" t="inlineStr">
        <is>
          <t>Askew</t>
        </is>
      </c>
      <c r="F856" s="8" t="n">
        <v>2</v>
      </c>
      <c r="G856" s="8" t="n">
        <v>0</v>
      </c>
      <c r="H856" s="8" t="n">
        <v>0</v>
      </c>
      <c r="I856" s="8" t="n">
        <v>0</v>
      </c>
      <c r="J856" s="8" t="n">
        <v>0</v>
      </c>
      <c r="K856" s="8" t="n">
        <v>0</v>
      </c>
      <c r="L856" s="8" t="n">
        <v>0</v>
      </c>
      <c r="M856" s="8" t="n">
        <v>2</v>
      </c>
      <c r="N856" s="8" t="n">
        <v>0</v>
      </c>
      <c r="O856" s="8" t="n">
        <v>0</v>
      </c>
      <c r="R856" s="8" t="n">
        <v>0</v>
      </c>
      <c r="S856" s="8" t="n">
        <v>0</v>
      </c>
      <c r="T856" s="8" t="n">
        <v>2</v>
      </c>
      <c r="U856" s="8" t="n">
        <v>0</v>
      </c>
      <c r="W856" s="8" t="n">
        <v>0</v>
      </c>
      <c r="Y856" s="8" t="inlineStr">
        <is>
          <t>SB=2; reached via BB x2</t>
        </is>
      </c>
    </row>
    <row r="857" ht="15.75" customHeight="1" s="35">
      <c r="A857" s="8" t="inlineStr">
        <is>
          <t>2026-03-27_FRST_at_PLYV</t>
        </is>
      </c>
      <c r="B857" s="2" t="n">
        <v>46108</v>
      </c>
      <c r="C857" s="8" t="inlineStr">
        <is>
          <t>Poly Varsity Engineers 2026</t>
        </is>
      </c>
      <c r="D857" s="8" t="inlineStr">
        <is>
          <t>FRST</t>
        </is>
      </c>
      <c r="E857" s="8" t="inlineStr">
        <is>
          <t>Moore</t>
        </is>
      </c>
      <c r="F857" s="8" t="n">
        <v>2</v>
      </c>
      <c r="G857" s="8" t="n">
        <v>2</v>
      </c>
      <c r="H857" s="8" t="n">
        <v>0</v>
      </c>
      <c r="I857" s="8" t="n">
        <v>0</v>
      </c>
      <c r="J857" s="8" t="n">
        <v>0</v>
      </c>
      <c r="K857" s="8" t="n">
        <v>0</v>
      </c>
      <c r="L857" s="8" t="n">
        <v>0</v>
      </c>
      <c r="M857" s="8" t="n">
        <v>0</v>
      </c>
      <c r="N857" s="8" t="n">
        <v>0</v>
      </c>
      <c r="O857" s="8" t="n">
        <v>2</v>
      </c>
      <c r="R857" s="8" t="n">
        <v>0</v>
      </c>
      <c r="S857" s="8" t="n">
        <v>0</v>
      </c>
      <c r="T857" s="8" t="n">
        <v>0</v>
      </c>
      <c r="U857" s="8" t="n">
        <v>0</v>
      </c>
      <c r="W857" s="8" t="n">
        <v>0</v>
      </c>
      <c r="Y857" s="8" t="inlineStr">
        <is>
          <t>E in Fielding; source: box score E line</t>
        </is>
      </c>
    </row>
    <row r="858" ht="15.75" customHeight="1" s="35">
      <c r="A858" s="8" t="inlineStr">
        <is>
          <t>2026-03-27_FRST_at_PLYV</t>
        </is>
      </c>
      <c r="B858" s="2" t="n">
        <v>46108</v>
      </c>
      <c r="C858" s="8" t="inlineStr">
        <is>
          <t>Poly Varsity Engineers 2026</t>
        </is>
      </c>
      <c r="D858" s="8" t="inlineStr">
        <is>
          <t>FRST</t>
        </is>
      </c>
      <c r="E858" s="8" t="inlineStr">
        <is>
          <t>Laboo</t>
        </is>
      </c>
      <c r="F858" s="8" t="n">
        <v>1</v>
      </c>
      <c r="G858" s="8" t="n">
        <v>1</v>
      </c>
      <c r="H858" s="8" t="n">
        <v>0</v>
      </c>
      <c r="I858" s="8" t="n">
        <v>0</v>
      </c>
      <c r="J858" s="8" t="n">
        <v>0</v>
      </c>
      <c r="K858" s="8" t="n">
        <v>0</v>
      </c>
      <c r="L858" s="8" t="n">
        <v>0</v>
      </c>
      <c r="M858" s="8" t="n">
        <v>0</v>
      </c>
      <c r="N858" s="8" t="n">
        <v>0</v>
      </c>
      <c r="O858" s="8" t="n">
        <v>1</v>
      </c>
      <c r="R858" s="8" t="n">
        <v>0</v>
      </c>
      <c r="S858" s="8" t="n">
        <v>0</v>
      </c>
      <c r="T858" s="8" t="n">
        <v>0</v>
      </c>
      <c r="U858" s="8" t="n">
        <v>0</v>
      </c>
      <c r="W858" s="8" t="n">
        <v>0</v>
      </c>
      <c r="Y858" s="8" t="inlineStr">
        <is>
          <t>Also pitches; E in Fielding x2</t>
        </is>
      </c>
    </row>
    <row r="859" ht="15.75" customHeight="1" s="35">
      <c r="A859" s="8" t="inlineStr">
        <is>
          <t>2026-04-04_PLYV_at_ESTR</t>
        </is>
      </c>
      <c r="B859" s="2" t="n">
        <v>46116</v>
      </c>
      <c r="C859" s="8" t="inlineStr">
        <is>
          <t>Poly Varsity Engineers 2026</t>
        </is>
      </c>
      <c r="D859" s="8" t="inlineStr">
        <is>
          <t>ESTR</t>
        </is>
      </c>
      <c r="E859" s="8" t="inlineStr">
        <is>
          <t>Rob Peterson</t>
        </is>
      </c>
      <c r="F859" s="8" t="n">
        <v>4</v>
      </c>
      <c r="G859" s="8" t="n">
        <v>3</v>
      </c>
      <c r="H859" s="8" t="n">
        <v>0</v>
      </c>
      <c r="I859" s="8" t="n">
        <v>0</v>
      </c>
      <c r="J859" s="8" t="n">
        <v>0</v>
      </c>
      <c r="K859" s="8" t="n">
        <v>0</v>
      </c>
      <c r="L859" s="8" t="n">
        <v>0</v>
      </c>
      <c r="M859" s="8" t="n">
        <v>1</v>
      </c>
      <c r="N859" s="8" t="n">
        <v>0</v>
      </c>
      <c r="O859" s="8" t="n">
        <v>0</v>
      </c>
      <c r="R859" s="8" t="n">
        <v>2</v>
      </c>
      <c r="S859" s="8" t="n">
        <v>0</v>
      </c>
      <c r="T859" s="8" t="n">
        <v>0</v>
      </c>
      <c r="U859" s="8" t="n">
        <v>0</v>
      </c>
      <c r="W859" s="8" t="n">
        <v>0</v>
      </c>
    </row>
    <row r="860" ht="15.75" customHeight="1" s="35">
      <c r="A860" s="8" t="inlineStr">
        <is>
          <t>2026-04-04_PLYV_at_ESTR</t>
        </is>
      </c>
      <c r="B860" s="2" t="n">
        <v>46116</v>
      </c>
      <c r="C860" s="8" t="inlineStr">
        <is>
          <t>Poly Varsity Engineers 2026</t>
        </is>
      </c>
      <c r="D860" s="8" t="inlineStr">
        <is>
          <t>ESTR</t>
        </is>
      </c>
      <c r="E860" s="8" t="inlineStr">
        <is>
          <t>Isaac Strittmatter</t>
        </is>
      </c>
      <c r="F860" s="8" t="n">
        <v>0</v>
      </c>
      <c r="G860" s="8" t="n">
        <v>0</v>
      </c>
      <c r="H860" s="8" t="n">
        <v>0</v>
      </c>
      <c r="I860" s="8" t="n">
        <v>0</v>
      </c>
      <c r="J860" s="8" t="n">
        <v>0</v>
      </c>
      <c r="K860" s="8" t="n">
        <v>0</v>
      </c>
      <c r="L860" s="8" t="n">
        <v>0</v>
      </c>
      <c r="M860" s="8" t="n">
        <v>0</v>
      </c>
      <c r="N860" s="8" t="n">
        <v>0</v>
      </c>
      <c r="O860" s="8" t="n">
        <v>0</v>
      </c>
      <c r="R860" s="8" t="n">
        <v>0</v>
      </c>
      <c r="S860" s="8" t="n">
        <v>0</v>
      </c>
      <c r="T860" s="8" t="n">
        <v>0</v>
      </c>
      <c r="U860" s="8" t="n">
        <v>0</v>
      </c>
      <c r="W860" s="8" t="n">
        <v>0</v>
      </c>
      <c r="Y860" s="8" t="inlineStr">
        <is>
          <t>Zero PA</t>
        </is>
      </c>
    </row>
    <row r="861" ht="15.75" customHeight="1" s="35">
      <c r="A861" s="8" t="inlineStr">
        <is>
          <t>2026-04-04_PLYV_at_ESTR</t>
        </is>
      </c>
      <c r="B861" s="2" t="n">
        <v>46116</v>
      </c>
      <c r="C861" s="8" t="inlineStr">
        <is>
          <t>Poly Varsity Engineers 2026</t>
        </is>
      </c>
      <c r="D861" s="8" t="inlineStr">
        <is>
          <t>ESTR</t>
        </is>
      </c>
      <c r="E861" s="8" t="inlineStr">
        <is>
          <t>Kingston Lawrence</t>
        </is>
      </c>
      <c r="F861" s="8" t="n">
        <v>4</v>
      </c>
      <c r="G861" s="8" t="n">
        <v>2</v>
      </c>
      <c r="H861" s="8" t="n">
        <v>2</v>
      </c>
      <c r="I861" s="8" t="n">
        <v>1</v>
      </c>
      <c r="J861" s="8" t="n">
        <v>1</v>
      </c>
      <c r="K861" s="8" t="n">
        <v>0</v>
      </c>
      <c r="L861" s="8" t="n">
        <v>0</v>
      </c>
      <c r="M861" s="8" t="n">
        <v>2</v>
      </c>
      <c r="N861" s="8" t="n">
        <v>0</v>
      </c>
      <c r="O861" s="8" t="n">
        <v>0</v>
      </c>
      <c r="R861" s="8" t="n">
        <v>2</v>
      </c>
      <c r="S861" s="8" t="n">
        <v>0</v>
      </c>
      <c r="T861" s="8" t="n">
        <v>0</v>
      </c>
      <c r="U861" s="8" t="n">
        <v>0</v>
      </c>
      <c r="W861" s="8" t="n">
        <v>0</v>
      </c>
      <c r="Y861" s="8" t="inlineStr">
        <is>
          <t>2B; also pitches; TB=3 ✓</t>
        </is>
      </c>
    </row>
    <row r="862" ht="15.75" customHeight="1" s="35">
      <c r="A862" s="8" t="inlineStr">
        <is>
          <t>2026-04-04_PLYV_at_ESTR</t>
        </is>
      </c>
      <c r="B862" s="2" t="n">
        <v>46116</v>
      </c>
      <c r="C862" s="8" t="inlineStr">
        <is>
          <t>Poly Varsity Engineers 2026</t>
        </is>
      </c>
      <c r="D862" s="8" t="inlineStr">
        <is>
          <t>ESTR</t>
        </is>
      </c>
      <c r="E862" s="8" t="inlineStr">
        <is>
          <t>Nico Smith</t>
        </is>
      </c>
      <c r="F862" s="8" t="n">
        <v>0</v>
      </c>
      <c r="G862" s="8" t="n">
        <v>0</v>
      </c>
      <c r="H862" s="8" t="n">
        <v>0</v>
      </c>
      <c r="I862" s="8" t="n">
        <v>0</v>
      </c>
      <c r="J862" s="8" t="n">
        <v>0</v>
      </c>
      <c r="K862" s="8" t="n">
        <v>0</v>
      </c>
      <c r="L862" s="8" t="n">
        <v>0</v>
      </c>
      <c r="M862" s="8" t="n">
        <v>0</v>
      </c>
      <c r="N862" s="8" t="n">
        <v>0</v>
      </c>
      <c r="O862" s="8" t="n">
        <v>0</v>
      </c>
      <c r="R862" s="8" t="n">
        <v>1</v>
      </c>
      <c r="S862" s="8" t="n">
        <v>0</v>
      </c>
      <c r="T862" s="8" t="n">
        <v>0</v>
      </c>
      <c r="U862" s="8" t="n">
        <v>0</v>
      </c>
      <c r="W862" s="8" t="n">
        <v>0</v>
      </c>
      <c r="Y862" s="8" t="inlineStr">
        <is>
          <t>Zero PA</t>
        </is>
      </c>
    </row>
    <row r="863" ht="15.75" customHeight="1" s="35">
      <c r="A863" s="8" t="inlineStr">
        <is>
          <t>2026-04-04_PLYV_at_ESTR</t>
        </is>
      </c>
      <c r="B863" s="2" t="n">
        <v>46116</v>
      </c>
      <c r="C863" s="8" t="inlineStr">
        <is>
          <t>Poly Varsity Engineers 2026</t>
        </is>
      </c>
      <c r="D863" s="8" t="inlineStr">
        <is>
          <t>ESTR</t>
        </is>
      </c>
      <c r="E863" s="8" t="inlineStr">
        <is>
          <t>Mason Glatt</t>
        </is>
      </c>
      <c r="F863" s="8" t="n">
        <v>4</v>
      </c>
      <c r="G863" s="8" t="n">
        <v>0</v>
      </c>
      <c r="H863" s="8" t="n">
        <v>0</v>
      </c>
      <c r="I863" s="8" t="n">
        <v>0</v>
      </c>
      <c r="J863" s="8" t="n">
        <v>0</v>
      </c>
      <c r="K863" s="8" t="n">
        <v>0</v>
      </c>
      <c r="L863" s="8" t="n">
        <v>0</v>
      </c>
      <c r="M863" s="8" t="n">
        <v>4</v>
      </c>
      <c r="N863" s="8" t="n">
        <v>0</v>
      </c>
      <c r="O863" s="8" t="n">
        <v>0</v>
      </c>
      <c r="R863" s="8" t="n">
        <v>1</v>
      </c>
      <c r="S863" s="8" t="n">
        <v>1</v>
      </c>
      <c r="T863" s="8" t="n">
        <v>0</v>
      </c>
      <c r="U863" s="8" t="n">
        <v>0</v>
      </c>
      <c r="W863" s="8" t="n">
        <v>0</v>
      </c>
      <c r="Y863" s="8" t="inlineStr">
        <is>
          <t>All BB; also pitches; RBI via bases-loaded walk</t>
        </is>
      </c>
    </row>
    <row r="864" ht="15.75" customHeight="1" s="35">
      <c r="A864" s="8" t="inlineStr">
        <is>
          <t>2026-04-04_PLYV_at_ESTR</t>
        </is>
      </c>
      <c r="B864" s="2" t="n">
        <v>46116</v>
      </c>
      <c r="C864" s="8" t="inlineStr">
        <is>
          <t>Poly Varsity Engineers 2026</t>
        </is>
      </c>
      <c r="D864" s="8" t="inlineStr">
        <is>
          <t>ESTR</t>
        </is>
      </c>
      <c r="E864" s="8" t="inlineStr">
        <is>
          <t>Paul Hester</t>
        </is>
      </c>
      <c r="F864" s="8" t="n">
        <v>4</v>
      </c>
      <c r="G864" s="8" t="n">
        <v>4</v>
      </c>
      <c r="H864" s="8" t="n">
        <v>1</v>
      </c>
      <c r="I864" s="8" t="n">
        <v>0</v>
      </c>
      <c r="J864" s="8" t="n">
        <v>1</v>
      </c>
      <c r="K864" s="8" t="n">
        <v>0</v>
      </c>
      <c r="L864" s="8" t="n">
        <v>0</v>
      </c>
      <c r="M864" s="8" t="n">
        <v>0</v>
      </c>
      <c r="N864" s="8" t="n">
        <v>0</v>
      </c>
      <c r="O864" s="8" t="n">
        <v>1</v>
      </c>
      <c r="R864" s="8" t="n">
        <v>0</v>
      </c>
      <c r="S864" s="8" t="n">
        <v>3</v>
      </c>
      <c r="T864" s="8" t="n">
        <v>0</v>
      </c>
      <c r="U864" s="8" t="n">
        <v>0</v>
      </c>
      <c r="W864" s="8" t="n">
        <v>0</v>
      </c>
      <c r="Y864" s="8" t="inlineStr">
        <is>
          <t>2B; TB=2 ✓</t>
        </is>
      </c>
    </row>
    <row r="865" ht="15.75" customHeight="1" s="35">
      <c r="A865" s="8" t="inlineStr">
        <is>
          <t>2026-04-04_PLYV_at_ESTR</t>
        </is>
      </c>
      <c r="B865" s="2" t="n">
        <v>46116</v>
      </c>
      <c r="C865" s="8" t="inlineStr">
        <is>
          <t>Poly Varsity Engineers 2026</t>
        </is>
      </c>
      <c r="D865" s="8" t="inlineStr">
        <is>
          <t>ESTR</t>
        </is>
      </c>
      <c r="E865" s="8" t="inlineStr">
        <is>
          <t>Brody Evans</t>
        </is>
      </c>
      <c r="F865" s="8" t="n">
        <v>4</v>
      </c>
      <c r="G865" s="8" t="n">
        <v>3</v>
      </c>
      <c r="H865" s="8" t="n">
        <v>2</v>
      </c>
      <c r="I865" s="8" t="n">
        <v>1</v>
      </c>
      <c r="J865" s="8" t="n">
        <v>0</v>
      </c>
      <c r="K865" s="8" t="n">
        <v>1</v>
      </c>
      <c r="L865" s="8" t="n">
        <v>0</v>
      </c>
      <c r="M865" s="8" t="n">
        <v>0</v>
      </c>
      <c r="N865" s="8" t="n">
        <v>0</v>
      </c>
      <c r="O865" s="8" t="n">
        <v>1</v>
      </c>
      <c r="R865" s="8" t="n">
        <v>1</v>
      </c>
      <c r="S865" s="8" t="n">
        <v>2</v>
      </c>
      <c r="T865" s="8" t="n">
        <v>0</v>
      </c>
      <c r="U865" s="8" t="n">
        <v>0</v>
      </c>
      <c r="W865" s="8" t="n">
        <v>1</v>
      </c>
      <c r="Y865" s="8" t="inlineStr">
        <is>
          <t>3B+SF; TB=4 ✓; SF not AB</t>
        </is>
      </c>
    </row>
    <row r="866" ht="15.75" customHeight="1" s="35">
      <c r="A866" s="8" t="inlineStr">
        <is>
          <t>2026-04-04_PLYV_at_ESTR</t>
        </is>
      </c>
      <c r="B866" s="2" t="n">
        <v>46116</v>
      </c>
      <c r="C866" s="8" t="inlineStr">
        <is>
          <t>Poly Varsity Engineers 2026</t>
        </is>
      </c>
      <c r="D866" s="8" t="inlineStr">
        <is>
          <t>ESTR</t>
        </is>
      </c>
      <c r="E866" s="8" t="inlineStr">
        <is>
          <t>Logan Hickman</t>
        </is>
      </c>
      <c r="F866" s="8" t="n">
        <v>4</v>
      </c>
      <c r="G866" s="8" t="n">
        <v>3</v>
      </c>
      <c r="H866" s="8" t="n">
        <v>0</v>
      </c>
      <c r="I866" s="8" t="n">
        <v>0</v>
      </c>
      <c r="J866" s="8" t="n">
        <v>0</v>
      </c>
      <c r="K866" s="8" t="n">
        <v>0</v>
      </c>
      <c r="L866" s="8" t="n">
        <v>0</v>
      </c>
      <c r="M866" s="8" t="n">
        <v>1</v>
      </c>
      <c r="N866" s="8" t="n">
        <v>0</v>
      </c>
      <c r="O866" s="8" t="n">
        <v>0</v>
      </c>
      <c r="R866" s="8" t="n">
        <v>0</v>
      </c>
      <c r="S866" s="8" t="n">
        <v>0</v>
      </c>
      <c r="T866" s="8" t="n">
        <v>1</v>
      </c>
      <c r="U866" s="8" t="n">
        <v>0</v>
      </c>
      <c r="W866" s="8" t="n">
        <v>0</v>
      </c>
      <c r="Y866" s="8" t="inlineStr">
        <is>
          <t>SB=1</t>
        </is>
      </c>
    </row>
    <row r="867" ht="15.75" customHeight="1" s="35">
      <c r="A867" s="8" t="inlineStr">
        <is>
          <t>2026-04-04_PLYV_at_ESTR</t>
        </is>
      </c>
      <c r="B867" s="2" t="n">
        <v>46116</v>
      </c>
      <c r="C867" s="8" t="inlineStr">
        <is>
          <t>Poly Varsity Engineers 2026</t>
        </is>
      </c>
      <c r="D867" s="8" t="inlineStr">
        <is>
          <t>ESTR</t>
        </is>
      </c>
      <c r="E867" s="8" t="inlineStr">
        <is>
          <t>Nate Noyes</t>
        </is>
      </c>
      <c r="F867" s="8" t="n">
        <v>4</v>
      </c>
      <c r="G867" s="8" t="n">
        <v>4</v>
      </c>
      <c r="H867" s="8" t="n">
        <v>0</v>
      </c>
      <c r="I867" s="8" t="n">
        <v>0</v>
      </c>
      <c r="J867" s="8" t="n">
        <v>0</v>
      </c>
      <c r="K867" s="8" t="n">
        <v>0</v>
      </c>
      <c r="L867" s="8" t="n">
        <v>0</v>
      </c>
      <c r="M867" s="8" t="n">
        <v>0</v>
      </c>
      <c r="N867" s="8" t="n">
        <v>0</v>
      </c>
      <c r="O867" s="8" t="n">
        <v>2</v>
      </c>
      <c r="R867" s="8" t="n">
        <v>0</v>
      </c>
      <c r="S867" s="8" t="n">
        <v>0</v>
      </c>
      <c r="T867" s="8" t="n">
        <v>0</v>
      </c>
      <c r="U867" s="8" t="n">
        <v>0</v>
      </c>
      <c r="W867" s="8" t="n">
        <v>0</v>
      </c>
      <c r="Y867" s="8" t="inlineStr">
        <is>
          <t>Also pitches; E in Fielding</t>
        </is>
      </c>
    </row>
    <row r="868" ht="15.75" customHeight="1" s="35">
      <c r="A868" s="8" t="inlineStr">
        <is>
          <t>2026-04-04_PLYV_at_ESTR</t>
        </is>
      </c>
      <c r="B868" s="2" t="n">
        <v>46116</v>
      </c>
      <c r="C868" s="8" t="inlineStr">
        <is>
          <t>Poly Varsity Engineers 2026</t>
        </is>
      </c>
      <c r="D868" s="8" t="inlineStr">
        <is>
          <t>ESTR</t>
        </is>
      </c>
      <c r="E868" s="8" t="inlineStr">
        <is>
          <t>Jonah Scott</t>
        </is>
      </c>
      <c r="F868" s="8" t="n">
        <v>2</v>
      </c>
      <c r="G868" s="8" t="n">
        <v>2</v>
      </c>
      <c r="H868" s="8" t="n">
        <v>0</v>
      </c>
      <c r="I868" s="8" t="n">
        <v>0</v>
      </c>
      <c r="J868" s="8" t="n">
        <v>0</v>
      </c>
      <c r="K868" s="8" t="n">
        <v>0</v>
      </c>
      <c r="L868" s="8" t="n">
        <v>0</v>
      </c>
      <c r="M868" s="8" t="n">
        <v>0</v>
      </c>
      <c r="N868" s="8" t="n">
        <v>0</v>
      </c>
      <c r="O868" s="8" t="n">
        <v>0</v>
      </c>
      <c r="R868" s="8" t="n">
        <v>0</v>
      </c>
      <c r="S868" s="8" t="n">
        <v>1</v>
      </c>
      <c r="T868" s="8" t="n">
        <v>0</v>
      </c>
      <c r="U868" s="8" t="n">
        <v>0</v>
      </c>
      <c r="W868" s="8" t="n">
        <v>0</v>
      </c>
    </row>
    <row r="869" ht="15.75" customHeight="1" s="35">
      <c r="A869" s="8" t="inlineStr">
        <is>
          <t>2026-04-04_PLYV_at_ESTR</t>
        </is>
      </c>
      <c r="B869" s="2" t="n">
        <v>46116</v>
      </c>
      <c r="C869" s="8" t="inlineStr">
        <is>
          <t>Poly Varsity Engineers 2026</t>
        </is>
      </c>
      <c r="D869" s="8" t="inlineStr">
        <is>
          <t>ESTR</t>
        </is>
      </c>
      <c r="E869" s="8" t="inlineStr">
        <is>
          <t>Landry Evans</t>
        </is>
      </c>
      <c r="F869" s="8" t="n">
        <v>3</v>
      </c>
      <c r="G869" s="8" t="n">
        <v>3</v>
      </c>
      <c r="H869" s="8" t="n">
        <v>1</v>
      </c>
      <c r="I869" s="8" t="n">
        <v>1</v>
      </c>
      <c r="J869" s="8" t="n">
        <v>0</v>
      </c>
      <c r="K869" s="8" t="n">
        <v>0</v>
      </c>
      <c r="L869" s="8" t="n">
        <v>0</v>
      </c>
      <c r="M869" s="8" t="n">
        <v>0</v>
      </c>
      <c r="N869" s="8" t="n">
        <v>0</v>
      </c>
      <c r="O869" s="8" t="n">
        <v>0</v>
      </c>
      <c r="R869" s="8" t="n">
        <v>1</v>
      </c>
      <c r="S869" s="8" t="n">
        <v>0</v>
      </c>
      <c r="T869" s="8" t="n">
        <v>0</v>
      </c>
      <c r="U869" s="8" t="n">
        <v>0</v>
      </c>
      <c r="W869" s="8" t="n">
        <v>0</v>
      </c>
      <c r="Y869" s="8" t="inlineStr">
        <is>
          <t>TB=1 ✓; E in Fielding x2</t>
        </is>
      </c>
    </row>
    <row r="870" ht="15.75" customHeight="1" s="35">
      <c r="A870" s="8" t="inlineStr">
        <is>
          <t>2026-04-04_PLYV_at_ESTR</t>
        </is>
      </c>
      <c r="B870" s="2" t="n">
        <v>46116</v>
      </c>
      <c r="C870" s="8" t="inlineStr">
        <is>
          <t>Eastern Tech Varsity Mavericks</t>
        </is>
      </c>
      <c r="D870" s="8" t="inlineStr">
        <is>
          <t>PLYV</t>
        </is>
      </c>
      <c r="E870" s="8" t="inlineStr">
        <is>
          <t>Julian Robin</t>
        </is>
      </c>
      <c r="F870" s="8" t="n">
        <v>4</v>
      </c>
      <c r="G870" s="8" t="n">
        <v>3</v>
      </c>
      <c r="H870" s="8" t="n">
        <v>0</v>
      </c>
      <c r="I870" s="8" t="n">
        <v>0</v>
      </c>
      <c r="J870" s="8" t="n">
        <v>0</v>
      </c>
      <c r="K870" s="8" t="n">
        <v>0</v>
      </c>
      <c r="L870" s="8" t="n">
        <v>0</v>
      </c>
      <c r="M870" s="8" t="n">
        <v>0</v>
      </c>
      <c r="N870" s="8" t="n">
        <v>1</v>
      </c>
      <c r="O870" s="8" t="n">
        <v>1</v>
      </c>
      <c r="R870" s="8" t="n">
        <v>0</v>
      </c>
      <c r="S870" s="8" t="n">
        <v>0</v>
      </c>
      <c r="T870" s="8" t="n">
        <v>0</v>
      </c>
      <c r="U870" s="8" t="n">
        <v>0</v>
      </c>
      <c r="W870" s="8" t="n">
        <v>0</v>
      </c>
      <c r="Y870" s="8" t="inlineStr">
        <is>
          <t>HBP=1</t>
        </is>
      </c>
    </row>
    <row r="871" ht="15.75" customHeight="1" s="35">
      <c r="A871" s="8" t="inlineStr">
        <is>
          <t>2026-04-04_PLYV_at_ESTR</t>
        </is>
      </c>
      <c r="B871" s="2" t="n">
        <v>46116</v>
      </c>
      <c r="C871" s="8" t="inlineStr">
        <is>
          <t>Eastern Tech Varsity Mavericks</t>
        </is>
      </c>
      <c r="D871" s="8" t="inlineStr">
        <is>
          <t>PLYV</t>
        </is>
      </c>
      <c r="E871" s="8" t="inlineStr">
        <is>
          <t>Zachariah Lawrence</t>
        </is>
      </c>
      <c r="F871" s="8" t="n">
        <v>4</v>
      </c>
      <c r="G871" s="8" t="n">
        <v>3</v>
      </c>
      <c r="H871" s="8" t="n">
        <v>1</v>
      </c>
      <c r="I871" s="8" t="n">
        <v>1</v>
      </c>
      <c r="J871" s="8" t="n">
        <v>0</v>
      </c>
      <c r="K871" s="8" t="n">
        <v>0</v>
      </c>
      <c r="L871" s="8" t="n">
        <v>0</v>
      </c>
      <c r="M871" s="8" t="n">
        <v>1</v>
      </c>
      <c r="N871" s="8" t="n">
        <v>0</v>
      </c>
      <c r="O871" s="8" t="n">
        <v>1</v>
      </c>
      <c r="R871" s="8" t="n">
        <v>1</v>
      </c>
      <c r="S871" s="8" t="n">
        <v>0</v>
      </c>
      <c r="T871" s="8" t="n">
        <v>0</v>
      </c>
      <c r="U871" s="8" t="n">
        <v>0</v>
      </c>
      <c r="W871" s="8" t="n">
        <v>0</v>
      </c>
      <c r="Y871" s="8" t="inlineStr">
        <is>
          <t>TB=1 ✓</t>
        </is>
      </c>
    </row>
    <row r="872" ht="15.75" customHeight="1" s="35">
      <c r="A872" s="8" t="inlineStr">
        <is>
          <t>2026-04-04_PLYV_at_ESTR</t>
        </is>
      </c>
      <c r="B872" s="2" t="n">
        <v>46116</v>
      </c>
      <c r="C872" s="8" t="inlineStr">
        <is>
          <t>Eastern Tech Varsity Mavericks</t>
        </is>
      </c>
      <c r="D872" s="8" t="inlineStr">
        <is>
          <t>PLYV</t>
        </is>
      </c>
      <c r="E872" s="8" t="inlineStr">
        <is>
          <t>Kingston Antonio</t>
        </is>
      </c>
      <c r="F872" s="8" t="n">
        <v>4</v>
      </c>
      <c r="G872" s="8" t="n">
        <v>2</v>
      </c>
      <c r="H872" s="8" t="n">
        <v>1</v>
      </c>
      <c r="I872" s="8" t="n">
        <v>1</v>
      </c>
      <c r="J872" s="8" t="n">
        <v>0</v>
      </c>
      <c r="K872" s="8" t="n">
        <v>0</v>
      </c>
      <c r="L872" s="8" t="n">
        <v>0</v>
      </c>
      <c r="M872" s="8" t="n">
        <v>0</v>
      </c>
      <c r="N872" s="8" t="n">
        <v>2</v>
      </c>
      <c r="O872" s="8" t="n">
        <v>0</v>
      </c>
      <c r="R872" s="8" t="n">
        <v>0</v>
      </c>
      <c r="S872" s="8" t="n">
        <v>0</v>
      </c>
      <c r="T872" s="8" t="n">
        <v>0</v>
      </c>
      <c r="U872" s="8" t="n">
        <v>0</v>
      </c>
      <c r="W872" s="8" t="n">
        <v>0</v>
      </c>
      <c r="Y872" s="8" t="inlineStr">
        <is>
          <t>HBP=2; TB=1 ✓; E in Fielding</t>
        </is>
      </c>
    </row>
    <row r="873" ht="15.75" customHeight="1" s="35">
      <c r="A873" s="8" t="inlineStr">
        <is>
          <t>2026-04-04_PLYV_at_ESTR</t>
        </is>
      </c>
      <c r="B873" s="2" t="n">
        <v>46116</v>
      </c>
      <c r="C873" s="8" t="inlineStr">
        <is>
          <t>Eastern Tech Varsity Mavericks</t>
        </is>
      </c>
      <c r="D873" s="8" t="inlineStr">
        <is>
          <t>PLYV</t>
        </is>
      </c>
      <c r="E873" s="8" t="inlineStr">
        <is>
          <t>Jakeem Mcbride</t>
        </is>
      </c>
      <c r="F873" s="8" t="n">
        <v>4</v>
      </c>
      <c r="G873" s="8" t="n">
        <v>4</v>
      </c>
      <c r="H873" s="8" t="n">
        <v>1</v>
      </c>
      <c r="I873" s="8" t="n">
        <v>1</v>
      </c>
      <c r="J873" s="8" t="n">
        <v>0</v>
      </c>
      <c r="K873" s="8" t="n">
        <v>0</v>
      </c>
      <c r="L873" s="8" t="n">
        <v>0</v>
      </c>
      <c r="M873" s="8" t="n">
        <v>0</v>
      </c>
      <c r="N873" s="8" t="n">
        <v>0</v>
      </c>
      <c r="O873" s="8" t="n">
        <v>1</v>
      </c>
      <c r="R873" s="8" t="n">
        <v>1</v>
      </c>
      <c r="S873" s="8" t="n">
        <v>1</v>
      </c>
      <c r="T873" s="8" t="n">
        <v>1</v>
      </c>
      <c r="U873" s="8" t="n">
        <v>0</v>
      </c>
      <c r="W873" s="8" t="n">
        <v>0</v>
      </c>
      <c r="Y873" s="8" t="inlineStr">
        <is>
          <t>SB=1; TB=1 ✓; E in Fielding</t>
        </is>
      </c>
    </row>
    <row r="874" ht="15.75" customHeight="1" s="35">
      <c r="A874" s="8" t="inlineStr">
        <is>
          <t>2026-04-04_PLYV_at_ESTR</t>
        </is>
      </c>
      <c r="B874" s="2" t="n">
        <v>46116</v>
      </c>
      <c r="C874" s="8" t="inlineStr">
        <is>
          <t>Eastern Tech Varsity Mavericks</t>
        </is>
      </c>
      <c r="D874" s="8" t="inlineStr">
        <is>
          <t>PLYV</t>
        </is>
      </c>
      <c r="E874" s="8" t="inlineStr">
        <is>
          <t>Ikram Khan</t>
        </is>
      </c>
      <c r="F874" s="8" t="n">
        <v>4</v>
      </c>
      <c r="G874" s="8" t="n">
        <v>3</v>
      </c>
      <c r="H874" s="8" t="n">
        <v>1</v>
      </c>
      <c r="I874" s="8" t="n">
        <v>0</v>
      </c>
      <c r="J874" s="8" t="n">
        <v>1</v>
      </c>
      <c r="K874" s="8" t="n">
        <v>0</v>
      </c>
      <c r="L874" s="8" t="n">
        <v>0</v>
      </c>
      <c r="M874" s="8" t="n">
        <v>1</v>
      </c>
      <c r="N874" s="8" t="n">
        <v>0</v>
      </c>
      <c r="O874" s="8" t="n">
        <v>2</v>
      </c>
      <c r="R874" s="8" t="n">
        <v>1</v>
      </c>
      <c r="S874" s="8" t="n">
        <v>0</v>
      </c>
      <c r="T874" s="8" t="n">
        <v>0</v>
      </c>
      <c r="U874" s="8" t="n">
        <v>0</v>
      </c>
      <c r="W874" s="8" t="n">
        <v>0</v>
      </c>
      <c r="Y874" s="8" t="inlineStr">
        <is>
          <t>2B; TB=2 ✓; E in Fielding</t>
        </is>
      </c>
    </row>
    <row r="875" ht="15.75" customHeight="1" s="35">
      <c r="A875" s="8" t="inlineStr">
        <is>
          <t>2026-04-04_PLYV_at_ESTR</t>
        </is>
      </c>
      <c r="B875" s="2" t="n">
        <v>46116</v>
      </c>
      <c r="C875" s="8" t="inlineStr">
        <is>
          <t>Eastern Tech Varsity Mavericks</t>
        </is>
      </c>
      <c r="D875" s="8" t="inlineStr">
        <is>
          <t>PLYV</t>
        </is>
      </c>
      <c r="E875" s="8" t="inlineStr">
        <is>
          <t>Hayden Flipovitz</t>
        </is>
      </c>
      <c r="F875" s="8" t="n">
        <v>4</v>
      </c>
      <c r="G875" s="8" t="n">
        <v>3</v>
      </c>
      <c r="H875" s="8" t="n">
        <v>0</v>
      </c>
      <c r="I875" s="8" t="n">
        <v>0</v>
      </c>
      <c r="J875" s="8" t="n">
        <v>0</v>
      </c>
      <c r="K875" s="8" t="n">
        <v>0</v>
      </c>
      <c r="L875" s="8" t="n">
        <v>0</v>
      </c>
      <c r="M875" s="8" t="n">
        <v>1</v>
      </c>
      <c r="N875" s="8" t="n">
        <v>0</v>
      </c>
      <c r="O875" s="8" t="n">
        <v>1</v>
      </c>
      <c r="R875" s="8" t="n">
        <v>0</v>
      </c>
      <c r="S875" s="8" t="n">
        <v>0</v>
      </c>
      <c r="T875" s="8" t="n">
        <v>0</v>
      </c>
      <c r="U875" s="8" t="n">
        <v>0</v>
      </c>
      <c r="W875" s="8" t="n">
        <v>0</v>
      </c>
    </row>
    <row r="876" ht="15.75" customHeight="1" s="35">
      <c r="A876" s="8" t="inlineStr">
        <is>
          <t>2026-04-04_PLYV_at_ESTR</t>
        </is>
      </c>
      <c r="B876" s="2" t="n">
        <v>46116</v>
      </c>
      <c r="C876" s="8" t="inlineStr">
        <is>
          <t>Eastern Tech Varsity Mavericks</t>
        </is>
      </c>
      <c r="D876" s="8" t="inlineStr">
        <is>
          <t>PLYV</t>
        </is>
      </c>
      <c r="E876" s="8" t="inlineStr">
        <is>
          <t>Nathaniel Barry</t>
        </is>
      </c>
      <c r="F876" s="8" t="n">
        <v>4</v>
      </c>
      <c r="G876" s="8" t="n">
        <v>4</v>
      </c>
      <c r="H876" s="8" t="n">
        <v>2</v>
      </c>
      <c r="I876" s="8" t="n">
        <v>1</v>
      </c>
      <c r="J876" s="8" t="n">
        <v>1</v>
      </c>
      <c r="K876" s="8" t="n">
        <v>0</v>
      </c>
      <c r="L876" s="8" t="n">
        <v>0</v>
      </c>
      <c r="M876" s="8" t="n">
        <v>0</v>
      </c>
      <c r="N876" s="8" t="n">
        <v>0</v>
      </c>
      <c r="O876" s="8" t="n">
        <v>2</v>
      </c>
      <c r="R876" s="8" t="n">
        <v>1</v>
      </c>
      <c r="S876" s="8" t="n">
        <v>2</v>
      </c>
      <c r="T876" s="8" t="n">
        <v>1</v>
      </c>
      <c r="U876" s="8" t="n">
        <v>0</v>
      </c>
      <c r="W876" s="8" t="n">
        <v>0</v>
      </c>
      <c r="Y876" s="8" t="inlineStr">
        <is>
          <t>2B; TB=3 ✓; SB=1</t>
        </is>
      </c>
    </row>
    <row r="877" ht="15.75" customHeight="1" s="35">
      <c r="A877" s="8" t="inlineStr">
        <is>
          <t>2026-04-04_PLYV_at_ESTR</t>
        </is>
      </c>
      <c r="B877" s="2" t="n">
        <v>46116</v>
      </c>
      <c r="C877" s="8" t="inlineStr">
        <is>
          <t>Eastern Tech Varsity Mavericks</t>
        </is>
      </c>
      <c r="D877" s="8" t="inlineStr">
        <is>
          <t>PLYV</t>
        </is>
      </c>
      <c r="E877" s="8" t="inlineStr">
        <is>
          <t>Krishtain Mcleod</t>
        </is>
      </c>
      <c r="F877" s="8" t="n">
        <v>3</v>
      </c>
      <c r="G877" s="8" t="n">
        <v>3</v>
      </c>
      <c r="H877" s="8" t="n">
        <v>0</v>
      </c>
      <c r="I877" s="8" t="n">
        <v>0</v>
      </c>
      <c r="J877" s="8" t="n">
        <v>0</v>
      </c>
      <c r="K877" s="8" t="n">
        <v>0</v>
      </c>
      <c r="L877" s="8" t="n">
        <v>0</v>
      </c>
      <c r="M877" s="8" t="n">
        <v>0</v>
      </c>
      <c r="N877" s="8" t="n">
        <v>0</v>
      </c>
      <c r="O877" s="8" t="n">
        <v>2</v>
      </c>
      <c r="R877" s="8" t="n">
        <v>0</v>
      </c>
      <c r="S877" s="8" t="n">
        <v>0</v>
      </c>
      <c r="T877" s="8" t="n">
        <v>0</v>
      </c>
      <c r="U877" s="8" t="n">
        <v>0</v>
      </c>
      <c r="W877" s="8" t="n">
        <v>0</v>
      </c>
    </row>
    <row r="878" ht="15.75" customHeight="1" s="35">
      <c r="A878" s="8" t="inlineStr">
        <is>
          <t>2026-04-04_PLYV_at_ESTR</t>
        </is>
      </c>
      <c r="B878" s="2" t="n">
        <v>46116</v>
      </c>
      <c r="C878" s="8" t="inlineStr">
        <is>
          <t>Eastern Tech Varsity Mavericks</t>
        </is>
      </c>
      <c r="D878" s="8" t="inlineStr">
        <is>
          <t>PLYV</t>
        </is>
      </c>
      <c r="E878" s="8" t="inlineStr">
        <is>
          <t>Shane King</t>
        </is>
      </c>
      <c r="F878" s="8" t="n">
        <v>2</v>
      </c>
      <c r="G878" s="8" t="n">
        <v>2</v>
      </c>
      <c r="H878" s="8" t="n">
        <v>0</v>
      </c>
      <c r="I878" s="8" t="n">
        <v>0</v>
      </c>
      <c r="J878" s="8" t="n">
        <v>0</v>
      </c>
      <c r="K878" s="8" t="n">
        <v>0</v>
      </c>
      <c r="L878" s="8" t="n">
        <v>0</v>
      </c>
      <c r="M878" s="8" t="n">
        <v>0</v>
      </c>
      <c r="N878" s="8" t="n">
        <v>0</v>
      </c>
      <c r="O878" s="8" t="n">
        <v>1</v>
      </c>
      <c r="R878" s="8" t="n">
        <v>0</v>
      </c>
      <c r="S878" s="8" t="n">
        <v>0</v>
      </c>
      <c r="T878" s="8" t="n">
        <v>0</v>
      </c>
      <c r="U878" s="8" t="n">
        <v>0</v>
      </c>
      <c r="W878" s="8" t="n">
        <v>0</v>
      </c>
    </row>
    <row r="879" ht="15.75" customHeight="1" s="35">
      <c r="A879" s="8" t="inlineStr">
        <is>
          <t>2026-04-04_PLYV_at_ESTR</t>
        </is>
      </c>
      <c r="B879" s="2" t="n">
        <v>46116</v>
      </c>
      <c r="C879" s="8" t="inlineStr">
        <is>
          <t>Eastern Tech Varsity Mavericks</t>
        </is>
      </c>
      <c r="D879" s="8" t="inlineStr">
        <is>
          <t>PLYV</t>
        </is>
      </c>
      <c r="E879" s="8" t="inlineStr">
        <is>
          <t>Lucas Bryant</t>
        </is>
      </c>
      <c r="F879" s="8" t="n">
        <v>1</v>
      </c>
      <c r="G879" s="8" t="n">
        <v>1</v>
      </c>
      <c r="H879" s="8" t="n">
        <v>1</v>
      </c>
      <c r="I879" s="8" t="n">
        <v>1</v>
      </c>
      <c r="J879" s="8" t="n">
        <v>0</v>
      </c>
      <c r="K879" s="8" t="n">
        <v>0</v>
      </c>
      <c r="L879" s="8" t="n">
        <v>0</v>
      </c>
      <c r="M879" s="8" t="n">
        <v>0</v>
      </c>
      <c r="N879" s="8" t="n">
        <v>0</v>
      </c>
      <c r="O879" s="8" t="n">
        <v>0</v>
      </c>
      <c r="R879" s="8" t="n">
        <v>0</v>
      </c>
      <c r="S879" s="8" t="n">
        <v>1</v>
      </c>
      <c r="T879" s="8" t="n">
        <v>1</v>
      </c>
      <c r="U879" s="8" t="n">
        <v>0</v>
      </c>
      <c r="W879" s="8" t="n">
        <v>0</v>
      </c>
      <c r="Y879" s="8" t="inlineStr">
        <is>
          <t>SB=1; TB=1 ✓</t>
        </is>
      </c>
    </row>
    <row r="880" ht="15.75" customHeight="1" s="35">
      <c r="A880" s="8" t="inlineStr">
        <is>
          <t>2026-04-04_PLYV_at_ESTR</t>
        </is>
      </c>
      <c r="B880" s="2" t="n">
        <v>46116</v>
      </c>
      <c r="C880" s="8" t="inlineStr">
        <is>
          <t>Eastern Tech Varsity Mavericks</t>
        </is>
      </c>
      <c r="D880" s="8" t="inlineStr">
        <is>
          <t>PLYV</t>
        </is>
      </c>
      <c r="E880" s="8" t="inlineStr">
        <is>
          <t>Joshua Tyree</t>
        </is>
      </c>
      <c r="F880" s="8" t="n">
        <v>0</v>
      </c>
      <c r="G880" s="8" t="n">
        <v>0</v>
      </c>
      <c r="H880" s="8" t="n">
        <v>0</v>
      </c>
      <c r="I880" s="8" t="n">
        <v>0</v>
      </c>
      <c r="J880" s="8" t="n">
        <v>0</v>
      </c>
      <c r="K880" s="8" t="n">
        <v>0</v>
      </c>
      <c r="L880" s="8" t="n">
        <v>0</v>
      </c>
      <c r="M880" s="8" t="n">
        <v>0</v>
      </c>
      <c r="N880" s="8" t="n">
        <v>0</v>
      </c>
      <c r="O880" s="8" t="n">
        <v>0</v>
      </c>
      <c r="R880" s="8" t="n">
        <v>0</v>
      </c>
      <c r="S880" s="8" t="n">
        <v>0</v>
      </c>
      <c r="T880" s="8" t="n">
        <v>0</v>
      </c>
      <c r="U880" s="8" t="n">
        <v>0</v>
      </c>
      <c r="W880" s="8" t="n">
        <v>0</v>
      </c>
      <c r="Y880" s="8" t="inlineStr">
        <is>
          <t>Zero PA</t>
        </is>
      </c>
    </row>
    <row r="881" ht="15.75" customHeight="1" s="35">
      <c r="A881" s="8" t="inlineStr">
        <is>
          <t>2026-04-04_PRKS_at_PLYV</t>
        </is>
      </c>
      <c r="B881" s="2" t="n">
        <v>46116</v>
      </c>
      <c r="C881" s="8" t="inlineStr">
        <is>
          <t>Park School Varsity Bruins</t>
        </is>
      </c>
      <c r="D881" s="8" t="inlineStr">
        <is>
          <t>PLYV</t>
        </is>
      </c>
      <c r="E881" s="8" t="inlineStr">
        <is>
          <t>Joshua Tyree</t>
        </is>
      </c>
      <c r="F881" s="8" t="n">
        <v>5</v>
      </c>
      <c r="G881" s="8" t="n">
        <v>4</v>
      </c>
      <c r="H881" s="8" t="n">
        <v>3</v>
      </c>
      <c r="I881" s="8" t="n">
        <v>2</v>
      </c>
      <c r="J881" s="8" t="n">
        <v>1</v>
      </c>
      <c r="K881" s="8" t="n">
        <v>0</v>
      </c>
      <c r="L881" s="8" t="n">
        <v>0</v>
      </c>
      <c r="M881" s="8" t="n">
        <v>0</v>
      </c>
      <c r="N881" s="8" t="n">
        <v>1</v>
      </c>
      <c r="O881" s="8" t="n">
        <v>1</v>
      </c>
      <c r="R881" s="8" t="n">
        <v>2</v>
      </c>
      <c r="S881" s="8" t="n">
        <v>4</v>
      </c>
      <c r="T881" s="8" t="n">
        <v>0</v>
      </c>
      <c r="U881" s="8" t="n">
        <v>0</v>
      </c>
      <c r="W881" s="8" t="n">
        <v>0</v>
      </c>
      <c r="Y881" s="8" t="inlineStr">
        <is>
          <t>HBP=1; 2B; TB=4 ✓</t>
        </is>
      </c>
    </row>
    <row r="882" ht="15.75" customHeight="1" s="35">
      <c r="A882" s="8" t="inlineStr">
        <is>
          <t>2026-04-04_PRKS_at_PLYV</t>
        </is>
      </c>
      <c r="B882" s="2" t="n">
        <v>46116</v>
      </c>
      <c r="C882" s="8" t="inlineStr">
        <is>
          <t>Park School Varsity Bruins</t>
        </is>
      </c>
      <c r="D882" s="8" t="inlineStr">
        <is>
          <t>PLYV</t>
        </is>
      </c>
      <c r="E882" s="8" t="inlineStr">
        <is>
          <t>Coleman Bryant</t>
        </is>
      </c>
      <c r="F882" s="8" t="n">
        <v>4</v>
      </c>
      <c r="G882" s="8" t="n">
        <v>3</v>
      </c>
      <c r="H882" s="8" t="n">
        <v>1</v>
      </c>
      <c r="I882" s="8" t="n">
        <v>1</v>
      </c>
      <c r="J882" s="8" t="n">
        <v>0</v>
      </c>
      <c r="K882" s="8" t="n">
        <v>0</v>
      </c>
      <c r="L882" s="8" t="n">
        <v>0</v>
      </c>
      <c r="M882" s="8" t="n">
        <v>1</v>
      </c>
      <c r="N882" s="8" t="n">
        <v>0</v>
      </c>
      <c r="O882" s="8" t="n">
        <v>0</v>
      </c>
      <c r="R882" s="8" t="n">
        <v>2</v>
      </c>
      <c r="S882" s="8" t="n">
        <v>0</v>
      </c>
      <c r="T882" s="8" t="n">
        <v>0</v>
      </c>
      <c r="U882" s="8" t="n">
        <v>0</v>
      </c>
      <c r="W882" s="8" t="n">
        <v>0</v>
      </c>
      <c r="Y882" s="8" t="inlineStr">
        <is>
          <t>TB=1 ✓</t>
        </is>
      </c>
    </row>
    <row r="883" ht="15.75" customHeight="1" s="35">
      <c r="A883" s="8" t="inlineStr">
        <is>
          <t>2026-04-04_PRKS_at_PLYV</t>
        </is>
      </c>
      <c r="B883" s="2" t="n">
        <v>46116</v>
      </c>
      <c r="C883" s="8" t="inlineStr">
        <is>
          <t>Park School Varsity Bruins</t>
        </is>
      </c>
      <c r="D883" s="8" t="inlineStr">
        <is>
          <t>PLYV</t>
        </is>
      </c>
      <c r="E883" s="8" t="inlineStr">
        <is>
          <t>Kingston Antonio</t>
        </is>
      </c>
      <c r="F883" s="8" t="n">
        <v>5</v>
      </c>
      <c r="G883" s="8" t="n">
        <v>4</v>
      </c>
      <c r="H883" s="8" t="n">
        <v>3</v>
      </c>
      <c r="I883" s="8" t="n">
        <v>2</v>
      </c>
      <c r="J883" s="8" t="n">
        <v>0</v>
      </c>
      <c r="K883" s="8" t="n">
        <v>0</v>
      </c>
      <c r="L883" s="8" t="n">
        <v>1</v>
      </c>
      <c r="M883" s="8" t="n">
        <v>0</v>
      </c>
      <c r="N883" s="8" t="n">
        <v>1</v>
      </c>
      <c r="O883" s="8" t="n">
        <v>1</v>
      </c>
      <c r="R883" s="8" t="n">
        <v>2</v>
      </c>
      <c r="S883" s="8" t="n">
        <v>3</v>
      </c>
      <c r="T883" s="8" t="n">
        <v>0</v>
      </c>
      <c r="U883" s="8" t="n">
        <v>0</v>
      </c>
      <c r="W883" s="8" t="n">
        <v>0</v>
      </c>
      <c r="Y883" s="8" t="inlineStr">
        <is>
          <t>HR; HBP=1; TB=6 ✓; also pitches</t>
        </is>
      </c>
    </row>
    <row r="884" ht="15.75" customHeight="1" s="35">
      <c r="A884" s="8" t="inlineStr">
        <is>
          <t>2026-04-04_PRKS_at_PLYV</t>
        </is>
      </c>
      <c r="B884" s="2" t="n">
        <v>46116</v>
      </c>
      <c r="C884" s="8" t="inlineStr">
        <is>
          <t>Park School Varsity Bruins</t>
        </is>
      </c>
      <c r="D884" s="8" t="inlineStr">
        <is>
          <t>PLYV</t>
        </is>
      </c>
      <c r="E884" s="8" t="inlineStr">
        <is>
          <t>Jakeem Mcbride</t>
        </is>
      </c>
      <c r="F884" s="8" t="n">
        <v>3</v>
      </c>
      <c r="G884" s="8" t="n">
        <v>2</v>
      </c>
      <c r="H884" s="8" t="n">
        <v>0</v>
      </c>
      <c r="I884" s="8" t="n">
        <v>0</v>
      </c>
      <c r="J884" s="8" t="n">
        <v>0</v>
      </c>
      <c r="K884" s="8" t="n">
        <v>0</v>
      </c>
      <c r="L884" s="8" t="n">
        <v>0</v>
      </c>
      <c r="M884" s="8" t="n">
        <v>1</v>
      </c>
      <c r="N884" s="8" t="n">
        <v>0</v>
      </c>
      <c r="O884" s="8" t="n">
        <v>2</v>
      </c>
      <c r="R884" s="8" t="n">
        <v>1</v>
      </c>
      <c r="S884" s="8" t="n">
        <v>0</v>
      </c>
      <c r="T884" s="8" t="n">
        <v>1</v>
      </c>
      <c r="U884" s="8" t="n">
        <v>0</v>
      </c>
      <c r="W884" s="8" t="n">
        <v>0</v>
      </c>
      <c r="Y884" s="8" t="inlineStr">
        <is>
          <t>[AMBIGUOUS] R corrected 0→1 (OCR; individual sum reconciliation to target=14); SB=1</t>
        </is>
      </c>
    </row>
    <row r="885" ht="15.75" customHeight="1" s="35">
      <c r="A885" s="8" t="inlineStr">
        <is>
          <t>2026-04-04_PRKS_at_PLYV</t>
        </is>
      </c>
      <c r="B885" s="2" t="n">
        <v>46116</v>
      </c>
      <c r="C885" s="8" t="inlineStr">
        <is>
          <t>Park School Varsity Bruins</t>
        </is>
      </c>
      <c r="D885" s="8" t="inlineStr">
        <is>
          <t>PLYV</t>
        </is>
      </c>
      <c r="E885" s="8" t="inlineStr">
        <is>
          <t>Ian Dickensheets</t>
        </is>
      </c>
      <c r="F885" s="8" t="n">
        <v>2</v>
      </c>
      <c r="G885" s="8" t="n">
        <v>2</v>
      </c>
      <c r="H885" s="8" t="n">
        <v>1</v>
      </c>
      <c r="I885" s="8" t="n">
        <v>1</v>
      </c>
      <c r="J885" s="8" t="n">
        <v>0</v>
      </c>
      <c r="K885" s="8" t="n">
        <v>0</v>
      </c>
      <c r="L885" s="8" t="n">
        <v>0</v>
      </c>
      <c r="M885" s="8" t="n">
        <v>0</v>
      </c>
      <c r="N885" s="8" t="n">
        <v>0</v>
      </c>
      <c r="O885" s="8" t="n">
        <v>0</v>
      </c>
      <c r="R885" s="8" t="n">
        <v>1</v>
      </c>
      <c r="S885" s="8" t="n">
        <v>1</v>
      </c>
      <c r="T885" s="8" t="n">
        <v>1</v>
      </c>
      <c r="U885" s="8" t="n">
        <v>0</v>
      </c>
      <c r="W885" s="8" t="n">
        <v>0</v>
      </c>
      <c r="Y885" s="8" t="inlineStr">
        <is>
          <t>SB=1; TB=1 ✓</t>
        </is>
      </c>
    </row>
    <row r="886" ht="15.75" customHeight="1" s="35">
      <c r="A886" s="8" t="inlineStr">
        <is>
          <t>2026-04-04_PRKS_at_PLYV</t>
        </is>
      </c>
      <c r="B886" s="2" t="n">
        <v>46116</v>
      </c>
      <c r="C886" s="8" t="inlineStr">
        <is>
          <t>Park School Varsity Bruins</t>
        </is>
      </c>
      <c r="D886" s="8" t="inlineStr">
        <is>
          <t>PLYV</t>
        </is>
      </c>
      <c r="E886" s="8" t="inlineStr">
        <is>
          <t>Ikram Khan</t>
        </is>
      </c>
      <c r="F886" s="8" t="n">
        <v>5</v>
      </c>
      <c r="G886" s="8" t="n">
        <v>5</v>
      </c>
      <c r="H886" s="8" t="n">
        <v>2</v>
      </c>
      <c r="I886" s="8" t="n">
        <v>1</v>
      </c>
      <c r="J886" s="8" t="n">
        <v>1</v>
      </c>
      <c r="K886" s="8" t="n">
        <v>0</v>
      </c>
      <c r="L886" s="8" t="n">
        <v>0</v>
      </c>
      <c r="M886" s="8" t="n">
        <v>0</v>
      </c>
      <c r="N886" s="8" t="n">
        <v>0</v>
      </c>
      <c r="O886" s="8" t="n">
        <v>2</v>
      </c>
      <c r="R886" s="8" t="n">
        <v>0</v>
      </c>
      <c r="S886" s="8" t="n">
        <v>0</v>
      </c>
      <c r="T886" s="8" t="n">
        <v>0</v>
      </c>
      <c r="U886" s="8" t="n">
        <v>0</v>
      </c>
      <c r="W886" s="8" t="n">
        <v>0</v>
      </c>
      <c r="Y886" s="8" t="inlineStr">
        <is>
          <t>2B; TB=3 ✓; E in Fielding</t>
        </is>
      </c>
    </row>
    <row r="887" ht="15.75" customHeight="1" s="35">
      <c r="A887" s="8" t="inlineStr">
        <is>
          <t>2026-04-04_PRKS_at_PLYV</t>
        </is>
      </c>
      <c r="B887" s="2" t="n">
        <v>46116</v>
      </c>
      <c r="C887" s="8" t="inlineStr">
        <is>
          <t>Park School Varsity Bruins</t>
        </is>
      </c>
      <c r="D887" s="8" t="inlineStr">
        <is>
          <t>PLYV</t>
        </is>
      </c>
      <c r="E887" s="8" t="inlineStr">
        <is>
          <t>Hayden Flipovitz</t>
        </is>
      </c>
      <c r="F887" s="8" t="n">
        <v>5</v>
      </c>
      <c r="G887" s="8" t="n">
        <v>5</v>
      </c>
      <c r="H887" s="8" t="n">
        <v>1</v>
      </c>
      <c r="I887" s="8" t="n">
        <v>1</v>
      </c>
      <c r="J887" s="8" t="n">
        <v>0</v>
      </c>
      <c r="K887" s="8" t="n">
        <v>0</v>
      </c>
      <c r="L887" s="8" t="n">
        <v>0</v>
      </c>
      <c r="M887" s="8" t="n">
        <v>0</v>
      </c>
      <c r="N887" s="8" t="n">
        <v>0</v>
      </c>
      <c r="O887" s="8" t="n">
        <v>0</v>
      </c>
      <c r="R887" s="8" t="n">
        <v>0</v>
      </c>
      <c r="S887" s="8" t="n">
        <v>1</v>
      </c>
      <c r="T887" s="8" t="n">
        <v>0</v>
      </c>
      <c r="U887" s="8" t="n">
        <v>0</v>
      </c>
      <c r="W887" s="8" t="n">
        <v>0</v>
      </c>
      <c r="Y887" s="8" t="inlineStr">
        <is>
          <t>TB=1 ✓</t>
        </is>
      </c>
    </row>
    <row r="888" ht="15.75" customHeight="1" s="35">
      <c r="A888" s="8" t="inlineStr">
        <is>
          <t>2026-04-04_PRKS_at_PLYV</t>
        </is>
      </c>
      <c r="B888" s="2" t="n">
        <v>46116</v>
      </c>
      <c r="C888" s="8" t="inlineStr">
        <is>
          <t>Park School Varsity Bruins</t>
        </is>
      </c>
      <c r="D888" s="8" t="inlineStr">
        <is>
          <t>PLYV</t>
        </is>
      </c>
      <c r="E888" s="8" t="inlineStr">
        <is>
          <t>Lucas Bryant</t>
        </is>
      </c>
      <c r="F888" s="8" t="n">
        <v>5</v>
      </c>
      <c r="G888" s="8" t="n">
        <v>4</v>
      </c>
      <c r="H888" s="8" t="n">
        <v>2</v>
      </c>
      <c r="I888" s="8" t="n">
        <v>1</v>
      </c>
      <c r="J888" s="8" t="n">
        <v>1</v>
      </c>
      <c r="K888" s="8" t="n">
        <v>0</v>
      </c>
      <c r="L888" s="8" t="n">
        <v>0</v>
      </c>
      <c r="M888" s="8" t="n">
        <v>1</v>
      </c>
      <c r="N888" s="8" t="n">
        <v>0</v>
      </c>
      <c r="O888" s="8" t="n">
        <v>2</v>
      </c>
      <c r="R888" s="8" t="n">
        <v>2</v>
      </c>
      <c r="S888" s="8" t="n">
        <v>1</v>
      </c>
      <c r="T888" s="8" t="n">
        <v>0</v>
      </c>
      <c r="U888" s="8" t="n">
        <v>0</v>
      </c>
      <c r="W888" s="8" t="n">
        <v>0</v>
      </c>
      <c r="Y888" s="8" t="inlineStr">
        <is>
          <t>2B; TB=3 ✓</t>
        </is>
      </c>
    </row>
    <row r="889" ht="15.75" customHeight="1" s="35">
      <c r="A889" s="8" t="inlineStr">
        <is>
          <t>2026-04-04_PRKS_at_PLYV</t>
        </is>
      </c>
      <c r="B889" s="2" t="n">
        <v>46116</v>
      </c>
      <c r="C889" s="8" t="inlineStr">
        <is>
          <t>Park School Varsity Bruins</t>
        </is>
      </c>
      <c r="D889" s="8" t="inlineStr">
        <is>
          <t>PLYV</t>
        </is>
      </c>
      <c r="E889" s="8" t="inlineStr">
        <is>
          <t>Ashton Hill</t>
        </is>
      </c>
      <c r="F889" s="8" t="n">
        <v>4</v>
      </c>
      <c r="G889" s="8" t="n">
        <v>4</v>
      </c>
      <c r="H889" s="8" t="n">
        <v>1</v>
      </c>
      <c r="I889" s="8" t="n">
        <v>0</v>
      </c>
      <c r="J889" s="8" t="n">
        <v>1</v>
      </c>
      <c r="K889" s="8" t="n">
        <v>0</v>
      </c>
      <c r="L889" s="8" t="n">
        <v>0</v>
      </c>
      <c r="M889" s="8" t="n">
        <v>0</v>
      </c>
      <c r="N889" s="8" t="n">
        <v>0</v>
      </c>
      <c r="O889" s="8" t="n">
        <v>1</v>
      </c>
      <c r="R889" s="8" t="n">
        <v>1</v>
      </c>
      <c r="S889" s="8" t="n">
        <v>0</v>
      </c>
      <c r="T889" s="8" t="n">
        <v>0</v>
      </c>
      <c r="U889" s="8" t="n">
        <v>0</v>
      </c>
      <c r="W889" s="8" t="n">
        <v>0</v>
      </c>
      <c r="Y889" s="8" t="inlineStr">
        <is>
          <t>2B; TB=2 ✓; E in Fielding</t>
        </is>
      </c>
    </row>
    <row r="890" ht="15.75" customHeight="1" s="35">
      <c r="A890" s="8" t="inlineStr">
        <is>
          <t>2026-04-04_PRKS_at_PLYV</t>
        </is>
      </c>
      <c r="B890" s="2" t="n">
        <v>46116</v>
      </c>
      <c r="C890" s="8" t="inlineStr">
        <is>
          <t>Park School Varsity Bruins</t>
        </is>
      </c>
      <c r="D890" s="8" t="inlineStr">
        <is>
          <t>PLYV</t>
        </is>
      </c>
      <c r="E890" s="8" t="inlineStr">
        <is>
          <t>Kaden Wooden</t>
        </is>
      </c>
      <c r="F890" s="8" t="n">
        <v>1</v>
      </c>
      <c r="G890" s="8" t="n">
        <v>1</v>
      </c>
      <c r="H890" s="8" t="n">
        <v>0</v>
      </c>
      <c r="I890" s="8" t="n">
        <v>0</v>
      </c>
      <c r="J890" s="8" t="n">
        <v>0</v>
      </c>
      <c r="K890" s="8" t="n">
        <v>0</v>
      </c>
      <c r="L890" s="8" t="n">
        <v>0</v>
      </c>
      <c r="M890" s="8" t="n">
        <v>0</v>
      </c>
      <c r="N890" s="8" t="n">
        <v>0</v>
      </c>
      <c r="O890" s="8" t="n">
        <v>1</v>
      </c>
      <c r="R890" s="8" t="n">
        <v>0</v>
      </c>
      <c r="S890" s="8" t="n">
        <v>0</v>
      </c>
      <c r="T890" s="8" t="n">
        <v>0</v>
      </c>
      <c r="U890" s="8" t="n">
        <v>0</v>
      </c>
      <c r="W890" s="8" t="n">
        <v>0</v>
      </c>
      <c r="Y890" s="8" t="inlineStr">
        <is>
          <t>E in Fielding</t>
        </is>
      </c>
    </row>
    <row r="891" ht="15.75" customHeight="1" s="35">
      <c r="A891" s="8" t="inlineStr">
        <is>
          <t>2026-04-04_PRKS_at_PLYV</t>
        </is>
      </c>
      <c r="B891" s="2" t="n">
        <v>46116</v>
      </c>
      <c r="C891" s="8" t="inlineStr">
        <is>
          <t>Park School Varsity Bruins</t>
        </is>
      </c>
      <c r="D891" s="8" t="inlineStr">
        <is>
          <t>PLYV</t>
        </is>
      </c>
      <c r="E891" s="8" t="inlineStr">
        <is>
          <t>Roman Girardi</t>
        </is>
      </c>
      <c r="F891" s="8" t="n">
        <v>4</v>
      </c>
      <c r="G891" s="8" t="n">
        <v>3</v>
      </c>
      <c r="H891" s="8" t="n">
        <v>2</v>
      </c>
      <c r="I891" s="8" t="n">
        <v>1</v>
      </c>
      <c r="J891" s="8" t="n">
        <v>1</v>
      </c>
      <c r="K891" s="8" t="n">
        <v>0</v>
      </c>
      <c r="L891" s="8" t="n">
        <v>0</v>
      </c>
      <c r="M891" s="8" t="n">
        <v>1</v>
      </c>
      <c r="N891" s="8" t="n">
        <v>0</v>
      </c>
      <c r="O891" s="8" t="n">
        <v>0</v>
      </c>
      <c r="R891" s="8" t="n">
        <v>3</v>
      </c>
      <c r="S891" s="8" t="n">
        <v>1</v>
      </c>
      <c r="T891" s="8" t="n">
        <v>1</v>
      </c>
      <c r="U891" s="8" t="n">
        <v>0</v>
      </c>
      <c r="W891" s="8" t="n">
        <v>0</v>
      </c>
      <c r="Y891" s="8" t="inlineStr">
        <is>
          <t>2B; SB=1; TB=3 ✓</t>
        </is>
      </c>
    </row>
    <row r="892" ht="15.75" customHeight="1" s="35">
      <c r="A892" s="8" t="inlineStr">
        <is>
          <t>2026-04-04_PRKS_at_PLYV</t>
        </is>
      </c>
      <c r="B892" s="2" t="n">
        <v>46116</v>
      </c>
      <c r="C892" s="8" t="inlineStr">
        <is>
          <t>Poly Varsity Engineers 2026</t>
        </is>
      </c>
      <c r="D892" s="8" t="inlineStr">
        <is>
          <t>PRKS</t>
        </is>
      </c>
      <c r="E892" s="8" t="inlineStr">
        <is>
          <t>Dylan Katz</t>
        </is>
      </c>
      <c r="F892" s="8" t="n">
        <v>4</v>
      </c>
      <c r="G892" s="8" t="n">
        <v>3</v>
      </c>
      <c r="H892" s="8" t="n">
        <v>0</v>
      </c>
      <c r="I892" s="8" t="n">
        <v>0</v>
      </c>
      <c r="J892" s="8" t="n">
        <v>0</v>
      </c>
      <c r="K892" s="8" t="n">
        <v>0</v>
      </c>
      <c r="L892" s="8" t="n">
        <v>0</v>
      </c>
      <c r="M892" s="8" t="n">
        <v>1</v>
      </c>
      <c r="N892" s="8" t="n">
        <v>0</v>
      </c>
      <c r="O892" s="8" t="n">
        <v>1</v>
      </c>
      <c r="R892" s="8" t="n">
        <v>1</v>
      </c>
      <c r="S892" s="8" t="n">
        <v>0</v>
      </c>
      <c r="T892" s="8" t="n">
        <v>0</v>
      </c>
      <c r="U892" s="8" t="n">
        <v>0</v>
      </c>
      <c r="W892" s="8" t="n">
        <v>0</v>
      </c>
      <c r="Y892" s="8" t="inlineStr">
        <is>
          <t>Also pitches; E in Fielding</t>
        </is>
      </c>
    </row>
    <row r="893" ht="15.75" customHeight="1" s="35">
      <c r="A893" s="8" t="inlineStr">
        <is>
          <t>2026-04-04_PRKS_at_PLYV</t>
        </is>
      </c>
      <c r="B893" s="2" t="n">
        <v>46116</v>
      </c>
      <c r="C893" s="8" t="inlineStr">
        <is>
          <t>Poly Varsity Engineers 2026</t>
        </is>
      </c>
      <c r="D893" s="8" t="inlineStr">
        <is>
          <t>PRKS</t>
        </is>
      </c>
      <c r="E893" s="8" t="inlineStr">
        <is>
          <t>Zach Chait</t>
        </is>
      </c>
      <c r="F893" s="8" t="n">
        <v>4</v>
      </c>
      <c r="G893" s="8" t="n">
        <v>3</v>
      </c>
      <c r="H893" s="8" t="n">
        <v>1</v>
      </c>
      <c r="I893" s="8" t="n">
        <v>0</v>
      </c>
      <c r="J893" s="8" t="n">
        <v>1</v>
      </c>
      <c r="K893" s="8" t="n">
        <v>0</v>
      </c>
      <c r="L893" s="8" t="n">
        <v>0</v>
      </c>
      <c r="M893" s="8" t="n">
        <v>1</v>
      </c>
      <c r="N893" s="8" t="n">
        <v>0</v>
      </c>
      <c r="O893" s="8" t="n">
        <v>1</v>
      </c>
      <c r="R893" s="8" t="n">
        <v>2</v>
      </c>
      <c r="S893" s="8" t="n">
        <v>0</v>
      </c>
      <c r="T893" s="8" t="n">
        <v>0</v>
      </c>
      <c r="U893" s="8" t="n">
        <v>0</v>
      </c>
      <c r="W893" s="8" t="n">
        <v>0</v>
      </c>
      <c r="Y893" s="8" t="inlineStr">
        <is>
          <t>2B; TB=2 ✓</t>
        </is>
      </c>
    </row>
    <row r="894" ht="15.75" customHeight="1" s="35">
      <c r="A894" s="8" t="inlineStr">
        <is>
          <t>2026-04-04_PRKS_at_PLYV</t>
        </is>
      </c>
      <c r="B894" s="2" t="n">
        <v>46116</v>
      </c>
      <c r="C894" s="8" t="inlineStr">
        <is>
          <t>Poly Varsity Engineers 2026</t>
        </is>
      </c>
      <c r="D894" s="8" t="inlineStr">
        <is>
          <t>PRKS</t>
        </is>
      </c>
      <c r="E894" s="8" t="inlineStr">
        <is>
          <t>I Shapero</t>
        </is>
      </c>
      <c r="F894" s="8" t="n">
        <v>3</v>
      </c>
      <c r="G894" s="8" t="n">
        <v>1</v>
      </c>
      <c r="H894" s="8" t="n">
        <v>1</v>
      </c>
      <c r="I894" s="8" t="n">
        <v>1</v>
      </c>
      <c r="J894" s="8" t="n">
        <v>0</v>
      </c>
      <c r="K894" s="8" t="n">
        <v>0</v>
      </c>
      <c r="L894" s="8" t="n">
        <v>0</v>
      </c>
      <c r="M894" s="8" t="n">
        <v>2</v>
      </c>
      <c r="N894" s="8" t="n">
        <v>0</v>
      </c>
      <c r="O894" s="8" t="n">
        <v>0</v>
      </c>
      <c r="R894" s="8" t="n">
        <v>0</v>
      </c>
      <c r="S894" s="8" t="n">
        <v>0</v>
      </c>
      <c r="T894" s="8" t="n">
        <v>0</v>
      </c>
      <c r="U894" s="8" t="n">
        <v>0</v>
      </c>
      <c r="W894" s="8" t="n">
        <v>0</v>
      </c>
      <c r="Y894" s="8" t="inlineStr">
        <is>
          <t>Also pitches; TB=1 ✓</t>
        </is>
      </c>
    </row>
    <row r="895" ht="15.75" customHeight="1" s="35">
      <c r="A895" s="8" t="inlineStr">
        <is>
          <t>2026-04-04_PRKS_at_PLYV</t>
        </is>
      </c>
      <c r="B895" s="2" t="n">
        <v>46116</v>
      </c>
      <c r="C895" s="8" t="inlineStr">
        <is>
          <t>Poly Varsity Engineers 2026</t>
        </is>
      </c>
      <c r="D895" s="8" t="inlineStr">
        <is>
          <t>PRKS</t>
        </is>
      </c>
      <c r="E895" s="8" t="inlineStr">
        <is>
          <t>Jack Rogers</t>
        </is>
      </c>
      <c r="F895" s="8" t="n">
        <v>3</v>
      </c>
      <c r="G895" s="8" t="n">
        <v>3</v>
      </c>
      <c r="H895" s="8" t="n">
        <v>0</v>
      </c>
      <c r="I895" s="8" t="n">
        <v>0</v>
      </c>
      <c r="J895" s="8" t="n">
        <v>0</v>
      </c>
      <c r="K895" s="8" t="n">
        <v>0</v>
      </c>
      <c r="L895" s="8" t="n">
        <v>0</v>
      </c>
      <c r="M895" s="8" t="n">
        <v>0</v>
      </c>
      <c r="N895" s="8" t="n">
        <v>0</v>
      </c>
      <c r="O895" s="8" t="n">
        <v>1</v>
      </c>
      <c r="R895" s="8" t="n">
        <v>0</v>
      </c>
      <c r="S895" s="8" t="n">
        <v>0</v>
      </c>
      <c r="T895" s="8" t="n">
        <v>1</v>
      </c>
      <c r="U895" s="8" t="n">
        <v>0</v>
      </c>
      <c r="W895" s="8" t="n">
        <v>0</v>
      </c>
      <c r="Y895" s="8" t="inlineStr">
        <is>
          <t>SB=1</t>
        </is>
      </c>
    </row>
    <row r="896" ht="15.75" customHeight="1" s="35">
      <c r="A896" s="8" t="inlineStr">
        <is>
          <t>2026-04-04_PRKS_at_PLYV</t>
        </is>
      </c>
      <c r="B896" s="2" t="n">
        <v>46116</v>
      </c>
      <c r="C896" s="8" t="inlineStr">
        <is>
          <t>Poly Varsity Engineers 2026</t>
        </is>
      </c>
      <c r="D896" s="8" t="inlineStr">
        <is>
          <t>PRKS</t>
        </is>
      </c>
      <c r="E896" s="8" t="inlineStr">
        <is>
          <t>True Bridgeford</t>
        </is>
      </c>
      <c r="F896" s="8" t="n">
        <v>3</v>
      </c>
      <c r="G896" s="8" t="n">
        <v>1</v>
      </c>
      <c r="H896" s="8" t="n">
        <v>0</v>
      </c>
      <c r="I896" s="8" t="n">
        <v>0</v>
      </c>
      <c r="J896" s="8" t="n">
        <v>0</v>
      </c>
      <c r="K896" s="8" t="n">
        <v>0</v>
      </c>
      <c r="L896" s="8" t="n">
        <v>0</v>
      </c>
      <c r="M896" s="8" t="n">
        <v>1</v>
      </c>
      <c r="N896" s="8" t="n">
        <v>1</v>
      </c>
      <c r="O896" s="8" t="n">
        <v>1</v>
      </c>
      <c r="R896" s="8" t="n">
        <v>0</v>
      </c>
      <c r="S896" s="8" t="n">
        <v>0</v>
      </c>
      <c r="T896" s="8" t="n">
        <v>2</v>
      </c>
      <c r="U896" s="8" t="n">
        <v>0</v>
      </c>
      <c r="W896" s="8" t="n">
        <v>0</v>
      </c>
      <c r="Y896" s="8" t="inlineStr">
        <is>
          <t>HBP=1; SB=2</t>
        </is>
      </c>
    </row>
    <row r="897" ht="15.75" customHeight="1" s="35">
      <c r="A897" s="8" t="inlineStr">
        <is>
          <t>2026-04-04_PRKS_at_PLYV</t>
        </is>
      </c>
      <c r="B897" s="2" t="n">
        <v>46116</v>
      </c>
      <c r="C897" s="8" t="inlineStr">
        <is>
          <t>Poly Varsity Engineers 2026</t>
        </is>
      </c>
      <c r="D897" s="8" t="inlineStr">
        <is>
          <t>PRKS</t>
        </is>
      </c>
      <c r="E897" s="8" t="inlineStr">
        <is>
          <t>Cam Blum</t>
        </is>
      </c>
      <c r="F897" s="8" t="n">
        <v>2</v>
      </c>
      <c r="G897" s="8" t="n">
        <v>2</v>
      </c>
      <c r="H897" s="8" t="n">
        <v>0</v>
      </c>
      <c r="I897" s="8" t="n">
        <v>0</v>
      </c>
      <c r="J897" s="8" t="n">
        <v>0</v>
      </c>
      <c r="K897" s="8" t="n">
        <v>0</v>
      </c>
      <c r="L897" s="8" t="n">
        <v>0</v>
      </c>
      <c r="M897" s="8" t="n">
        <v>0</v>
      </c>
      <c r="N897" s="8" t="n">
        <v>0</v>
      </c>
      <c r="O897" s="8" t="n">
        <v>1</v>
      </c>
      <c r="R897" s="8" t="n">
        <v>0</v>
      </c>
      <c r="S897" s="8" t="n">
        <v>0</v>
      </c>
      <c r="T897" s="8" t="n">
        <v>0</v>
      </c>
      <c r="U897" s="8" t="n">
        <v>0</v>
      </c>
      <c r="W897" s="8" t="n">
        <v>0</v>
      </c>
      <c r="Y897" s="8" t="inlineStr">
        <is>
          <t>Also pitches</t>
        </is>
      </c>
    </row>
    <row r="898" ht="15.75" customHeight="1" s="35">
      <c r="A898" s="8" t="inlineStr">
        <is>
          <t>2026-04-04_PRKS_at_PLYV</t>
        </is>
      </c>
      <c r="B898" s="2" t="n">
        <v>46116</v>
      </c>
      <c r="C898" s="8" t="inlineStr">
        <is>
          <t>Poly Varsity Engineers 2026</t>
        </is>
      </c>
      <c r="D898" s="8" t="inlineStr">
        <is>
          <t>PRKS</t>
        </is>
      </c>
      <c r="E898" s="8" t="inlineStr">
        <is>
          <t>J Pulley</t>
        </is>
      </c>
      <c r="F898" s="8" t="n">
        <v>1</v>
      </c>
      <c r="G898" s="8" t="n">
        <v>1</v>
      </c>
      <c r="H898" s="8" t="n">
        <v>0</v>
      </c>
      <c r="I898" s="8" t="n">
        <v>0</v>
      </c>
      <c r="J898" s="8" t="n">
        <v>0</v>
      </c>
      <c r="K898" s="8" t="n">
        <v>0</v>
      </c>
      <c r="L898" s="8" t="n">
        <v>0</v>
      </c>
      <c r="M898" s="8" t="n">
        <v>0</v>
      </c>
      <c r="N898" s="8" t="n">
        <v>0</v>
      </c>
      <c r="O898" s="8" t="n">
        <v>0</v>
      </c>
      <c r="R898" s="8" t="n">
        <v>0</v>
      </c>
      <c r="S898" s="8" t="n">
        <v>0</v>
      </c>
      <c r="T898" s="8" t="n">
        <v>0</v>
      </c>
      <c r="U898" s="8" t="n">
        <v>0</v>
      </c>
      <c r="W898" s="8" t="n">
        <v>0</v>
      </c>
    </row>
    <row r="899" ht="15.75" customHeight="1" s="35">
      <c r="A899" s="8" t="inlineStr">
        <is>
          <t>2026-04-04_PRKS_at_PLYV</t>
        </is>
      </c>
      <c r="B899" s="2" t="n">
        <v>46116</v>
      </c>
      <c r="C899" s="8" t="inlineStr">
        <is>
          <t>Poly Varsity Engineers 2026</t>
        </is>
      </c>
      <c r="D899" s="8" t="inlineStr">
        <is>
          <t>PRKS</t>
        </is>
      </c>
      <c r="E899" s="8" t="inlineStr">
        <is>
          <t>Isaac Cohen</t>
        </is>
      </c>
      <c r="F899" s="8" t="n">
        <v>3</v>
      </c>
      <c r="G899" s="8" t="n">
        <v>3</v>
      </c>
      <c r="H899" s="8" t="n">
        <v>0</v>
      </c>
      <c r="I899" s="8" t="n">
        <v>0</v>
      </c>
      <c r="J899" s="8" t="n">
        <v>0</v>
      </c>
      <c r="K899" s="8" t="n">
        <v>0</v>
      </c>
      <c r="L899" s="8" t="n">
        <v>0</v>
      </c>
      <c r="M899" s="8" t="n">
        <v>0</v>
      </c>
      <c r="N899" s="8" t="n">
        <v>0</v>
      </c>
      <c r="O899" s="8" t="n">
        <v>1</v>
      </c>
      <c r="R899" s="8" t="n">
        <v>0</v>
      </c>
      <c r="S899" s="8" t="n">
        <v>0</v>
      </c>
      <c r="T899" s="8" t="n">
        <v>0</v>
      </c>
      <c r="U899" s="8" t="n">
        <v>0</v>
      </c>
      <c r="W899" s="8" t="n">
        <v>0</v>
      </c>
    </row>
    <row r="900" ht="15.75" customHeight="1" s="35">
      <c r="A900" s="8" t="inlineStr">
        <is>
          <t>2026-04-04_PRKS_at_PLYV</t>
        </is>
      </c>
      <c r="B900" s="2" t="n">
        <v>46116</v>
      </c>
      <c r="C900" s="8" t="inlineStr">
        <is>
          <t>Poly Varsity Engineers 2026</t>
        </is>
      </c>
      <c r="D900" s="8" t="inlineStr">
        <is>
          <t>PRKS</t>
        </is>
      </c>
      <c r="E900" s="8" t="inlineStr">
        <is>
          <t>Luca Jordan</t>
        </is>
      </c>
      <c r="F900" s="8" t="n">
        <v>3</v>
      </c>
      <c r="G900" s="8" t="n">
        <v>3</v>
      </c>
      <c r="H900" s="8" t="n">
        <v>0</v>
      </c>
      <c r="I900" s="8" t="n">
        <v>0</v>
      </c>
      <c r="J900" s="8" t="n">
        <v>0</v>
      </c>
      <c r="K900" s="8" t="n">
        <v>0</v>
      </c>
      <c r="L900" s="8" t="n">
        <v>0</v>
      </c>
      <c r="M900" s="8" t="n">
        <v>0</v>
      </c>
      <c r="N900" s="8" t="n">
        <v>0</v>
      </c>
      <c r="O900" s="8" t="n">
        <v>2</v>
      </c>
      <c r="R900" s="8" t="n">
        <v>0</v>
      </c>
      <c r="S900" s="8" t="n">
        <v>0</v>
      </c>
      <c r="T900" s="8" t="n">
        <v>0</v>
      </c>
      <c r="U900" s="8" t="n">
        <v>0</v>
      </c>
      <c r="W900" s="8" t="n">
        <v>0</v>
      </c>
      <c r="Y900" s="8" t="inlineStr">
        <is>
          <t>E in Fielding x3</t>
        </is>
      </c>
    </row>
    <row r="901" ht="15.75" customHeight="1" s="35">
      <c r="A901" s="8" t="inlineStr">
        <is>
          <t>2026-04-04_PRKS_at_PLYV</t>
        </is>
      </c>
      <c r="B901" s="2" t="n">
        <v>46116</v>
      </c>
      <c r="C901" s="8" t="inlineStr">
        <is>
          <t>Poly Varsity Engineers 2026</t>
        </is>
      </c>
      <c r="D901" s="8" t="inlineStr">
        <is>
          <t>PRKS</t>
        </is>
      </c>
      <c r="E901" s="8" t="inlineStr">
        <is>
          <t>Kasra Haerian</t>
        </is>
      </c>
      <c r="F901" s="8" t="n">
        <v>2</v>
      </c>
      <c r="G901" s="8" t="n">
        <v>2</v>
      </c>
      <c r="H901" s="8" t="n">
        <v>0</v>
      </c>
      <c r="I901" s="8" t="n">
        <v>0</v>
      </c>
      <c r="J901" s="8" t="n">
        <v>0</v>
      </c>
      <c r="K901" s="8" t="n">
        <v>0</v>
      </c>
      <c r="L901" s="8" t="n">
        <v>0</v>
      </c>
      <c r="M901" s="8" t="n">
        <v>0</v>
      </c>
      <c r="N901" s="8" t="n">
        <v>0</v>
      </c>
      <c r="O901" s="8" t="n">
        <v>0</v>
      </c>
      <c r="R901" s="8" t="n">
        <v>0</v>
      </c>
      <c r="S901" s="8" t="n">
        <v>0</v>
      </c>
      <c r="T901" s="8" t="n">
        <v>0</v>
      </c>
      <c r="U901" s="8" t="n">
        <v>0</v>
      </c>
      <c r="W901" s="8" t="n">
        <v>0</v>
      </c>
    </row>
    <row r="902" ht="15.75" customHeight="1" s="35">
      <c r="A902" s="8" t="inlineStr">
        <is>
          <t>2026-04-04_PRKS_at_PLYV</t>
        </is>
      </c>
      <c r="B902" s="2" t="n">
        <v>46116</v>
      </c>
      <c r="C902" s="8" t="inlineStr">
        <is>
          <t>Poly Varsity Engineers 2026</t>
        </is>
      </c>
      <c r="D902" s="8" t="inlineStr">
        <is>
          <t>PRKS</t>
        </is>
      </c>
      <c r="E902" s="8" t="inlineStr">
        <is>
          <t>Noah Tomasino</t>
        </is>
      </c>
      <c r="F902" s="8" t="n">
        <v>0</v>
      </c>
      <c r="G902" s="8" t="n">
        <v>0</v>
      </c>
      <c r="H902" s="8" t="n">
        <v>0</v>
      </c>
      <c r="I902" s="8" t="n">
        <v>0</v>
      </c>
      <c r="J902" s="8" t="n">
        <v>0</v>
      </c>
      <c r="K902" s="8" t="n">
        <v>0</v>
      </c>
      <c r="L902" s="8" t="n">
        <v>0</v>
      </c>
      <c r="M902" s="8" t="n">
        <v>0</v>
      </c>
      <c r="N902" s="8" t="n">
        <v>0</v>
      </c>
      <c r="O902" s="8" t="n">
        <v>0</v>
      </c>
      <c r="R902" s="8" t="n">
        <v>0</v>
      </c>
      <c r="S902" s="8" t="n">
        <v>0</v>
      </c>
      <c r="T902" s="8" t="n">
        <v>0</v>
      </c>
      <c r="U902" s="8" t="n">
        <v>0</v>
      </c>
      <c r="W902" s="8" t="n">
        <v>0</v>
      </c>
      <c r="Y902" s="8" t="inlineStr">
        <is>
          <t>Zero PA</t>
        </is>
      </c>
    </row>
    <row r="903" ht="15.75" customHeight="1" s="35">
      <c r="A903" s="8" t="inlineStr">
        <is>
          <t>2026-04-04_PRKS_at_PLYV</t>
        </is>
      </c>
      <c r="B903" s="2" t="n">
        <v>46116</v>
      </c>
      <c r="C903" s="8" t="inlineStr">
        <is>
          <t>Poly Varsity Engineers 2026</t>
        </is>
      </c>
      <c r="D903" s="8" t="inlineStr">
        <is>
          <t>PRKS</t>
        </is>
      </c>
      <c r="E903" s="8" t="inlineStr">
        <is>
          <t>James Robbins</t>
        </is>
      </c>
      <c r="F903" s="8" t="n">
        <v>1</v>
      </c>
      <c r="G903" s="8" t="n">
        <v>1</v>
      </c>
      <c r="H903" s="8" t="n">
        <v>0</v>
      </c>
      <c r="I903" s="8" t="n">
        <v>0</v>
      </c>
      <c r="J903" s="8" t="n">
        <v>0</v>
      </c>
      <c r="K903" s="8" t="n">
        <v>0</v>
      </c>
      <c r="L903" s="8" t="n">
        <v>0</v>
      </c>
      <c r="M903" s="8" t="n">
        <v>0</v>
      </c>
      <c r="N903" s="8" t="n">
        <v>0</v>
      </c>
      <c r="O903" s="8" t="n">
        <v>0</v>
      </c>
      <c r="R903" s="8" t="n">
        <v>0</v>
      </c>
      <c r="S903" s="8" t="n">
        <v>0</v>
      </c>
      <c r="T903" s="8" t="n">
        <v>0</v>
      </c>
      <c r="U903" s="8" t="n">
        <v>0</v>
      </c>
      <c r="W903" s="8" t="n">
        <v>0</v>
      </c>
      <c r="Y903" s="8" t="inlineStr">
        <is>
          <t>Also pitches</t>
        </is>
      </c>
    </row>
    <row r="904" ht="15.75" customHeight="1" s="35">
      <c r="A904" s="8" t="inlineStr">
        <is>
          <t>2026-03-14_CNTN_at_WSTM</t>
        </is>
      </c>
      <c r="B904" s="2" t="n">
        <v>46095</v>
      </c>
      <c r="C904" s="8" t="inlineStr">
        <is>
          <t>Westminster Varsity Owls</t>
        </is>
      </c>
      <c r="D904" s="8" t="inlineStr">
        <is>
          <t>CNTN</t>
        </is>
      </c>
      <c r="E904" s="8" t="inlineStr">
        <is>
          <t>A Gauthier</t>
        </is>
      </c>
      <c r="F904" s="8" t="n">
        <v>2</v>
      </c>
      <c r="G904" s="8" t="n">
        <v>1</v>
      </c>
      <c r="H904" s="8" t="n">
        <v>0</v>
      </c>
      <c r="I904" s="8" t="n">
        <v>0</v>
      </c>
      <c r="J904" s="8" t="n">
        <v>0</v>
      </c>
      <c r="K904" s="8" t="n">
        <v>0</v>
      </c>
      <c r="L904" s="8" t="n">
        <v>0</v>
      </c>
      <c r="M904" s="8" t="n">
        <v>1</v>
      </c>
      <c r="N904" s="8" t="n">
        <v>0</v>
      </c>
      <c r="O904" s="8" t="n">
        <v>1</v>
      </c>
      <c r="P904" s="8" t="n">
        <v>0</v>
      </c>
      <c r="Q904" s="8" t="n">
        <v>1</v>
      </c>
      <c r="R904" s="8" t="n">
        <v>0</v>
      </c>
      <c r="S904" s="8" t="n">
        <v>0</v>
      </c>
      <c r="T904" s="8" t="n">
        <v>1</v>
      </c>
      <c r="U904" s="8" t="n">
        <v>0</v>
      </c>
      <c r="V904" s="8" t="n">
        <v>0</v>
      </c>
      <c r="W904" s="8" t="n">
        <v>0</v>
      </c>
      <c r="X904" s="8" t="n">
        <v>0</v>
      </c>
      <c r="Y904" s="8" t="inlineStr">
        <is>
          <t>K_S T1 (play #1); BB T3 (play #18); SB 2nd T3 (embedded play #19 Sec4, E Rayne GO AB)</t>
        </is>
      </c>
    </row>
    <row r="905" ht="15.75" customHeight="1" s="35">
      <c r="A905" s="8" t="inlineStr">
        <is>
          <t>2026-03-14_CNTN_at_WSTM</t>
        </is>
      </c>
      <c r="B905" s="2" t="n">
        <v>46095</v>
      </c>
      <c r="C905" s="8" t="inlineStr">
        <is>
          <t>Westminster Varsity Owls</t>
        </is>
      </c>
      <c r="D905" s="8" t="inlineStr">
        <is>
          <t>CNTN</t>
        </is>
      </c>
      <c r="E905" s="8" t="inlineStr">
        <is>
          <t>E Rayne</t>
        </is>
      </c>
      <c r="F905" s="8" t="n">
        <v>2</v>
      </c>
      <c r="G905" s="8" t="n">
        <v>2</v>
      </c>
      <c r="H905" s="8" t="n">
        <v>0</v>
      </c>
      <c r="I905" s="8" t="n">
        <v>0</v>
      </c>
      <c r="J905" s="8" t="n">
        <v>0</v>
      </c>
      <c r="K905" s="8" t="n">
        <v>0</v>
      </c>
      <c r="L905" s="8" t="n">
        <v>0</v>
      </c>
      <c r="M905" s="8" t="n">
        <v>0</v>
      </c>
      <c r="N905" s="8" t="n">
        <v>0</v>
      </c>
      <c r="O905" s="8" t="n">
        <v>0</v>
      </c>
      <c r="P905" s="8" t="n">
        <v>0</v>
      </c>
      <c r="Q905" s="8" t="n">
        <v>0</v>
      </c>
      <c r="R905" s="8" t="n">
        <v>0</v>
      </c>
      <c r="S905" s="8" t="n">
        <v>0</v>
      </c>
      <c r="T905" s="8" t="n">
        <v>0</v>
      </c>
      <c r="U905" s="8" t="n">
        <v>0</v>
      </c>
      <c r="V905" s="8" t="n">
        <v>0</v>
      </c>
      <c r="W905" s="8" t="n">
        <v>0</v>
      </c>
      <c r="X905" s="8" t="n">
        <v>0</v>
      </c>
      <c r="Y905" s="8" t="inlineStr">
        <is>
          <t>GO T1 (play #2); GO T3 (play #19)</t>
        </is>
      </c>
    </row>
    <row r="906" ht="15.75" customHeight="1" s="35">
      <c r="A906" s="8" t="inlineStr">
        <is>
          <t>2026-03-14_CNTN_at_WSTM</t>
        </is>
      </c>
      <c r="B906" s="2" t="n">
        <v>46095</v>
      </c>
      <c r="C906" s="8" t="inlineStr">
        <is>
          <t>Westminster Varsity Owls</t>
        </is>
      </c>
      <c r="D906" s="8" t="inlineStr">
        <is>
          <t>CNTN</t>
        </is>
      </c>
      <c r="E906" s="8" t="inlineStr">
        <is>
          <t>C Bade</t>
        </is>
      </c>
      <c r="F906" s="8" t="n">
        <v>2</v>
      </c>
      <c r="G906" s="8" t="n">
        <v>1</v>
      </c>
      <c r="H906" s="8" t="n">
        <v>1</v>
      </c>
      <c r="I906" s="8" t="n">
        <v>1</v>
      </c>
      <c r="J906" s="8" t="n">
        <v>0</v>
      </c>
      <c r="K906" s="8" t="n">
        <v>0</v>
      </c>
      <c r="L906" s="8" t="n">
        <v>0</v>
      </c>
      <c r="M906" s="8" t="n">
        <v>1</v>
      </c>
      <c r="N906" s="8" t="n">
        <v>0</v>
      </c>
      <c r="O906" s="8" t="n">
        <v>0</v>
      </c>
      <c r="P906" s="8" t="n">
        <v>0</v>
      </c>
      <c r="Q906" s="8" t="n">
        <v>0</v>
      </c>
      <c r="R906" s="8" t="n">
        <v>1</v>
      </c>
      <c r="S906" s="8" t="n">
        <v>0</v>
      </c>
      <c r="T906" s="8" t="n">
        <v>1</v>
      </c>
      <c r="U906" s="8" t="n">
        <v>0</v>
      </c>
      <c r="V906" s="8" t="n">
        <v>0</v>
      </c>
      <c r="W906" s="8" t="n">
        <v>0</v>
      </c>
      <c r="X906" s="8" t="n">
        <v>0</v>
      </c>
      <c r="Y906" s="8" t="inlineStr">
        <is>
          <t>1B T1 (play #3); BB T4 (play #28); SB 2nd T4 (embedded play #30 Sec4); R T4 play #31 (scores on PB during C Stachera AB — no RBI; PB not in Pitching schema)</t>
        </is>
      </c>
    </row>
    <row r="907" ht="15.75" customHeight="1" s="35">
      <c r="A907" s="8" t="inlineStr">
        <is>
          <t>2026-03-14_CNTN_at_WSTM</t>
        </is>
      </c>
      <c r="B907" s="2" t="n">
        <v>46095</v>
      </c>
      <c r="C907" s="8" t="inlineStr">
        <is>
          <t>Westminster Varsity Owls</t>
        </is>
      </c>
      <c r="D907" s="8" t="inlineStr">
        <is>
          <t>CNTN</t>
        </is>
      </c>
      <c r="E907" s="8" t="inlineStr">
        <is>
          <t>A Banks</t>
        </is>
      </c>
      <c r="F907" s="8" t="n">
        <v>2</v>
      </c>
      <c r="G907" s="8" t="n">
        <v>2</v>
      </c>
      <c r="H907" s="8" t="n">
        <v>0</v>
      </c>
      <c r="I907" s="8" t="n">
        <v>0</v>
      </c>
      <c r="J907" s="8" t="n">
        <v>0</v>
      </c>
      <c r="K907" s="8" t="n">
        <v>0</v>
      </c>
      <c r="L907" s="8" t="n">
        <v>0</v>
      </c>
      <c r="M907" s="8" t="n">
        <v>0</v>
      </c>
      <c r="N907" s="8" t="n">
        <v>0</v>
      </c>
      <c r="O907" s="8" t="n">
        <v>0</v>
      </c>
      <c r="P907" s="8" t="n">
        <v>0</v>
      </c>
      <c r="Q907" s="8" t="n">
        <v>0</v>
      </c>
      <c r="R907" s="8" t="n">
        <v>0</v>
      </c>
      <c r="S907" s="8" t="n">
        <v>0</v>
      </c>
      <c r="T907" s="8" t="n">
        <v>0</v>
      </c>
      <c r="U907" s="8" t="n">
        <v>0</v>
      </c>
      <c r="V907" s="8" t="n">
        <v>0</v>
      </c>
      <c r="W907" s="8" t="n">
        <v>0</v>
      </c>
      <c r="X907" s="8" t="n">
        <v>0</v>
      </c>
      <c r="Y907" s="8" t="inlineStr">
        <is>
          <t>PO T1 (play #4); PO T4 (play #29)</t>
        </is>
      </c>
    </row>
    <row r="908" ht="15.75" customHeight="1" s="35">
      <c r="A908" s="8" t="inlineStr">
        <is>
          <t>2026-03-14_CNTN_at_WSTM</t>
        </is>
      </c>
      <c r="B908" s="2" t="n">
        <v>46095</v>
      </c>
      <c r="C908" s="8" t="inlineStr">
        <is>
          <t>Westminster Varsity Owls</t>
        </is>
      </c>
      <c r="D908" s="8" t="inlineStr">
        <is>
          <t>CNTN</t>
        </is>
      </c>
      <c r="E908" s="8" t="inlineStr">
        <is>
          <t>B Harris</t>
        </is>
      </c>
      <c r="F908" s="8" t="n">
        <v>2</v>
      </c>
      <c r="G908" s="8" t="n">
        <v>2</v>
      </c>
      <c r="H908" s="8" t="n">
        <v>0</v>
      </c>
      <c r="I908" s="8" t="n">
        <v>0</v>
      </c>
      <c r="J908" s="8" t="n">
        <v>0</v>
      </c>
      <c r="K908" s="8" t="n">
        <v>0</v>
      </c>
      <c r="L908" s="8" t="n">
        <v>0</v>
      </c>
      <c r="M908" s="8" t="n">
        <v>0</v>
      </c>
      <c r="N908" s="8" t="n">
        <v>0</v>
      </c>
      <c r="O908" s="8" t="n">
        <v>0</v>
      </c>
      <c r="P908" s="8" t="n">
        <v>0</v>
      </c>
      <c r="Q908" s="8" t="n">
        <v>0</v>
      </c>
      <c r="R908" s="8" t="n">
        <v>0</v>
      </c>
      <c r="S908" s="8" t="n">
        <v>0</v>
      </c>
      <c r="T908" s="8" t="n">
        <v>0</v>
      </c>
      <c r="U908" s="8" t="n">
        <v>0</v>
      </c>
      <c r="V908" s="8" t="n">
        <v>0</v>
      </c>
      <c r="W908" s="8" t="n">
        <v>0</v>
      </c>
      <c r="X908" s="8" t="n">
        <v>0</v>
      </c>
      <c r="Y908" s="8" t="inlineStr">
        <is>
          <t>GO T2 (play #8); GO T4 (play #30); catcher B Harris committed CNTN Error #1 (play #14 embedded, B2)</t>
        </is>
      </c>
    </row>
    <row r="909" ht="15.75" customHeight="1" s="35">
      <c r="A909" s="8" t="inlineStr">
        <is>
          <t>2026-03-14_CNTN_at_WSTM</t>
        </is>
      </c>
      <c r="B909" s="2" t="n">
        <v>46095</v>
      </c>
      <c r="C909" s="8" t="inlineStr">
        <is>
          <t>Westminster Varsity Owls</t>
        </is>
      </c>
      <c r="D909" s="8" t="inlineStr">
        <is>
          <t>CNTN</t>
        </is>
      </c>
      <c r="E909" s="8" t="inlineStr">
        <is>
          <t>C Stachera</t>
        </is>
      </c>
      <c r="F909" s="8" t="n">
        <v>2</v>
      </c>
      <c r="G909" s="8" t="n">
        <v>2</v>
      </c>
      <c r="H909" s="8" t="n">
        <v>0</v>
      </c>
      <c r="I909" s="8" t="n">
        <v>0</v>
      </c>
      <c r="J909" s="8" t="n">
        <v>0</v>
      </c>
      <c r="K909" s="8" t="n">
        <v>0</v>
      </c>
      <c r="L909" s="8" t="n">
        <v>0</v>
      </c>
      <c r="M909" s="8" t="n">
        <v>0</v>
      </c>
      <c r="N909" s="8" t="n">
        <v>0</v>
      </c>
      <c r="O909" s="8" t="n">
        <v>1</v>
      </c>
      <c r="P909" s="8" t="n">
        <v>1</v>
      </c>
      <c r="Q909" s="8" t="n">
        <v>0</v>
      </c>
      <c r="R909" s="8" t="n">
        <v>0</v>
      </c>
      <c r="S909" s="8" t="n">
        <v>0</v>
      </c>
      <c r="T909" s="8" t="n">
        <v>0</v>
      </c>
      <c r="U909" s="8" t="n">
        <v>0</v>
      </c>
      <c r="V909" s="8" t="n">
        <v>0</v>
      </c>
      <c r="W909" s="8" t="n">
        <v>0</v>
      </c>
      <c r="X909" s="8" t="n">
        <v>0</v>
      </c>
      <c r="Y909" s="8" t="inlineStr">
        <is>
          <t>PO T2 (play #9); K_S T4 (play #31); C Bade scores on PB during K AB — no RBI; C Stachera also pitches B1 (Flag #1)</t>
        </is>
      </c>
    </row>
    <row r="910" ht="15.75" customHeight="1" s="35">
      <c r="A910" s="8" t="inlineStr">
        <is>
          <t>2026-03-14_CNTN_at_WSTM</t>
        </is>
      </c>
      <c r="B910" s="2" t="n">
        <v>46095</v>
      </c>
      <c r="C910" s="8" t="inlineStr">
        <is>
          <t>Westminster Varsity Owls</t>
        </is>
      </c>
      <c r="D910" s="8" t="inlineStr">
        <is>
          <t>CNTN</t>
        </is>
      </c>
      <c r="E910" s="8" t="inlineStr">
        <is>
          <t>L Choe</t>
        </is>
      </c>
      <c r="F910" s="8" t="n">
        <v>2</v>
      </c>
      <c r="G910" s="8" t="n">
        <v>2</v>
      </c>
      <c r="H910" s="8" t="n">
        <v>0</v>
      </c>
      <c r="I910" s="8" t="n">
        <v>0</v>
      </c>
      <c r="J910" s="8" t="n">
        <v>0</v>
      </c>
      <c r="K910" s="8" t="n">
        <v>0</v>
      </c>
      <c r="L910" s="8" t="n">
        <v>0</v>
      </c>
      <c r="M910" s="8" t="n">
        <v>0</v>
      </c>
      <c r="N910" s="8" t="n">
        <v>0</v>
      </c>
      <c r="O910" s="8" t="n">
        <v>0</v>
      </c>
      <c r="P910" s="8" t="n">
        <v>0</v>
      </c>
      <c r="Q910" s="8" t="n">
        <v>0</v>
      </c>
      <c r="R910" s="8" t="n">
        <v>0</v>
      </c>
      <c r="S910" s="8" t="n">
        <v>0</v>
      </c>
      <c r="T910" s="8" t="n">
        <v>0</v>
      </c>
      <c r="U910" s="8" t="n">
        <v>0</v>
      </c>
      <c r="V910" s="8" t="n">
        <v>0</v>
      </c>
      <c r="W910" s="8" t="n">
        <v>0</v>
      </c>
      <c r="X910" s="8" t="n">
        <v>0</v>
      </c>
      <c r="Y910" s="8" t="inlineStr">
        <is>
          <t>GO T2 (play #10); GO T5 (play #36)</t>
        </is>
      </c>
    </row>
    <row r="911" ht="15.75" customHeight="1" s="35">
      <c r="A911" s="8" t="inlineStr">
        <is>
          <t>2026-03-14_CNTN_at_WSTM</t>
        </is>
      </c>
      <c r="B911" s="2" t="n">
        <v>46095</v>
      </c>
      <c r="C911" s="8" t="inlineStr">
        <is>
          <t>Westminster Varsity Owls</t>
        </is>
      </c>
      <c r="D911" s="8" t="inlineStr">
        <is>
          <t>CNTN</t>
        </is>
      </c>
      <c r="E911" s="8" t="inlineStr">
        <is>
          <t>C Proescher</t>
        </is>
      </c>
      <c r="F911" s="8" t="n">
        <v>2</v>
      </c>
      <c r="G911" s="8" t="n">
        <v>2</v>
      </c>
      <c r="H911" s="8" t="n">
        <v>0</v>
      </c>
      <c r="I911" s="8" t="n">
        <v>0</v>
      </c>
      <c r="J911" s="8" t="n">
        <v>0</v>
      </c>
      <c r="K911" s="8" t="n">
        <v>0</v>
      </c>
      <c r="L911" s="8" t="n">
        <v>0</v>
      </c>
      <c r="M911" s="8" t="n">
        <v>0</v>
      </c>
      <c r="N911" s="8" t="n">
        <v>0</v>
      </c>
      <c r="O911" s="8" t="n">
        <v>1</v>
      </c>
      <c r="P911" s="8" t="n">
        <v>1</v>
      </c>
      <c r="Q911" s="8" t="n">
        <v>0</v>
      </c>
      <c r="R911" s="8" t="n">
        <v>0</v>
      </c>
      <c r="S911" s="8" t="n">
        <v>0</v>
      </c>
      <c r="T911" s="8" t="n">
        <v>0</v>
      </c>
      <c r="U911" s="8" t="n">
        <v>0</v>
      </c>
      <c r="V911" s="8" t="n">
        <v>0</v>
      </c>
      <c r="W911" s="8" t="n">
        <v>0</v>
      </c>
      <c r="X911" s="8" t="n">
        <v>0</v>
      </c>
      <c r="Y911" s="8" t="inlineStr">
        <is>
          <t>K_L T3 (play #16); GO T5 (play #37); C Proescher also pitches B3 (Error #2, balk during B3)</t>
        </is>
      </c>
    </row>
    <row r="912" ht="15.75" customHeight="1" s="35">
      <c r="A912" s="8" t="inlineStr">
        <is>
          <t>2026-03-14_CNTN_at_WSTM</t>
        </is>
      </c>
      <c r="B912" s="2" t="n">
        <v>46095</v>
      </c>
      <c r="C912" s="8" t="inlineStr">
        <is>
          <t>Westminster Varsity Owls</t>
        </is>
      </c>
      <c r="D912" s="8" t="inlineStr">
        <is>
          <t>CNTN</t>
        </is>
      </c>
      <c r="E912" s="8" t="inlineStr">
        <is>
          <t>B Johnston</t>
        </is>
      </c>
      <c r="F912" s="8" t="n">
        <v>2</v>
      </c>
      <c r="G912" s="8" t="n">
        <v>2</v>
      </c>
      <c r="H912" s="8" t="n">
        <v>0</v>
      </c>
      <c r="I912" s="8" t="n">
        <v>0</v>
      </c>
      <c r="J912" s="8" t="n">
        <v>0</v>
      </c>
      <c r="K912" s="8" t="n">
        <v>0</v>
      </c>
      <c r="L912" s="8" t="n">
        <v>0</v>
      </c>
      <c r="M912" s="8" t="n">
        <v>0</v>
      </c>
      <c r="N912" s="8" t="n">
        <v>0</v>
      </c>
      <c r="O912" s="8" t="n">
        <v>1</v>
      </c>
      <c r="P912" s="8" t="n">
        <v>1</v>
      </c>
      <c r="Q912" s="8" t="n">
        <v>0</v>
      </c>
      <c r="R912" s="8" t="n">
        <v>0</v>
      </c>
      <c r="S912" s="8" t="n">
        <v>0</v>
      </c>
      <c r="T912" s="8" t="n">
        <v>0</v>
      </c>
      <c r="U912" s="8" t="n">
        <v>0</v>
      </c>
      <c r="V912" s="8" t="n">
        <v>0</v>
      </c>
      <c r="W912" s="8" t="n">
        <v>0</v>
      </c>
      <c r="X912" s="8" t="n">
        <v>0</v>
      </c>
      <c r="Y912" s="8" t="inlineStr">
        <is>
          <t>K_L T3 (play #17); GO T5 (play #38); B Johnston also pitches B6</t>
        </is>
      </c>
    </row>
    <row r="913" ht="15.75" customHeight="1" s="35">
      <c r="A913" s="8" t="inlineStr">
        <is>
          <t>2026-03-14_CNTN_at_WSTM</t>
        </is>
      </c>
      <c r="B913" s="2" t="n">
        <v>46095</v>
      </c>
      <c r="C913" s="8" t="inlineStr">
        <is>
          <t>Westminster Varsity Owls</t>
        </is>
      </c>
      <c r="D913" s="8" t="inlineStr">
        <is>
          <t>CNTN</t>
        </is>
      </c>
      <c r="E913" s="8" t="inlineStr">
        <is>
          <t>B Corrao</t>
        </is>
      </c>
      <c r="F913" s="8" t="n">
        <v>1</v>
      </c>
      <c r="G913" s="8" t="n">
        <v>1</v>
      </c>
      <c r="H913" s="8" t="n">
        <v>1</v>
      </c>
      <c r="I913" s="8" t="n">
        <v>1</v>
      </c>
      <c r="J913" s="8" t="n">
        <v>0</v>
      </c>
      <c r="K913" s="8" t="n">
        <v>0</v>
      </c>
      <c r="L913" s="8" t="n">
        <v>0</v>
      </c>
      <c r="M913" s="8" t="n">
        <v>0</v>
      </c>
      <c r="N913" s="8" t="n">
        <v>0</v>
      </c>
      <c r="O913" s="8" t="n">
        <v>0</v>
      </c>
      <c r="P913" s="8" t="n">
        <v>0</v>
      </c>
      <c r="Q913" s="8" t="n">
        <v>0</v>
      </c>
      <c r="R913" s="8" t="n">
        <v>0</v>
      </c>
      <c r="S913" s="8" t="n">
        <v>0</v>
      </c>
      <c r="T913" s="8" t="n">
        <v>1</v>
      </c>
      <c r="U913" s="8" t="n">
        <v>0</v>
      </c>
      <c r="V913" s="8" t="n">
        <v>0</v>
      </c>
      <c r="W913" s="8" t="n">
        <v>0</v>
      </c>
      <c r="X913" s="8" t="n">
        <v>0</v>
      </c>
      <c r="Y913" s="8" t="inlineStr">
        <is>
          <t>Mid-AB sub for A Gauthier T6 (play #43 note); 1B T6 (play #43); SB 3rd T6 (embedded play #46 Sec4, A Lee K AB)</t>
        </is>
      </c>
    </row>
    <row r="914" ht="15.75" customHeight="1" s="35">
      <c r="A914" s="8" t="inlineStr">
        <is>
          <t>2026-03-14_CNTN_at_WSTM</t>
        </is>
      </c>
      <c r="B914" s="2" t="n">
        <v>46095</v>
      </c>
      <c r="C914" s="8" t="inlineStr">
        <is>
          <t>Westminster Varsity Owls</t>
        </is>
      </c>
      <c r="D914" s="8" t="inlineStr">
        <is>
          <t>CNTN</t>
        </is>
      </c>
      <c r="E914" s="8" t="inlineStr">
        <is>
          <t>D Hill</t>
        </is>
      </c>
      <c r="F914" s="8" t="n">
        <v>1</v>
      </c>
      <c r="G914" s="8" t="n">
        <v>1</v>
      </c>
      <c r="H914" s="8" t="n">
        <v>0</v>
      </c>
      <c r="I914" s="8" t="n">
        <v>0</v>
      </c>
      <c r="J914" s="8" t="n">
        <v>0</v>
      </c>
      <c r="K914" s="8" t="n">
        <v>0</v>
      </c>
      <c r="L914" s="8" t="n">
        <v>0</v>
      </c>
      <c r="M914" s="8" t="n">
        <v>0</v>
      </c>
      <c r="N914" s="8" t="n">
        <v>0</v>
      </c>
      <c r="O914" s="8" t="n">
        <v>0</v>
      </c>
      <c r="P914" s="8" t="n">
        <v>0</v>
      </c>
      <c r="Q914" s="8" t="n">
        <v>0</v>
      </c>
      <c r="R914" s="8" t="n">
        <v>0</v>
      </c>
      <c r="S914" s="8" t="n">
        <v>0</v>
      </c>
      <c r="T914" s="8" t="n">
        <v>0</v>
      </c>
      <c r="U914" s="8" t="n">
        <v>0</v>
      </c>
      <c r="V914" s="8" t="n">
        <v>0</v>
      </c>
      <c r="W914" s="8" t="n">
        <v>0</v>
      </c>
      <c r="X914" s="8" t="n">
        <v>0</v>
      </c>
      <c r="Y914" s="8" t="inlineStr">
        <is>
          <t>GO T6 (play #44)</t>
        </is>
      </c>
    </row>
    <row r="915" ht="15.75" customHeight="1" s="35">
      <c r="A915" s="8" t="inlineStr">
        <is>
          <t>2026-03-14_CNTN_at_WSTM</t>
        </is>
      </c>
      <c r="B915" s="2" t="n">
        <v>46095</v>
      </c>
      <c r="C915" s="8" t="inlineStr">
        <is>
          <t>Westminster Varsity Owls</t>
        </is>
      </c>
      <c r="D915" s="8" t="inlineStr">
        <is>
          <t>CNTN</t>
        </is>
      </c>
      <c r="E915" s="8" t="inlineStr">
        <is>
          <t>A Barrett</t>
        </is>
      </c>
      <c r="F915" s="8" t="n">
        <v>1</v>
      </c>
      <c r="G915" s="8" t="n">
        <v>1</v>
      </c>
      <c r="H915" s="8" t="n">
        <v>0</v>
      </c>
      <c r="I915" s="8" t="n">
        <v>0</v>
      </c>
      <c r="J915" s="8" t="n">
        <v>0</v>
      </c>
      <c r="K915" s="8" t="n">
        <v>0</v>
      </c>
      <c r="L915" s="8" t="n">
        <v>0</v>
      </c>
      <c r="M915" s="8" t="n">
        <v>0</v>
      </c>
      <c r="N915" s="8" t="n">
        <v>0</v>
      </c>
      <c r="O915" s="8" t="n">
        <v>1</v>
      </c>
      <c r="P915" s="8" t="n">
        <v>0</v>
      </c>
      <c r="Q915" s="8" t="n">
        <v>1</v>
      </c>
      <c r="R915" s="8" t="n">
        <v>0</v>
      </c>
      <c r="S915" s="8" t="n">
        <v>0</v>
      </c>
      <c r="T915" s="8" t="n">
        <v>0</v>
      </c>
      <c r="U915" s="8" t="n">
        <v>0</v>
      </c>
      <c r="V915" s="8" t="n">
        <v>0</v>
      </c>
      <c r="W915" s="8" t="n">
        <v>0</v>
      </c>
      <c r="X915" s="8" t="n">
        <v>0</v>
      </c>
      <c r="Y915" s="8" t="inlineStr">
        <is>
          <t>K_S T6 (play #45, Sec4 Strike 3 swinging); W Shepperd pitching (Flag #2); A Barrett also pitches B4 (CNTN Error #4, WP)</t>
        </is>
      </c>
    </row>
    <row r="916" ht="15.75" customHeight="1" s="35">
      <c r="A916" s="8" t="inlineStr">
        <is>
          <t>2026-03-14_CNTN_at_WSTM</t>
        </is>
      </c>
      <c r="B916" s="2" t="n">
        <v>46095</v>
      </c>
      <c r="C916" s="8" t="inlineStr">
        <is>
          <t>Westminster Varsity Owls</t>
        </is>
      </c>
      <c r="D916" s="8" t="inlineStr">
        <is>
          <t>CNTN</t>
        </is>
      </c>
      <c r="E916" s="8" t="inlineStr">
        <is>
          <t>A Lee</t>
        </is>
      </c>
      <c r="F916" s="8" t="n">
        <v>1</v>
      </c>
      <c r="G916" s="8" t="n">
        <v>1</v>
      </c>
      <c r="H916" s="8" t="n">
        <v>0</v>
      </c>
      <c r="I916" s="8" t="n">
        <v>0</v>
      </c>
      <c r="J916" s="8" t="n">
        <v>0</v>
      </c>
      <c r="K916" s="8" t="n">
        <v>0</v>
      </c>
      <c r="L916" s="8" t="n">
        <v>0</v>
      </c>
      <c r="M916" s="8" t="n">
        <v>0</v>
      </c>
      <c r="N916" s="8" t="n">
        <v>0</v>
      </c>
      <c r="O916" s="8" t="n">
        <v>1</v>
      </c>
      <c r="P916" s="8" t="n">
        <v>0</v>
      </c>
      <c r="Q916" s="8" t="n">
        <v>1</v>
      </c>
      <c r="R916" s="8" t="n">
        <v>0</v>
      </c>
      <c r="S916" s="8" t="n">
        <v>0</v>
      </c>
      <c r="T916" s="8" t="n">
        <v>0</v>
      </c>
      <c r="U916" s="8" t="n">
        <v>0</v>
      </c>
      <c r="V916" s="8" t="n">
        <v>0</v>
      </c>
      <c r="W916" s="8" t="n">
        <v>0</v>
      </c>
      <c r="X916" s="8" t="n">
        <v>0</v>
      </c>
      <c r="Y916" s="8" t="inlineStr">
        <is>
          <t>K_S T6 (play #46, Sec4 Strike 3 swinging); B Corrao steals 3rd during AB; A Lee also pitches B2</t>
        </is>
      </c>
    </row>
    <row r="917" ht="15.75" customHeight="1" s="35">
      <c r="A917" s="8" t="inlineStr">
        <is>
          <t>2026-03-14_CNTN_at_WSTM</t>
        </is>
      </c>
      <c r="B917" s="2" t="n">
        <v>46095</v>
      </c>
      <c r="C917" s="8" t="inlineStr">
        <is>
          <t>Westminster Varsity Owls</t>
        </is>
      </c>
      <c r="D917" s="8" t="inlineStr">
        <is>
          <t>CNTN</t>
        </is>
      </c>
      <c r="E917" s="8" t="inlineStr">
        <is>
          <t>E Ogg</t>
        </is>
      </c>
      <c r="F917" s="8" t="n">
        <v>1</v>
      </c>
      <c r="G917" s="8" t="n">
        <v>1</v>
      </c>
      <c r="H917" s="8" t="n">
        <v>0</v>
      </c>
      <c r="I917" s="8" t="n">
        <v>0</v>
      </c>
      <c r="J917" s="8" t="n">
        <v>0</v>
      </c>
      <c r="K917" s="8" t="n">
        <v>0</v>
      </c>
      <c r="L917" s="8" t="n">
        <v>0</v>
      </c>
      <c r="M917" s="8" t="n">
        <v>0</v>
      </c>
      <c r="N917" s="8" t="n">
        <v>0</v>
      </c>
      <c r="O917" s="8" t="n">
        <v>1</v>
      </c>
      <c r="P917" s="8" t="n">
        <v>0</v>
      </c>
      <c r="Q917" s="8" t="n">
        <v>1</v>
      </c>
      <c r="R917" s="8" t="n">
        <v>0</v>
      </c>
      <c r="S917" s="8" t="n">
        <v>0</v>
      </c>
      <c r="T917" s="8" t="n">
        <v>0</v>
      </c>
      <c r="U917" s="8" t="n">
        <v>0</v>
      </c>
      <c r="V917" s="8" t="n">
        <v>0</v>
      </c>
      <c r="W917" s="8" t="n">
        <v>0</v>
      </c>
      <c r="X917" s="8" t="n">
        <v>0</v>
      </c>
      <c r="Y917" s="8" t="inlineStr">
        <is>
          <t>K_S T7 (play #51, Sec4 Strike 3 swinging); O Brilhart pitching</t>
        </is>
      </c>
    </row>
    <row r="918" ht="15.75" customHeight="1" s="35">
      <c r="A918" s="8" t="inlineStr">
        <is>
          <t>2026-03-14_CNTN_at_WSTM</t>
        </is>
      </c>
      <c r="B918" s="2" t="n">
        <v>46095</v>
      </c>
      <c r="C918" s="8" t="inlineStr">
        <is>
          <t>Westminster Varsity Owls</t>
        </is>
      </c>
      <c r="D918" s="8" t="inlineStr">
        <is>
          <t>CNTN</t>
        </is>
      </c>
      <c r="E918" s="8" t="inlineStr">
        <is>
          <t>L Rivkin</t>
        </is>
      </c>
      <c r="F918" s="8" t="n">
        <v>1</v>
      </c>
      <c r="G918" s="8" t="n">
        <v>1</v>
      </c>
      <c r="H918" s="8" t="n">
        <v>0</v>
      </c>
      <c r="I918" s="8" t="n">
        <v>0</v>
      </c>
      <c r="J918" s="8" t="n">
        <v>0</v>
      </c>
      <c r="K918" s="8" t="n">
        <v>0</v>
      </c>
      <c r="L918" s="8" t="n">
        <v>0</v>
      </c>
      <c r="M918" s="8" t="n">
        <v>0</v>
      </c>
      <c r="N918" s="8" t="n">
        <v>0</v>
      </c>
      <c r="O918" s="8" t="n">
        <v>0</v>
      </c>
      <c r="P918" s="8" t="n">
        <v>0</v>
      </c>
      <c r="Q918" s="8" t="n">
        <v>0</v>
      </c>
      <c r="R918" s="8" t="n">
        <v>0</v>
      </c>
      <c r="S918" s="8" t="n">
        <v>0</v>
      </c>
      <c r="T918" s="8" t="n">
        <v>0</v>
      </c>
      <c r="U918" s="8" t="n">
        <v>0</v>
      </c>
      <c r="V918" s="8" t="n">
        <v>0</v>
      </c>
      <c r="W918" s="8" t="n">
        <v>0</v>
      </c>
      <c r="X918" s="8" t="n">
        <v>0</v>
      </c>
      <c r="Y918" s="8" t="inlineStr">
        <is>
          <t>LO T7 (play #52); scorer alternate spelling "Livkin" — recorded as "L Rivkin" per play-log name</t>
        </is>
      </c>
    </row>
    <row r="919" ht="15.75" customHeight="1" s="35">
      <c r="A919" s="8" t="inlineStr">
        <is>
          <t>2026-03-14_CNTN_at_WSTM</t>
        </is>
      </c>
      <c r="B919" s="2" t="n">
        <v>46095</v>
      </c>
      <c r="C919" s="8" t="inlineStr">
        <is>
          <t>Westminster Varsity Owls</t>
        </is>
      </c>
      <c r="D919" s="8" t="inlineStr">
        <is>
          <t>CNTN</t>
        </is>
      </c>
      <c r="E919" s="8" t="inlineStr">
        <is>
          <t>W Sisolak</t>
        </is>
      </c>
      <c r="F919" s="8" t="n">
        <v>1</v>
      </c>
      <c r="G919" s="8" t="n">
        <v>1</v>
      </c>
      <c r="H919" s="8" t="n">
        <v>0</v>
      </c>
      <c r="I919" s="8" t="n">
        <v>0</v>
      </c>
      <c r="J919" s="8" t="n">
        <v>0</v>
      </c>
      <c r="K919" s="8" t="n">
        <v>0</v>
      </c>
      <c r="L919" s="8" t="n">
        <v>0</v>
      </c>
      <c r="M919" s="8" t="n">
        <v>0</v>
      </c>
      <c r="N919" s="8" t="n">
        <v>0</v>
      </c>
      <c r="O919" s="8" t="n">
        <v>1</v>
      </c>
      <c r="P919" s="8" t="n">
        <v>1</v>
      </c>
      <c r="Q919" s="8" t="n">
        <v>0</v>
      </c>
      <c r="R919" s="8" t="n">
        <v>0</v>
      </c>
      <c r="S919" s="8" t="n">
        <v>0</v>
      </c>
      <c r="T919" s="8" t="n">
        <v>0</v>
      </c>
      <c r="U919" s="8" t="n">
        <v>0</v>
      </c>
      <c r="V919" s="8" t="n">
        <v>0</v>
      </c>
      <c r="W919" s="8" t="n">
        <v>0</v>
      </c>
      <c r="X919" s="8" t="n">
        <v>0</v>
      </c>
      <c r="Y919" s="8" t="inlineStr">
        <is>
          <t>K_L T7 (play #53, Sec4 Strike 3 looking)</t>
        </is>
      </c>
    </row>
    <row r="920" ht="15.75" customHeight="1" s="35">
      <c r="A920" s="8" t="inlineStr">
        <is>
          <t>2026-03-14_CNTN_at_WSTM</t>
        </is>
      </c>
      <c r="B920" s="2" t="n">
        <v>46095</v>
      </c>
      <c r="C920" s="8" t="inlineStr">
        <is>
          <t>Centennial Varsity Eagles</t>
        </is>
      </c>
      <c r="D920" s="8" t="inlineStr">
        <is>
          <t>WSTM</t>
        </is>
      </c>
      <c r="E920" s="8" t="inlineStr">
        <is>
          <t>C Stultz</t>
        </is>
      </c>
      <c r="F920" s="8" t="n">
        <v>4</v>
      </c>
      <c r="G920" s="8" t="n">
        <v>3</v>
      </c>
      <c r="H920" s="8" t="n">
        <v>0</v>
      </c>
      <c r="I920" s="8" t="n">
        <v>0</v>
      </c>
      <c r="J920" s="8" t="n">
        <v>0</v>
      </c>
      <c r="K920" s="8" t="n">
        <v>0</v>
      </c>
      <c r="L920" s="8" t="n">
        <v>0</v>
      </c>
      <c r="M920" s="8" t="n">
        <v>1</v>
      </c>
      <c r="N920" s="8" t="n">
        <v>0</v>
      </c>
      <c r="O920" s="8" t="n">
        <v>2</v>
      </c>
      <c r="P920" s="8" t="n">
        <v>1</v>
      </c>
      <c r="Q920" s="8" t="n">
        <v>1</v>
      </c>
      <c r="R920" s="8" t="n">
        <v>1</v>
      </c>
      <c r="S920" s="8" t="n">
        <v>0</v>
      </c>
      <c r="T920" s="8" t="n">
        <v>0</v>
      </c>
      <c r="U920" s="8" t="n">
        <v>0</v>
      </c>
      <c r="V920" s="8" t="n">
        <v>0</v>
      </c>
      <c r="W920" s="8" t="n">
        <v>0</v>
      </c>
      <c r="X920" s="8" t="n">
        <v>0</v>
      </c>
      <c r="Y920" s="8" t="inlineStr">
        <is>
          <t>GO B1 (play #5); K_L B3 (play #21); BB B4 (play #34); K_S B6 (play #50); C Messier steals 2nd during B6 AB; R B4 play #35 (scores on WP during J Cedeno AB — no RBI)</t>
        </is>
      </c>
    </row>
    <row r="921" ht="15.75" customHeight="1" s="35">
      <c r="A921" s="8" t="inlineStr">
        <is>
          <t>2026-03-14_CNTN_at_WSTM</t>
        </is>
      </c>
      <c r="B921" s="2" t="n">
        <v>46095</v>
      </c>
      <c r="C921" s="8" t="inlineStr">
        <is>
          <t>Centennial Varsity Eagles</t>
        </is>
      </c>
      <c r="D921" s="8" t="inlineStr">
        <is>
          <t>WSTM</t>
        </is>
      </c>
      <c r="E921" s="8" t="inlineStr">
        <is>
          <t>J Cedeno</t>
        </is>
      </c>
      <c r="F921" s="8" t="n">
        <v>3</v>
      </c>
      <c r="G921" s="8" t="n">
        <v>3</v>
      </c>
      <c r="H921" s="8" t="n">
        <v>0</v>
      </c>
      <c r="I921" s="8" t="n">
        <v>0</v>
      </c>
      <c r="J921" s="8" t="n">
        <v>0</v>
      </c>
      <c r="K921" s="8" t="n">
        <v>0</v>
      </c>
      <c r="L921" s="8" t="n">
        <v>0</v>
      </c>
      <c r="M921" s="8" t="n">
        <v>0</v>
      </c>
      <c r="N921" s="8" t="n">
        <v>0</v>
      </c>
      <c r="O921" s="8" t="n">
        <v>3</v>
      </c>
      <c r="P921" s="8" t="n">
        <v>0</v>
      </c>
      <c r="Q921" s="8" t="n">
        <v>3</v>
      </c>
      <c r="R921" s="8" t="n">
        <v>0</v>
      </c>
      <c r="S921" s="8" t="n">
        <v>0</v>
      </c>
      <c r="T921" s="8" t="n">
        <v>0</v>
      </c>
      <c r="U921" s="8" t="n">
        <v>0</v>
      </c>
      <c r="V921" s="8" t="n">
        <v>0</v>
      </c>
      <c r="W921" s="8" t="n">
        <v>0</v>
      </c>
      <c r="X921" s="8" t="n">
        <v>0</v>
      </c>
      <c r="Y921" s="8" t="inlineStr">
        <is>
          <t>K_S B1 (play #6); K_S B3 (play #22); K_S B4 (play #35); B7 play #54 not counted (Flag #5)</t>
        </is>
      </c>
    </row>
    <row r="922" ht="15.75" customHeight="1" s="35">
      <c r="A922" s="8" t="inlineStr">
        <is>
          <t>2026-03-14_CNTN_at_WSTM</t>
        </is>
      </c>
      <c r="B922" s="2" t="n">
        <v>46095</v>
      </c>
      <c r="C922" s="8" t="inlineStr">
        <is>
          <t>Centennial Varsity Eagles</t>
        </is>
      </c>
      <c r="D922" s="8" t="inlineStr">
        <is>
          <t>WSTM</t>
        </is>
      </c>
      <c r="E922" s="8" t="inlineStr">
        <is>
          <t>Paul</t>
        </is>
      </c>
      <c r="F922" s="8" t="n">
        <v>3</v>
      </c>
      <c r="G922" s="8" t="n">
        <v>3</v>
      </c>
      <c r="H922" s="8" t="n">
        <v>0</v>
      </c>
      <c r="I922" s="8" t="n">
        <v>0</v>
      </c>
      <c r="J922" s="8" t="n">
        <v>0</v>
      </c>
      <c r="K922" s="8" t="n">
        <v>0</v>
      </c>
      <c r="L922" s="8" t="n">
        <v>0</v>
      </c>
      <c r="M922" s="8" t="n">
        <v>0</v>
      </c>
      <c r="N922" s="8" t="n">
        <v>0</v>
      </c>
      <c r="O922" s="8" t="n">
        <v>0</v>
      </c>
      <c r="P922" s="8" t="n">
        <v>0</v>
      </c>
      <c r="Q922" s="8" t="n">
        <v>0</v>
      </c>
      <c r="R922" s="8" t="n">
        <v>1</v>
      </c>
      <c r="S922" s="8" t="n">
        <v>0</v>
      </c>
      <c r="T922" s="8" t="n">
        <v>1</v>
      </c>
      <c r="U922" s="8" t="n">
        <v>0</v>
      </c>
      <c r="V922" s="8" t="n">
        <v>0</v>
      </c>
      <c r="W922" s="8" t="n">
        <v>0</v>
      </c>
      <c r="X922" s="8" t="n">
        <v>0</v>
      </c>
      <c r="Y922" s="8" t="inlineStr">
        <is>
          <t>"Paul" is sole identifier (no last name). FO B1 (play #7); Error-ROE B3 (play #23) — not a hit; PO B5 (play #39); SB 2nd B3 (embedded play #24 Sec4); R B3 play #25 (scores on B Barrett 1B)</t>
        </is>
      </c>
    </row>
    <row r="923" ht="15.75" customHeight="1" s="35">
      <c r="A923" s="8" t="inlineStr">
        <is>
          <t>2026-03-14_CNTN_at_WSTM</t>
        </is>
      </c>
      <c r="B923" s="2" t="n">
        <v>46095</v>
      </c>
      <c r="C923" s="8" t="inlineStr">
        <is>
          <t>Centennial Varsity Eagles</t>
        </is>
      </c>
      <c r="D923" s="8" t="inlineStr">
        <is>
          <t>WSTM</t>
        </is>
      </c>
      <c r="E923" s="8" t="inlineStr">
        <is>
          <t>M Stonesifer</t>
        </is>
      </c>
      <c r="F923" s="8" t="n">
        <v>3</v>
      </c>
      <c r="G923" s="8" t="n">
        <v>2</v>
      </c>
      <c r="H923" s="8" t="n">
        <v>0</v>
      </c>
      <c r="I923" s="8" t="n">
        <v>0</v>
      </c>
      <c r="J923" s="8" t="n">
        <v>0</v>
      </c>
      <c r="K923" s="8" t="n">
        <v>0</v>
      </c>
      <c r="L923" s="8" t="n">
        <v>0</v>
      </c>
      <c r="M923" s="8" t="n">
        <v>1</v>
      </c>
      <c r="N923" s="8" t="n">
        <v>0</v>
      </c>
      <c r="O923" s="8" t="n">
        <v>0</v>
      </c>
      <c r="P923" s="8" t="n">
        <v>0</v>
      </c>
      <c r="Q923" s="8" t="n">
        <v>0</v>
      </c>
      <c r="R923" s="8" t="n">
        <v>1</v>
      </c>
      <c r="S923" s="8" t="n">
        <v>0</v>
      </c>
      <c r="T923" s="8" t="n">
        <v>0</v>
      </c>
      <c r="U923" s="8" t="n">
        <v>0</v>
      </c>
      <c r="V923" s="8" t="n">
        <v>0</v>
      </c>
      <c r="W923" s="8" t="n">
        <v>0</v>
      </c>
      <c r="X923" s="8" t="n">
        <v>0</v>
      </c>
      <c r="Y923" s="8" t="inlineStr">
        <is>
          <t>GO B2 (play #11); BB B3 (play #24); FO B5 (play #40); R B3 play #27 (scores on WP during C Messier AB — no RBI)</t>
        </is>
      </c>
    </row>
    <row r="924" ht="15.75" customHeight="1" s="35">
      <c r="A924" s="8" t="inlineStr">
        <is>
          <t>2026-03-14_CNTN_at_WSTM</t>
        </is>
      </c>
      <c r="B924" s="2" t="n">
        <v>46095</v>
      </c>
      <c r="C924" s="8" t="inlineStr">
        <is>
          <t>Centennial Varsity Eagles</t>
        </is>
      </c>
      <c r="D924" s="8" t="inlineStr">
        <is>
          <t>WSTM</t>
        </is>
      </c>
      <c r="E924" s="8" t="inlineStr">
        <is>
          <t>B Barrett</t>
        </is>
      </c>
      <c r="F924" s="8" t="n">
        <v>3</v>
      </c>
      <c r="G924" s="8" t="n">
        <v>1</v>
      </c>
      <c r="H924" s="8" t="n">
        <v>1</v>
      </c>
      <c r="I924" s="8" t="n">
        <v>1</v>
      </c>
      <c r="J924" s="8" t="n">
        <v>0</v>
      </c>
      <c r="K924" s="8" t="n">
        <v>0</v>
      </c>
      <c r="L924" s="8" t="n">
        <v>0</v>
      </c>
      <c r="M924" s="8" t="n">
        <v>2</v>
      </c>
      <c r="N924" s="8" t="n">
        <v>0</v>
      </c>
      <c r="O924" s="8" t="n">
        <v>0</v>
      </c>
      <c r="P924" s="8" t="n">
        <v>0</v>
      </c>
      <c r="Q924" s="8" t="n">
        <v>0</v>
      </c>
      <c r="R924" s="8" t="n">
        <v>1</v>
      </c>
      <c r="S924" s="8" t="n">
        <v>1</v>
      </c>
      <c r="T924" s="8" t="n">
        <v>0</v>
      </c>
      <c r="U924" s="8" t="n">
        <v>0</v>
      </c>
      <c r="V924" s="8" t="n">
        <v>0</v>
      </c>
      <c r="W924" s="8" t="n">
        <v>0</v>
      </c>
      <c r="X924" s="8" t="n">
        <v>0</v>
      </c>
      <c r="Y924" s="8" t="inlineStr">
        <is>
          <t>BB B2 (play #12); 1B B3 (play #25, RBI: Paul scores); BB B5 (play #41); R B2 play #14 embedded (scores on error by catcher B Harris — no RBI; CNTN Error #1). B Barrett also pitches T1-T3.</t>
        </is>
      </c>
    </row>
    <row r="925" ht="15.75" customHeight="1" s="35">
      <c r="A925" s="8" t="inlineStr">
        <is>
          <t>2026-03-14_CNTN_at_WSTM</t>
        </is>
      </c>
      <c r="B925" s="2" t="n">
        <v>46095</v>
      </c>
      <c r="C925" s="8" t="inlineStr">
        <is>
          <t>Centennial Varsity Eagles</t>
        </is>
      </c>
      <c r="D925" s="8" t="inlineStr">
        <is>
          <t>WSTM</t>
        </is>
      </c>
      <c r="E925" s="8" t="inlineStr">
        <is>
          <t>B</t>
        </is>
      </c>
      <c r="F925" s="8" t="n">
        <v>3</v>
      </c>
      <c r="G925" s="8" t="n">
        <v>2</v>
      </c>
      <c r="H925" s="8" t="n">
        <v>1</v>
      </c>
      <c r="I925" s="8" t="n">
        <v>1</v>
      </c>
      <c r="J925" s="8" t="n">
        <v>0</v>
      </c>
      <c r="K925" s="8" t="n">
        <v>0</v>
      </c>
      <c r="L925" s="8" t="n">
        <v>0</v>
      </c>
      <c r="M925" s="8" t="n">
        <v>1</v>
      </c>
      <c r="N925" s="8" t="n">
        <v>0</v>
      </c>
      <c r="O925" s="8" t="n">
        <v>1</v>
      </c>
      <c r="P925" s="8" t="n">
        <v>1</v>
      </c>
      <c r="Q925" s="8" t="n">
        <v>0</v>
      </c>
      <c r="R925" s="8" t="n">
        <v>0</v>
      </c>
      <c r="S925" s="8" t="n">
        <v>0</v>
      </c>
      <c r="T925" s="8" t="n">
        <v>1</v>
      </c>
      <c r="U925" s="8" t="n">
        <v>0</v>
      </c>
      <c r="V925" s="8" t="n">
        <v>0</v>
      </c>
      <c r="W925" s="8" t="n">
        <v>0</v>
      </c>
      <c r="X925" s="8" t="n">
        <v>0</v>
      </c>
      <c r="Y925" s="8" t="inlineStr">
        <is>
          <t>"B" is sole identifier (no last name or jersey number). 1B B2 (play #13); BB B3 (play #26); K_L B5 (play #42); SB 2nd B2 (embedded play #14 Sec4, C Messier AB)</t>
        </is>
      </c>
    </row>
    <row r="926" ht="15.75" customHeight="1" s="35">
      <c r="A926" s="8" t="inlineStr">
        <is>
          <t>2026-03-14_CNTN_at_WSTM</t>
        </is>
      </c>
      <c r="B926" s="2" t="n">
        <v>46095</v>
      </c>
      <c r="C926" s="8" t="inlineStr">
        <is>
          <t>Centennial Varsity Eagles</t>
        </is>
      </c>
      <c r="D926" s="8" t="inlineStr">
        <is>
          <t>WSTM</t>
        </is>
      </c>
      <c r="E926" s="8" t="inlineStr">
        <is>
          <t>C Messier</t>
        </is>
      </c>
      <c r="F926" s="8" t="n">
        <v>3</v>
      </c>
      <c r="G926" s="8" t="n">
        <v>3</v>
      </c>
      <c r="H926" s="8" t="n">
        <v>1</v>
      </c>
      <c r="I926" s="8" t="n">
        <v>1</v>
      </c>
      <c r="J926" s="8" t="n">
        <v>0</v>
      </c>
      <c r="K926" s="8" t="n">
        <v>0</v>
      </c>
      <c r="L926" s="8" t="n">
        <v>0</v>
      </c>
      <c r="M926" s="8" t="n">
        <v>0</v>
      </c>
      <c r="N926" s="8" t="n">
        <v>0</v>
      </c>
      <c r="O926" s="8" t="n">
        <v>1</v>
      </c>
      <c r="P926" s="8" t="n">
        <v>0</v>
      </c>
      <c r="Q926" s="8" t="n">
        <v>1</v>
      </c>
      <c r="R926" s="8" t="n">
        <v>0</v>
      </c>
      <c r="S926" s="8" t="n">
        <v>0</v>
      </c>
      <c r="T926" s="8" t="n">
        <v>1</v>
      </c>
      <c r="U926" s="8" t="n">
        <v>0</v>
      </c>
      <c r="V926" s="8" t="n">
        <v>0</v>
      </c>
      <c r="W926" s="8" t="n">
        <v>0</v>
      </c>
      <c r="X926" s="8" t="n">
        <v>0</v>
      </c>
      <c r="Y926" s="8" t="inlineStr">
        <is>
          <t>K_S B2 (play #14); GO B3 (play #27, WP embedded — M Stonesifer scores, no RBI); 1B B6 (play #47); SB 2nd B6 (embedded play #50 Sec4)</t>
        </is>
      </c>
    </row>
    <row r="927" ht="15.75" customHeight="1" s="35">
      <c r="A927" s="8" t="inlineStr">
        <is>
          <t>2026-03-14_CNTN_at_WSTM</t>
        </is>
      </c>
      <c r="B927" s="2" t="n">
        <v>46095</v>
      </c>
      <c r="C927" s="8" t="inlineStr">
        <is>
          <t>Centennial Varsity Eagles</t>
        </is>
      </c>
      <c r="D927" s="8" t="inlineStr">
        <is>
          <t>WSTM</t>
        </is>
      </c>
      <c r="E927" s="8" t="inlineStr">
        <is>
          <t>W Shepperd</t>
        </is>
      </c>
      <c r="F927" s="8" t="n">
        <v>3</v>
      </c>
      <c r="G927" s="8" t="n">
        <v>2</v>
      </c>
      <c r="H927" s="8" t="n">
        <v>0</v>
      </c>
      <c r="I927" s="8" t="n">
        <v>0</v>
      </c>
      <c r="J927" s="8" t="n">
        <v>0</v>
      </c>
      <c r="K927" s="8" t="n">
        <v>0</v>
      </c>
      <c r="L927" s="8" t="n">
        <v>0</v>
      </c>
      <c r="M927" s="8" t="n">
        <v>1</v>
      </c>
      <c r="N927" s="8" t="n">
        <v>0</v>
      </c>
      <c r="O927" s="8" t="n">
        <v>2</v>
      </c>
      <c r="P927" s="8" t="n">
        <v>2</v>
      </c>
      <c r="Q927" s="8" t="n">
        <v>0</v>
      </c>
      <c r="R927" s="8" t="n">
        <v>0</v>
      </c>
      <c r="S927" s="8" t="n">
        <v>0</v>
      </c>
      <c r="T927" s="8" t="n">
        <v>1</v>
      </c>
      <c r="U927" s="8" t="n">
        <v>0</v>
      </c>
      <c r="V927" s="8" t="n">
        <v>0</v>
      </c>
      <c r="W927" s="8" t="n">
        <v>0</v>
      </c>
      <c r="X927" s="8" t="n">
        <v>0</v>
      </c>
      <c r="Y927" s="8" t="inlineStr">
        <is>
          <t>K_L B2 (play #15); BB B4 (play #32) — CR J Stone entered; K_L B6 (play #48); SB: J Stone (CR) steals 2nd B4 (Sec4 play #33) — SB credited to W Shepperd per CR rule. W Shepperd also pitches T6 (Flag #2).</t>
        </is>
      </c>
    </row>
    <row r="928" ht="15.75" customHeight="1" s="35">
      <c r="A928" s="8" t="inlineStr">
        <is>
          <t>2026-03-14_CNTN_at_WSTM</t>
        </is>
      </c>
      <c r="B928" s="2" t="n">
        <v>46095</v>
      </c>
      <c r="C928" s="8" t="inlineStr">
        <is>
          <t>Centennial Varsity Eagles</t>
        </is>
      </c>
      <c r="D928" s="8" t="inlineStr">
        <is>
          <t>WSTM</t>
        </is>
      </c>
      <c r="E928" s="8" t="inlineStr">
        <is>
          <t>R Winebrunner</t>
        </is>
      </c>
      <c r="F928" s="8" t="n">
        <v>3</v>
      </c>
      <c r="G928" s="8" t="n">
        <v>3</v>
      </c>
      <c r="H928" s="8" t="n">
        <v>1</v>
      </c>
      <c r="I928" s="8" t="n">
        <v>0</v>
      </c>
      <c r="J928" s="8" t="n">
        <v>1</v>
      </c>
      <c r="K928" s="8" t="n">
        <v>0</v>
      </c>
      <c r="L928" s="8" t="n">
        <v>0</v>
      </c>
      <c r="M928" s="8" t="n">
        <v>0</v>
      </c>
      <c r="N928" s="8" t="n">
        <v>0</v>
      </c>
      <c r="O928" s="8" t="n">
        <v>1</v>
      </c>
      <c r="P928" s="8" t="n">
        <v>1</v>
      </c>
      <c r="Q928" s="8" t="n">
        <v>0</v>
      </c>
      <c r="R928" s="8" t="n">
        <v>1</v>
      </c>
      <c r="S928" s="8" t="n">
        <v>0</v>
      </c>
      <c r="T928" s="8" t="n">
        <v>0</v>
      </c>
      <c r="U928" s="8" t="n">
        <v>0</v>
      </c>
      <c r="V928" s="8" t="n">
        <v>0</v>
      </c>
      <c r="W928" s="8" t="n">
        <v>0</v>
      </c>
      <c r="X928" s="8" t="n">
        <v>0</v>
      </c>
      <c r="Y928" s="8" t="inlineStr">
        <is>
          <t>2B B3 (play #20); K_L B4 (play #33); FO B6 (play #49); R B3 play #21 (scores on balk by C Proescher — no RBI; balk not in schema)</t>
        </is>
      </c>
    </row>
    <row r="929" ht="15.75" customHeight="1" s="35">
      <c r="A929" s="8" t="inlineStr">
        <is>
          <t>2026-03-21_CNTN_at_WLDL</t>
        </is>
      </c>
      <c r="B929" s="2" t="n">
        <v>46102</v>
      </c>
      <c r="C929" s="8" t="inlineStr">
        <is>
          <t>Wilde Lake Varsity Cats</t>
        </is>
      </c>
      <c r="D929" s="8" t="inlineStr">
        <is>
          <t>CNTN</t>
        </is>
      </c>
      <c r="E929" s="8" t="inlineStr">
        <is>
          <t>A Gauthier</t>
        </is>
      </c>
      <c r="F929" s="8" t="n">
        <v>4</v>
      </c>
      <c r="G929" s="8" t="n">
        <v>2</v>
      </c>
      <c r="H929" s="8" t="n">
        <v>2</v>
      </c>
      <c r="I929" s="8" t="n">
        <v>1</v>
      </c>
      <c r="J929" s="8" t="n">
        <v>1</v>
      </c>
      <c r="K929" s="8" t="n">
        <v>0</v>
      </c>
      <c r="L929" s="8" t="n">
        <v>0</v>
      </c>
      <c r="M929" s="8" t="n">
        <v>0</v>
      </c>
      <c r="N929" s="8" t="n">
        <v>2</v>
      </c>
      <c r="O929" s="8" t="n">
        <v>0</v>
      </c>
      <c r="P929" s="8" t="n">
        <v>0</v>
      </c>
      <c r="Q929" s="8" t="n">
        <v>0</v>
      </c>
      <c r="R929" s="8" t="n">
        <v>2</v>
      </c>
      <c r="S929" s="8" t="n">
        <v>2</v>
      </c>
      <c r="T929" s="8" t="n">
        <v>1</v>
      </c>
      <c r="U929" s="8" t="n">
        <v>0</v>
      </c>
      <c r="V929" s="8" t="n">
        <v>0</v>
      </c>
      <c r="W929" s="8" t="n">
        <v>0</v>
      </c>
      <c r="X929" s="8" t="n">
        <v>0</v>
      </c>
      <c r="Y929" s="8" t="inlineStr">
        <is>
          <t>HBP T1 (play #1); HBP T2 (play #14); 2B T4 (play #29, RBI: E Ortiz scores); 1B T5 (play #41, RBI: C Stachera scores); SB 2nd T5 (embedded play #42 Sec4, E Rayne GO AB); R T2 play #16 (C Bade 1B, A Gauthier scores) + T4 play #30 (E Rayne 2B, A Gauthier scores)</t>
        </is>
      </c>
    </row>
    <row r="930" ht="15.75" customHeight="1" s="35">
      <c r="A930" s="8" t="inlineStr">
        <is>
          <t>2026-03-21_CNTN_at_WLDL</t>
        </is>
      </c>
      <c r="B930" s="2" t="n">
        <v>46102</v>
      </c>
      <c r="C930" s="8" t="inlineStr">
        <is>
          <t>Wilde Lake Varsity Cats</t>
        </is>
      </c>
      <c r="D930" s="8" t="inlineStr">
        <is>
          <t>CNTN</t>
        </is>
      </c>
      <c r="E930" s="8" t="inlineStr">
        <is>
          <t>E Rayne</t>
        </is>
      </c>
      <c r="F930" s="8" t="n">
        <v>4</v>
      </c>
      <c r="G930" s="8" t="n">
        <v>4</v>
      </c>
      <c r="H930" s="8" t="n">
        <v>2</v>
      </c>
      <c r="I930" s="8" t="n">
        <v>1</v>
      </c>
      <c r="J930" s="8" t="n">
        <v>1</v>
      </c>
      <c r="K930" s="8" t="n">
        <v>0</v>
      </c>
      <c r="L930" s="8" t="n">
        <v>0</v>
      </c>
      <c r="M930" s="8" t="n">
        <v>0</v>
      </c>
      <c r="N930" s="8" t="n">
        <v>0</v>
      </c>
      <c r="O930" s="8" t="n">
        <v>0</v>
      </c>
      <c r="P930" s="8" t="n">
        <v>0</v>
      </c>
      <c r="Q930" s="8" t="n">
        <v>0</v>
      </c>
      <c r="R930" s="8" t="n">
        <v>1</v>
      </c>
      <c r="S930" s="8" t="n">
        <v>3</v>
      </c>
      <c r="T930" s="8" t="n">
        <v>1</v>
      </c>
      <c r="U930" s="8" t="n">
        <v>0</v>
      </c>
      <c r="V930" s="8" t="n">
        <v>0</v>
      </c>
      <c r="W930" s="8" t="n">
        <v>0</v>
      </c>
      <c r="X930" s="8" t="n">
        <v>0</v>
      </c>
      <c r="Y930" s="8" t="inlineStr">
        <is>
          <t>FO T1 (play #2); 1B T2 (play #15, RBI: C Stachera scores); 2B T4 (play #30, RBI: A Gauthier scores); SB 3rd T4 (embedded play #31 Sec4, C Bade PO AB); GO T5 (play #42, RBI: E Ortiz scores); R T4 play #32 (A Banks GO, E Rayne scores)</t>
        </is>
      </c>
    </row>
    <row r="931" ht="15.75" customHeight="1" s="35">
      <c r="A931" s="8" t="inlineStr">
        <is>
          <t>2026-03-21_CNTN_at_WLDL</t>
        </is>
      </c>
      <c r="B931" s="2" t="n">
        <v>46102</v>
      </c>
      <c r="C931" s="8" t="inlineStr">
        <is>
          <t>Wilde Lake Varsity Cats</t>
        </is>
      </c>
      <c r="D931" s="8" t="inlineStr">
        <is>
          <t>CNTN</t>
        </is>
      </c>
      <c r="E931" s="8" t="inlineStr">
        <is>
          <t>C Bade</t>
        </is>
      </c>
      <c r="F931" s="8" t="n">
        <v>4</v>
      </c>
      <c r="G931" s="8" t="n">
        <v>3</v>
      </c>
      <c r="H931" s="8" t="n">
        <v>1</v>
      </c>
      <c r="I931" s="8" t="n">
        <v>1</v>
      </c>
      <c r="J931" s="8" t="n">
        <v>0</v>
      </c>
      <c r="K931" s="8" t="n">
        <v>0</v>
      </c>
      <c r="L931" s="8" t="n">
        <v>0</v>
      </c>
      <c r="M931" s="8" t="n">
        <v>1</v>
      </c>
      <c r="N931" s="8" t="n">
        <v>0</v>
      </c>
      <c r="O931" s="8" t="n">
        <v>0</v>
      </c>
      <c r="P931" s="8" t="n">
        <v>0</v>
      </c>
      <c r="Q931" s="8" t="n">
        <v>0</v>
      </c>
      <c r="R931" s="8" t="n">
        <v>1</v>
      </c>
      <c r="S931" s="8" t="n">
        <v>1</v>
      </c>
      <c r="T931" s="8" t="n">
        <v>2</v>
      </c>
      <c r="U931" s="8" t="n">
        <v>0</v>
      </c>
      <c r="V931" s="8" t="n">
        <v>0</v>
      </c>
      <c r="W931" s="8" t="n">
        <v>0</v>
      </c>
      <c r="X931" s="8" t="n">
        <v>1</v>
      </c>
      <c r="Y931" s="8" t="inlineStr">
        <is>
          <t>FC T1 (play #3, A Gauthier out advancing); SB 2nd + SB 3rd T1 (both embedded play #4 Sec4, A Banks AB); R T1 play #4 (scores from 3rd on dropped 3rd/WP — no RBI); 1B T2 (play #16, RBI: A Gauthier scores); PO T4 (play #31); BB T5 (play #43, B Habershon pitching)</t>
        </is>
      </c>
    </row>
    <row r="932" ht="15.75" customHeight="1" s="35">
      <c r="A932" s="8" t="inlineStr">
        <is>
          <t>2026-03-21_CNTN_at_WLDL</t>
        </is>
      </c>
      <c r="B932" s="2" t="n">
        <v>46102</v>
      </c>
      <c r="C932" s="8" t="inlineStr">
        <is>
          <t>Wilde Lake Varsity Cats</t>
        </is>
      </c>
      <c r="D932" s="8" t="inlineStr">
        <is>
          <t>CNTN</t>
        </is>
      </c>
      <c r="E932" s="8" t="inlineStr">
        <is>
          <t>A Banks</t>
        </is>
      </c>
      <c r="F932" s="8" t="n">
        <v>4</v>
      </c>
      <c r="G932" s="8" t="n">
        <v>4</v>
      </c>
      <c r="H932" s="8" t="n">
        <v>0</v>
      </c>
      <c r="I932" s="8" t="n">
        <v>0</v>
      </c>
      <c r="J932" s="8" t="n">
        <v>0</v>
      </c>
      <c r="K932" s="8" t="n">
        <v>0</v>
      </c>
      <c r="L932" s="8" t="n">
        <v>0</v>
      </c>
      <c r="M932" s="8" t="n">
        <v>0</v>
      </c>
      <c r="N932" s="8" t="n">
        <v>0</v>
      </c>
      <c r="O932" s="8" t="n">
        <v>1</v>
      </c>
      <c r="P932" s="8" t="n">
        <v>0</v>
      </c>
      <c r="Q932" s="8" t="n">
        <v>1</v>
      </c>
      <c r="R932" s="8" t="n">
        <v>1</v>
      </c>
      <c r="S932" s="8" t="n">
        <v>1</v>
      </c>
      <c r="T932" s="8" t="n">
        <v>0</v>
      </c>
      <c r="U932" s="8" t="n">
        <v>0</v>
      </c>
      <c r="V932" s="8" t="n">
        <v>0</v>
      </c>
      <c r="W932" s="8" t="n">
        <v>0</v>
      </c>
      <c r="X932" s="8" t="n">
        <v>0</v>
      </c>
      <c r="Y932" s="8" t="inlineStr">
        <is>
          <t>K_S T1 (play #4, dropped 3rd strike — reaches; WP mechanism; C Bade scores — no RBI per WP rule); PO T2 (play #17); GO T4 (play #32, RBI: E Rayne scores from 3rd); FO T5 (play #44); R T1 play #5 (B Harris error, A Banks scores — no RBI for B Harris)</t>
        </is>
      </c>
    </row>
    <row r="933" ht="15.75" customHeight="1" s="35">
      <c r="A933" s="8" t="inlineStr">
        <is>
          <t>2026-03-21_CNTN_at_WLDL</t>
        </is>
      </c>
      <c r="B933" s="2" t="n">
        <v>46102</v>
      </c>
      <c r="C933" s="8" t="inlineStr">
        <is>
          <t>Wilde Lake Varsity Cats</t>
        </is>
      </c>
      <c r="D933" s="8" t="inlineStr">
        <is>
          <t>CNTN</t>
        </is>
      </c>
      <c r="E933" s="8" t="inlineStr">
        <is>
          <t>B Harris</t>
        </is>
      </c>
      <c r="F933" s="8" t="n">
        <v>3</v>
      </c>
      <c r="G933" s="8" t="n">
        <v>3</v>
      </c>
      <c r="H933" s="8" t="n">
        <v>0</v>
      </c>
      <c r="I933" s="8" t="n">
        <v>0</v>
      </c>
      <c r="J933" s="8" t="n">
        <v>0</v>
      </c>
      <c r="K933" s="8" t="n">
        <v>0</v>
      </c>
      <c r="L933" s="8" t="n">
        <v>0</v>
      </c>
      <c r="M933" s="8" t="n">
        <v>0</v>
      </c>
      <c r="N933" s="8" t="n">
        <v>0</v>
      </c>
      <c r="O933" s="8" t="n">
        <v>1</v>
      </c>
      <c r="P933" s="8" t="n">
        <v>1</v>
      </c>
      <c r="Q933" s="8" t="n">
        <v>0</v>
      </c>
      <c r="R933" s="8" t="n">
        <v>0</v>
      </c>
      <c r="S933" s="8" t="n">
        <v>0</v>
      </c>
      <c r="T933" s="8" t="n">
        <v>0</v>
      </c>
      <c r="U933" s="8" t="n">
        <v>0</v>
      </c>
      <c r="V933" s="8" t="n">
        <v>0</v>
      </c>
      <c r="W933" s="8" t="n">
        <v>0</v>
      </c>
      <c r="X933" s="8" t="n">
        <v>0</v>
      </c>
      <c r="Y933" s="8" t="inlineStr">
        <is>
          <t>Error-ROE T1 (play #5, WLDL Error #1 by D Coleman — A Banks scores on error, no RBI for B Harris); K_L T3 (play #21, Sec4 Strike 3 looking); LO T4 (play #33); play #48 T6 not counted (Flag #8 — no outcome, line score shows 5 inn only)</t>
        </is>
      </c>
    </row>
    <row r="934" ht="15.75" customHeight="1" s="35">
      <c r="A934" s="8" t="inlineStr">
        <is>
          <t>2026-03-21_CNTN_at_WLDL</t>
        </is>
      </c>
      <c r="B934" s="2" t="n">
        <v>46102</v>
      </c>
      <c r="C934" s="8" t="inlineStr">
        <is>
          <t>Wilde Lake Varsity Cats</t>
        </is>
      </c>
      <c r="D934" s="8" t="inlineStr">
        <is>
          <t>CNTN</t>
        </is>
      </c>
      <c r="E934" s="8" t="inlineStr">
        <is>
          <t>B Corrao</t>
        </is>
      </c>
      <c r="F934" s="8" t="n">
        <v>3</v>
      </c>
      <c r="G934" s="8" t="n">
        <v>3</v>
      </c>
      <c r="H934" s="8" t="n">
        <v>1</v>
      </c>
      <c r="I934" s="8" t="n">
        <v>1</v>
      </c>
      <c r="J934" s="8" t="n">
        <v>0</v>
      </c>
      <c r="K934" s="8" t="n">
        <v>0</v>
      </c>
      <c r="L934" s="8" t="n">
        <v>0</v>
      </c>
      <c r="M934" s="8" t="n">
        <v>0</v>
      </c>
      <c r="N934" s="8" t="n">
        <v>0</v>
      </c>
      <c r="O934" s="8" t="n">
        <v>0</v>
      </c>
      <c r="P934" s="8" t="n">
        <v>0</v>
      </c>
      <c r="Q934" s="8" t="n">
        <v>0</v>
      </c>
      <c r="R934" s="8" t="n">
        <v>1</v>
      </c>
      <c r="S934" s="8" t="n">
        <v>0</v>
      </c>
      <c r="T934" s="8" t="n">
        <v>0</v>
      </c>
      <c r="U934" s="8" t="n">
        <v>0</v>
      </c>
      <c r="V934" s="8" t="n">
        <v>0</v>
      </c>
      <c r="W934" s="8" t="n">
        <v>0</v>
      </c>
      <c r="X934" s="8" t="n">
        <v>0</v>
      </c>
      <c r="Y934" s="8" t="inlineStr">
        <is>
          <t>GO T1 (play #6); PO T3 (play #22); 1B T5 (play #37, fly ball to RF A Lindsay); R T5 play #38 (C Stachera 1B, B Corrao scores from 3rd after advancing via WLDL Error #3 embedded in C Stachera AB)</t>
        </is>
      </c>
    </row>
    <row r="935" ht="15.75" customHeight="1" s="35">
      <c r="A935" s="8" t="inlineStr">
        <is>
          <t>2026-03-21_CNTN_at_WLDL</t>
        </is>
      </c>
      <c r="B935" s="2" t="n">
        <v>46102</v>
      </c>
      <c r="C935" s="8" t="inlineStr">
        <is>
          <t>Wilde Lake Varsity Cats</t>
        </is>
      </c>
      <c r="D935" s="8" t="inlineStr">
        <is>
          <t>CNTN</t>
        </is>
      </c>
      <c r="E935" s="8" t="inlineStr">
        <is>
          <t>C Stachera</t>
        </is>
      </c>
      <c r="F935" s="8" t="n">
        <v>3</v>
      </c>
      <c r="G935" s="8" t="n">
        <v>2</v>
      </c>
      <c r="H935" s="8" t="n">
        <v>2</v>
      </c>
      <c r="I935" s="8" t="n">
        <v>2</v>
      </c>
      <c r="J935" s="8" t="n">
        <v>0</v>
      </c>
      <c r="K935" s="8" t="n">
        <v>0</v>
      </c>
      <c r="L935" s="8" t="n">
        <v>0</v>
      </c>
      <c r="M935" s="8" t="n">
        <v>0</v>
      </c>
      <c r="N935" s="8" t="n">
        <v>1</v>
      </c>
      <c r="O935" s="8" t="n">
        <v>0</v>
      </c>
      <c r="P935" s="8" t="n">
        <v>0</v>
      </c>
      <c r="Q935" s="8" t="n">
        <v>0</v>
      </c>
      <c r="R935" s="8" t="n">
        <v>2</v>
      </c>
      <c r="S935" s="8" t="n">
        <v>1</v>
      </c>
      <c r="T935" s="8" t="n">
        <v>1</v>
      </c>
      <c r="U935" s="8" t="n">
        <v>0</v>
      </c>
      <c r="V935" s="8" t="n">
        <v>0</v>
      </c>
      <c r="W935" s="8" t="n">
        <v>0</v>
      </c>
      <c r="X935" s="8" t="n">
        <v>0</v>
      </c>
      <c r="Y935" s="8" t="inlineStr">
        <is>
          <t>1B T2 (play #11); SB 2nd T2 (embedded play #12 Sec4, L Choe PO AB); HBP T3 (play #23, R Schmidt pitching) — E Ogg entered as PR (play #24 pitch seq); SB credited to E Ogg as active runner (Flag #6); C Stachera continues pitching and batting per Flag #6; 1B T5 (play #38, RBI: B Corrao scores); R T2 play #15 (E Rayne 1B) + T5 play #41 (A Gauthier 1B). C Stachera also pitches B1-B4.</t>
        </is>
      </c>
    </row>
    <row r="936" ht="15.75" customHeight="1" s="35">
      <c r="A936" s="8" t="inlineStr">
        <is>
          <t>2026-03-21_CNTN_at_WLDL</t>
        </is>
      </c>
      <c r="B936" s="2" t="n">
        <v>46102</v>
      </c>
      <c r="C936" s="8" t="inlineStr">
        <is>
          <t>Wilde Lake Varsity Cats</t>
        </is>
      </c>
      <c r="D936" s="8" t="inlineStr">
        <is>
          <t>CNTN</t>
        </is>
      </c>
      <c r="E936" s="8" t="inlineStr">
        <is>
          <t>L Choe</t>
        </is>
      </c>
      <c r="F936" s="8" t="n">
        <v>2</v>
      </c>
      <c r="G936" s="8" t="n">
        <v>2</v>
      </c>
      <c r="H936" s="8" t="n">
        <v>0</v>
      </c>
      <c r="I936" s="8" t="n">
        <v>0</v>
      </c>
      <c r="J936" s="8" t="n">
        <v>0</v>
      </c>
      <c r="K936" s="8" t="n">
        <v>0</v>
      </c>
      <c r="L936" s="8" t="n">
        <v>0</v>
      </c>
      <c r="M936" s="8" t="n">
        <v>0</v>
      </c>
      <c r="N936" s="8" t="n">
        <v>0</v>
      </c>
      <c r="O936" s="8" t="n">
        <v>1</v>
      </c>
      <c r="P936" s="8" t="n">
        <v>1</v>
      </c>
      <c r="Q936" s="8" t="n">
        <v>0</v>
      </c>
      <c r="R936" s="8" t="n">
        <v>0</v>
      </c>
      <c r="S936" s="8" t="n">
        <v>0</v>
      </c>
      <c r="T936" s="8" t="n">
        <v>0</v>
      </c>
      <c r="U936" s="8" t="n">
        <v>0</v>
      </c>
      <c r="V936" s="8" t="n">
        <v>0</v>
      </c>
      <c r="W936" s="8" t="n">
        <v>0</v>
      </c>
      <c r="X936" s="8" t="n">
        <v>0</v>
      </c>
      <c r="Y936" s="8" t="inlineStr">
        <is>
          <t>PO T2 (play #12); K_L T3 (play #24, Sec4 Strike 3 looking; E Ogg steals 2nd as PR for C Stachera during this AB — see Flag #6)</t>
        </is>
      </c>
    </row>
    <row r="937" ht="15.75" customHeight="1" s="35">
      <c r="A937" s="8" t="inlineStr">
        <is>
          <t>2026-03-21_CNTN_at_WLDL</t>
        </is>
      </c>
      <c r="B937" s="2" t="n">
        <v>46102</v>
      </c>
      <c r="C937" s="8" t="inlineStr">
        <is>
          <t>Wilde Lake Varsity Cats</t>
        </is>
      </c>
      <c r="D937" s="8" t="inlineStr">
        <is>
          <t>CNTN</t>
        </is>
      </c>
      <c r="E937" s="8" t="inlineStr">
        <is>
          <t>E Ortiz</t>
        </is>
      </c>
      <c r="F937" s="8" t="n">
        <v>3</v>
      </c>
      <c r="G937" s="8" t="n">
        <v>3</v>
      </c>
      <c r="H937" s="8" t="n">
        <v>1</v>
      </c>
      <c r="I937" s="8" t="n">
        <v>1</v>
      </c>
      <c r="J937" s="8" t="n">
        <v>0</v>
      </c>
      <c r="K937" s="8" t="n">
        <v>0</v>
      </c>
      <c r="L937" s="8" t="n">
        <v>0</v>
      </c>
      <c r="M937" s="8" t="n">
        <v>0</v>
      </c>
      <c r="N937" s="8" t="n">
        <v>0</v>
      </c>
      <c r="O937" s="8" t="n">
        <v>1</v>
      </c>
      <c r="P937" s="8" t="n">
        <v>0</v>
      </c>
      <c r="Q937" s="8" t="n">
        <v>1</v>
      </c>
      <c r="R937" s="8" t="n">
        <v>2</v>
      </c>
      <c r="S937" s="8" t="n">
        <v>0</v>
      </c>
      <c r="T937" s="8" t="n">
        <v>1</v>
      </c>
      <c r="U937" s="8" t="n">
        <v>0</v>
      </c>
      <c r="V937" s="8" t="n">
        <v>0</v>
      </c>
      <c r="W937" s="8" t="n">
        <v>0</v>
      </c>
      <c r="X937" s="8" t="n">
        <v>0</v>
      </c>
      <c r="Y937" s="8" t="inlineStr">
        <is>
          <t>K_S T2 (play #13, Sec4 Strike 3 swinging); Error-ROE T4 (play #28, WLDL Error #2 by D Coleman — not a H; E Ortiz then advances 2B and 3B via two WPs during A Gauthier AB play #29); SB 2nd T5 (embedded play #41 Sec4, A Gauthier AB); 1B T5 (play #40); R T4 play #29 (A Gauthier 2B, E Ortiz scores from 3rd) + T5 play #42 (E Rayne GO, E Ortiz scores)</t>
        </is>
      </c>
    </row>
    <row r="938" ht="15.75" customHeight="1" s="35">
      <c r="A938" s="8" t="inlineStr">
        <is>
          <t>2026-03-21_CNTN_at_WLDL</t>
        </is>
      </c>
      <c r="B938" s="2" t="n">
        <v>46102</v>
      </c>
      <c r="C938" s="8" t="inlineStr">
        <is>
          <t>Wilde Lake Varsity Cats</t>
        </is>
      </c>
      <c r="D938" s="8" t="inlineStr">
        <is>
          <t>CNTN</t>
        </is>
      </c>
      <c r="E938" s="8" t="inlineStr">
        <is>
          <t>E Ogg</t>
        </is>
      </c>
      <c r="F938" s="8" t="n">
        <v>0</v>
      </c>
      <c r="G938" s="8" t="n">
        <v>0</v>
      </c>
      <c r="H938" s="8" t="n">
        <v>0</v>
      </c>
      <c r="I938" s="8" t="n">
        <v>0</v>
      </c>
      <c r="J938" s="8" t="n">
        <v>0</v>
      </c>
      <c r="K938" s="8" t="n">
        <v>0</v>
      </c>
      <c r="L938" s="8" t="n">
        <v>0</v>
      </c>
      <c r="M938" s="8" t="n">
        <v>0</v>
      </c>
      <c r="N938" s="8" t="n">
        <v>0</v>
      </c>
      <c r="O938" s="8" t="n">
        <v>0</v>
      </c>
      <c r="P938" s="8" t="n">
        <v>0</v>
      </c>
      <c r="Q938" s="8" t="n">
        <v>0</v>
      </c>
      <c r="R938" s="8" t="n">
        <v>0</v>
      </c>
      <c r="S938" s="8" t="n">
        <v>0</v>
      </c>
      <c r="T938" s="8" t="n">
        <v>1</v>
      </c>
      <c r="U938" s="8" t="n">
        <v>0</v>
      </c>
      <c r="V938" s="8" t="n">
        <v>0</v>
      </c>
      <c r="W938" s="8" t="n">
        <v>0</v>
      </c>
      <c r="X938" s="8" t="n">
        <v>0</v>
      </c>
      <c r="Y938" s="8" t="inlineStr">
        <is>
          <t>PR for C Stachera T3 (play #24 pitch seq, Lineup changed note); SB 2nd during L Choe K_L AB (Sec4 play #24); E Ogg does not score (inning ends on L Choe K); SB credited to E Ogg as active runner per Flag #6 analysis. Zero batting PAs.</t>
        </is>
      </c>
    </row>
    <row r="939" ht="15.75" customHeight="1" s="35">
      <c r="A939" s="8" t="inlineStr">
        <is>
          <t>2026-03-21_CNTN_at_WLDL</t>
        </is>
      </c>
      <c r="B939" s="2" t="n">
        <v>46102</v>
      </c>
      <c r="C939" s="8" t="inlineStr">
        <is>
          <t>Centennial Varsity Eagles</t>
        </is>
      </c>
      <c r="D939" s="8" t="inlineStr">
        <is>
          <t>WLDL</t>
        </is>
      </c>
      <c r="E939" s="8" t="inlineStr">
        <is>
          <t>T Sommer</t>
        </is>
      </c>
      <c r="F939" s="8" t="n">
        <v>2</v>
      </c>
      <c r="G939" s="8" t="n">
        <v>2</v>
      </c>
      <c r="H939" s="8" t="n">
        <v>0</v>
      </c>
      <c r="I939" s="8" t="n">
        <v>0</v>
      </c>
      <c r="J939" s="8" t="n">
        <v>0</v>
      </c>
      <c r="K939" s="8" t="n">
        <v>0</v>
      </c>
      <c r="L939" s="8" t="n">
        <v>0</v>
      </c>
      <c r="M939" s="8" t="n">
        <v>0</v>
      </c>
      <c r="N939" s="8" t="n">
        <v>0</v>
      </c>
      <c r="O939" s="8" t="n">
        <v>1</v>
      </c>
      <c r="P939" s="8" t="n">
        <v>1</v>
      </c>
      <c r="Q939" s="8" t="n">
        <v>0</v>
      </c>
      <c r="R939" s="8" t="n">
        <v>0</v>
      </c>
      <c r="S939" s="8" t="n">
        <v>0</v>
      </c>
      <c r="T939" s="8" t="n">
        <v>0</v>
      </c>
      <c r="U939" s="8" t="n">
        <v>0</v>
      </c>
      <c r="V939" s="8" t="n">
        <v>0</v>
      </c>
      <c r="W939" s="8" t="n">
        <v>0</v>
      </c>
      <c r="X939" s="8" t="n">
        <v>0</v>
      </c>
      <c r="Y939" s="8" t="inlineStr">
        <is>
          <t>K_L B1 (play #7, Sec4 Strike 3 looking); GO B3 (play #27). T Sommer also pitches T1-T3 for WLDL (entry play #1 lineup note).</t>
        </is>
      </c>
    </row>
    <row r="940" ht="15.75" customHeight="1" s="35">
      <c r="A940" s="8" t="inlineStr">
        <is>
          <t>2026-03-21_CNTN_at_WLDL</t>
        </is>
      </c>
      <c r="B940" s="2" t="n">
        <v>46102</v>
      </c>
      <c r="C940" s="8" t="inlineStr">
        <is>
          <t>Centennial Varsity Eagles</t>
        </is>
      </c>
      <c r="D940" s="8" t="inlineStr">
        <is>
          <t>WLDL</t>
        </is>
      </c>
      <c r="E940" s="8" t="inlineStr">
        <is>
          <t>D Coleman</t>
        </is>
      </c>
      <c r="F940" s="8" t="n">
        <v>2</v>
      </c>
      <c r="G940" s="8" t="n">
        <v>1</v>
      </c>
      <c r="H940" s="8" t="n">
        <v>0</v>
      </c>
      <c r="I940" s="8" t="n">
        <v>0</v>
      </c>
      <c r="J940" s="8" t="n">
        <v>0</v>
      </c>
      <c r="K940" s="8" t="n">
        <v>0</v>
      </c>
      <c r="L940" s="8" t="n">
        <v>0</v>
      </c>
      <c r="M940" s="8" t="n">
        <v>1</v>
      </c>
      <c r="N940" s="8" t="n">
        <v>0</v>
      </c>
      <c r="O940" s="8" t="n">
        <v>1</v>
      </c>
      <c r="P940" s="8" t="n">
        <v>1</v>
      </c>
      <c r="Q940" s="8" t="n">
        <v>0</v>
      </c>
      <c r="R940" s="8" t="n">
        <v>0</v>
      </c>
      <c r="S940" s="8" t="n">
        <v>0</v>
      </c>
      <c r="T940" s="8" t="n">
        <v>0</v>
      </c>
      <c r="U940" s="8" t="n">
        <v>0</v>
      </c>
      <c r="V940" s="8" t="n">
        <v>0</v>
      </c>
      <c r="W940" s="8" t="n">
        <v>0</v>
      </c>
      <c r="X940" s="8" t="n">
        <v>0</v>
      </c>
      <c r="Y940" s="8" t="inlineStr">
        <is>
          <t>BB B1 (play #8); PB embedded play #10 (D Coleman advances 1st to 2nd during J Bunnell foul-tip K AB); K_L B4 (play #34, Sec4 Strike 3 looking). D Coleman also committed WLDL Errors #1 (play #5) and #2 (play #28).</t>
        </is>
      </c>
    </row>
    <row r="941" ht="15.75" customHeight="1" s="35">
      <c r="A941" s="8" t="inlineStr">
        <is>
          <t>2026-03-21_CNTN_at_WLDL</t>
        </is>
      </c>
      <c r="B941" s="2" t="n">
        <v>46102</v>
      </c>
      <c r="C941" s="8" t="inlineStr">
        <is>
          <t>Centennial Varsity Eagles</t>
        </is>
      </c>
      <c r="D941" s="8" t="inlineStr">
        <is>
          <t>WLDL</t>
        </is>
      </c>
      <c r="E941" s="8" t="inlineStr">
        <is>
          <t>N Dalesio</t>
        </is>
      </c>
      <c r="F941" s="8" t="n">
        <v>2</v>
      </c>
      <c r="G941" s="8" t="n">
        <v>2</v>
      </c>
      <c r="H941" s="8" t="n">
        <v>0</v>
      </c>
      <c r="I941" s="8" t="n">
        <v>0</v>
      </c>
      <c r="J941" s="8" t="n">
        <v>0</v>
      </c>
      <c r="K941" s="8" t="n">
        <v>0</v>
      </c>
      <c r="L941" s="8" t="n">
        <v>0</v>
      </c>
      <c r="M941" s="8" t="n">
        <v>0</v>
      </c>
      <c r="N941" s="8" t="n">
        <v>0</v>
      </c>
      <c r="O941" s="8" t="n">
        <v>2</v>
      </c>
      <c r="P941" s="8" t="n">
        <v>1</v>
      </c>
      <c r="Q941" s="8" t="n">
        <v>1</v>
      </c>
      <c r="R941" s="8" t="n">
        <v>0</v>
      </c>
      <c r="S941" s="8" t="n">
        <v>0</v>
      </c>
      <c r="T941" s="8" t="n">
        <v>0</v>
      </c>
      <c r="U941" s="8" t="n">
        <v>0</v>
      </c>
      <c r="V941" s="8" t="n">
        <v>0</v>
      </c>
      <c r="W941" s="8" t="n">
        <v>0</v>
      </c>
      <c r="X941" s="8" t="n">
        <v>0</v>
      </c>
      <c r="Y941" s="8" t="inlineStr">
        <is>
          <t>K_L B1 (play #9, Sec4 Strike 3 looking); K_S B4 (play #35, dropped 3rd strike — out at 1st, Sec4 Strike 3 swinging).</t>
        </is>
      </c>
    </row>
    <row r="942" ht="15.75" customHeight="1" s="35">
      <c r="A942" s="8" t="inlineStr">
        <is>
          <t>2026-03-21_CNTN_at_WLDL</t>
        </is>
      </c>
      <c r="B942" s="2" t="n">
        <v>46102</v>
      </c>
      <c r="C942" s="8" t="inlineStr">
        <is>
          <t>Centennial Varsity Eagles</t>
        </is>
      </c>
      <c r="D942" s="8" t="inlineStr">
        <is>
          <t>WLDL</t>
        </is>
      </c>
      <c r="E942" s="8" t="inlineStr">
        <is>
          <t>J Bunnell</t>
        </is>
      </c>
      <c r="F942" s="8" t="n">
        <v>2</v>
      </c>
      <c r="G942" s="8" t="n">
        <v>2</v>
      </c>
      <c r="H942" s="8" t="n">
        <v>0</v>
      </c>
      <c r="I942" s="8" t="n">
        <v>0</v>
      </c>
      <c r="J942" s="8" t="n">
        <v>0</v>
      </c>
      <c r="K942" s="8" t="n">
        <v>0</v>
      </c>
      <c r="L942" s="8" t="n">
        <v>0</v>
      </c>
      <c r="M942" s="8" t="n">
        <v>0</v>
      </c>
      <c r="N942" s="8" t="n">
        <v>0</v>
      </c>
      <c r="O942" s="8" t="n">
        <v>2</v>
      </c>
      <c r="P942" s="8" t="n">
        <v>1</v>
      </c>
      <c r="Q942" s="8" t="n">
        <v>1</v>
      </c>
      <c r="R942" s="8" t="n">
        <v>0</v>
      </c>
      <c r="S942" s="8" t="n">
        <v>0</v>
      </c>
      <c r="T942" s="8" t="n">
        <v>0</v>
      </c>
      <c r="U942" s="8" t="n">
        <v>0</v>
      </c>
      <c r="V942" s="8" t="n">
        <v>0</v>
      </c>
      <c r="W942" s="8" t="n">
        <v>0</v>
      </c>
      <c r="X942" s="8" t="n">
        <v>0</v>
      </c>
      <c r="Y942" s="8" t="inlineStr">
        <is>
          <t>K_S B1 (play #10, foul tip caught — K_S; PB embedded: D Coleman advances 1st to 2nd); K_L B4 (play #36, Sec4 Strike 3 looking).</t>
        </is>
      </c>
    </row>
    <row r="943" ht="15.75" customHeight="1" s="35">
      <c r="A943" s="8" t="inlineStr">
        <is>
          <t>2026-03-21_CNTN_at_WLDL</t>
        </is>
      </c>
      <c r="B943" s="2" t="n">
        <v>46102</v>
      </c>
      <c r="C943" s="8" t="inlineStr">
        <is>
          <t>Centennial Varsity Eagles</t>
        </is>
      </c>
      <c r="D943" s="8" t="inlineStr">
        <is>
          <t>WLDL</t>
        </is>
      </c>
      <c r="E943" s="8" t="inlineStr">
        <is>
          <t>W Switzer</t>
        </is>
      </c>
      <c r="F943" s="8" t="n">
        <v>2</v>
      </c>
      <c r="G943" s="8" t="n">
        <v>2</v>
      </c>
      <c r="H943" s="8" t="n">
        <v>0</v>
      </c>
      <c r="I943" s="8" t="n">
        <v>0</v>
      </c>
      <c r="J943" s="8" t="n">
        <v>0</v>
      </c>
      <c r="K943" s="8" t="n">
        <v>0</v>
      </c>
      <c r="L943" s="8" t="n">
        <v>0</v>
      </c>
      <c r="M943" s="8" t="n">
        <v>0</v>
      </c>
      <c r="N943" s="8" t="n">
        <v>0</v>
      </c>
      <c r="O943" s="8" t="n">
        <v>2</v>
      </c>
      <c r="P943" s="8" t="n">
        <v>0</v>
      </c>
      <c r="Q943" s="8" t="n">
        <v>2</v>
      </c>
      <c r="R943" s="8" t="n">
        <v>0</v>
      </c>
      <c r="S943" s="8" t="n">
        <v>0</v>
      </c>
      <c r="T943" s="8" t="n">
        <v>0</v>
      </c>
      <c r="U943" s="8" t="n">
        <v>0</v>
      </c>
      <c r="V943" s="8" t="n">
        <v>0</v>
      </c>
      <c r="W943" s="8" t="n">
        <v>0</v>
      </c>
      <c r="X943" s="8" t="n">
        <v>0</v>
      </c>
      <c r="Y943" s="8" t="inlineStr">
        <is>
          <t>K_S B2 (play #18, Sec4 Strike 3 swinging); K_S B5 (play #45, Sec4 Strike 3 swinging).</t>
        </is>
      </c>
    </row>
    <row r="944" ht="15.75" customHeight="1" s="35">
      <c r="A944" s="8" t="inlineStr">
        <is>
          <t>2026-03-21_CNTN_at_WLDL</t>
        </is>
      </c>
      <c r="B944" s="2" t="n">
        <v>46102</v>
      </c>
      <c r="C944" s="8" t="inlineStr">
        <is>
          <t>Centennial Varsity Eagles</t>
        </is>
      </c>
      <c r="D944" s="8" t="inlineStr">
        <is>
          <t>WLDL</t>
        </is>
      </c>
      <c r="E944" s="8" t="inlineStr">
        <is>
          <t>R Schmidt</t>
        </is>
      </c>
      <c r="F944" s="8" t="n">
        <v>2</v>
      </c>
      <c r="G944" s="8" t="n">
        <v>2</v>
      </c>
      <c r="H944" s="8" t="n">
        <v>0</v>
      </c>
      <c r="I944" s="8" t="n">
        <v>0</v>
      </c>
      <c r="J944" s="8" t="n">
        <v>0</v>
      </c>
      <c r="K944" s="8" t="n">
        <v>0</v>
      </c>
      <c r="L944" s="8" t="n">
        <v>0</v>
      </c>
      <c r="M944" s="8" t="n">
        <v>0</v>
      </c>
      <c r="N944" s="8" t="n">
        <v>0</v>
      </c>
      <c r="O944" s="8" t="n">
        <v>1</v>
      </c>
      <c r="P944" s="8" t="n">
        <v>0</v>
      </c>
      <c r="Q944" s="8" t="n">
        <v>1</v>
      </c>
      <c r="R944" s="8" t="n">
        <v>0</v>
      </c>
      <c r="S944" s="8" t="n">
        <v>0</v>
      </c>
      <c r="T944" s="8" t="n">
        <v>0</v>
      </c>
      <c r="U944" s="8" t="n">
        <v>0</v>
      </c>
      <c r="V944" s="8" t="n">
        <v>0</v>
      </c>
      <c r="W944" s="8" t="n">
        <v>0</v>
      </c>
      <c r="X944" s="8" t="n">
        <v>0</v>
      </c>
      <c r="Y944" s="8" t="inlineStr">
        <is>
          <t>GO B2 (play #19); K_S B5 (play #46, Sec4 Strike 3 swinging). R Schmidt also pitches T3-T5 for WLDL (entry inferred Flag #1).</t>
        </is>
      </c>
    </row>
    <row r="945" ht="15.75" customHeight="1" s="35">
      <c r="A945" s="8" t="inlineStr">
        <is>
          <t>2026-03-21_CNTN_at_WLDL</t>
        </is>
      </c>
      <c r="B945" s="2" t="n">
        <v>46102</v>
      </c>
      <c r="C945" s="8" t="inlineStr">
        <is>
          <t>Centennial Varsity Eagles</t>
        </is>
      </c>
      <c r="D945" s="8" t="inlineStr">
        <is>
          <t>WLDL</t>
        </is>
      </c>
      <c r="E945" s="8" t="inlineStr">
        <is>
          <t>D Linares</t>
        </is>
      </c>
      <c r="F945" s="8" t="n">
        <v>2</v>
      </c>
      <c r="G945" s="8" t="n">
        <v>2</v>
      </c>
      <c r="H945" s="8" t="n">
        <v>0</v>
      </c>
      <c r="I945" s="8" t="n">
        <v>0</v>
      </c>
      <c r="J945" s="8" t="n">
        <v>0</v>
      </c>
      <c r="K945" s="8" t="n">
        <v>0</v>
      </c>
      <c r="L945" s="8" t="n">
        <v>0</v>
      </c>
      <c r="M945" s="8" t="n">
        <v>0</v>
      </c>
      <c r="N945" s="8" t="n">
        <v>0</v>
      </c>
      <c r="O945" s="8" t="n">
        <v>2</v>
      </c>
      <c r="P945" s="8" t="n">
        <v>0</v>
      </c>
      <c r="Q945" s="8" t="n">
        <v>2</v>
      </c>
      <c r="R945" s="8" t="n">
        <v>0</v>
      </c>
      <c r="S945" s="8" t="n">
        <v>0</v>
      </c>
      <c r="T945" s="8" t="n">
        <v>0</v>
      </c>
      <c r="U945" s="8" t="n">
        <v>0</v>
      </c>
      <c r="V945" s="8" t="n">
        <v>0</v>
      </c>
      <c r="W945" s="8" t="n">
        <v>0</v>
      </c>
      <c r="X945" s="8" t="n">
        <v>0</v>
      </c>
      <c r="Y945" s="8" t="inlineStr">
        <is>
          <t>K_S B2 (play #20, Sec4 Strike 3 swinging); K_S B5 (play #47, Sec4 Strike 3 swinging).</t>
        </is>
      </c>
    </row>
    <row r="946" ht="15.75" customHeight="1" s="35">
      <c r="A946" s="8" t="inlineStr">
        <is>
          <t>2026-03-21_CNTN_at_WLDL</t>
        </is>
      </c>
      <c r="B946" s="2" t="n">
        <v>46102</v>
      </c>
      <c r="C946" s="8" t="inlineStr">
        <is>
          <t>Centennial Varsity Eagles</t>
        </is>
      </c>
      <c r="D946" s="8" t="inlineStr">
        <is>
          <t>WLDL</t>
        </is>
      </c>
      <c r="E946" s="8" t="inlineStr">
        <is>
          <t>B Habershon</t>
        </is>
      </c>
      <c r="F946" s="8" t="n">
        <v>1</v>
      </c>
      <c r="G946" s="8" t="n">
        <v>1</v>
      </c>
      <c r="H946" s="8" t="n">
        <v>0</v>
      </c>
      <c r="I946" s="8" t="n">
        <v>0</v>
      </c>
      <c r="J946" s="8" t="n">
        <v>0</v>
      </c>
      <c r="K946" s="8" t="n">
        <v>0</v>
      </c>
      <c r="L946" s="8" t="n">
        <v>0</v>
      </c>
      <c r="M946" s="8" t="n">
        <v>0</v>
      </c>
      <c r="N946" s="8" t="n">
        <v>0</v>
      </c>
      <c r="O946" s="8" t="n">
        <v>1</v>
      </c>
      <c r="P946" s="8" t="n">
        <v>1</v>
      </c>
      <c r="Q946" s="8" t="n">
        <v>0</v>
      </c>
      <c r="R946" s="8" t="n">
        <v>0</v>
      </c>
      <c r="S946" s="8" t="n">
        <v>0</v>
      </c>
      <c r="T946" s="8" t="n">
        <v>0</v>
      </c>
      <c r="U946" s="8" t="n">
        <v>0</v>
      </c>
      <c r="V946" s="8" t="n">
        <v>0</v>
      </c>
      <c r="W946" s="8" t="n">
        <v>0</v>
      </c>
      <c r="X946" s="8" t="n">
        <v>0</v>
      </c>
      <c r="Y946" s="8" t="inlineStr">
        <is>
          <t>K_L B3 (play #25, Sec4 Strike 3 looking). B Habershon also pitches T5 for WLDL (entry inferred Flag #2) and committed WLDL Error #3 (play #38 embedded, T5).</t>
        </is>
      </c>
    </row>
    <row r="947" ht="15.75" customHeight="1" s="35">
      <c r="A947" s="8" t="inlineStr">
        <is>
          <t>2026-03-21_CNTN_at_WLDL</t>
        </is>
      </c>
      <c r="B947" s="2" t="n">
        <v>46102</v>
      </c>
      <c r="C947" s="8" t="inlineStr">
        <is>
          <t>Centennial Varsity Eagles</t>
        </is>
      </c>
      <c r="D947" s="8" t="inlineStr">
        <is>
          <t>WLDL</t>
        </is>
      </c>
      <c r="E947" s="8" t="inlineStr">
        <is>
          <t>A Lindsay</t>
        </is>
      </c>
      <c r="F947" s="8" t="n">
        <v>1</v>
      </c>
      <c r="G947" s="8" t="n">
        <v>1</v>
      </c>
      <c r="H947" s="8" t="n">
        <v>0</v>
      </c>
      <c r="I947" s="8" t="n">
        <v>0</v>
      </c>
      <c r="J947" s="8" t="n">
        <v>0</v>
      </c>
      <c r="K947" s="8" t="n">
        <v>0</v>
      </c>
      <c r="L947" s="8" t="n">
        <v>0</v>
      </c>
      <c r="M947" s="8" t="n">
        <v>0</v>
      </c>
      <c r="N947" s="8" t="n">
        <v>0</v>
      </c>
      <c r="O947" s="8" t="n">
        <v>1</v>
      </c>
      <c r="P947" s="8" t="n">
        <v>1</v>
      </c>
      <c r="Q947" s="8" t="n">
        <v>0</v>
      </c>
      <c r="R947" s="8" t="n">
        <v>0</v>
      </c>
      <c r="S947" s="8" t="n">
        <v>0</v>
      </c>
      <c r="T947" s="8" t="n">
        <v>0</v>
      </c>
      <c r="U947" s="8" t="n">
        <v>0</v>
      </c>
      <c r="V947" s="8" t="n">
        <v>0</v>
      </c>
      <c r="W947" s="8" t="n">
        <v>0</v>
      </c>
      <c r="X947" s="8" t="n">
        <v>0</v>
      </c>
      <c r="Y947" s="8" t="inlineStr">
        <is>
          <t>K_L B3 (play #26, Sec4 Strike 3 looking).</t>
        </is>
      </c>
    </row>
    <row r="948" ht="15.75" customHeight="1" s="35">
      <c r="A948" s="8" t="inlineStr">
        <is>
          <t>2026-03-23_HMMN_at_CNTN</t>
        </is>
      </c>
      <c r="B948" s="2" t="n">
        <v>46104</v>
      </c>
      <c r="C948" s="8" t="inlineStr">
        <is>
          <t>Centennial Varsity Eagles</t>
        </is>
      </c>
      <c r="D948" s="8" t="inlineStr">
        <is>
          <t>HMMN</t>
        </is>
      </c>
      <c r="E948" s="8" t="inlineStr">
        <is>
          <t>Y Rivera</t>
        </is>
      </c>
      <c r="F948" s="8" t="n">
        <v>3</v>
      </c>
      <c r="G948" s="8" t="n">
        <v>3</v>
      </c>
      <c r="H948" s="8" t="n">
        <v>1</v>
      </c>
      <c r="I948" s="8" t="n">
        <v>1</v>
      </c>
      <c r="J948" s="8" t="n">
        <v>0</v>
      </c>
      <c r="K948" s="8" t="n">
        <v>0</v>
      </c>
      <c r="L948" s="8" t="n">
        <v>0</v>
      </c>
      <c r="M948" s="8" t="n">
        <v>0</v>
      </c>
      <c r="N948" s="8" t="n">
        <v>0</v>
      </c>
      <c r="O948" s="8" t="n">
        <v>1</v>
      </c>
      <c r="P948" s="8" t="n">
        <v>0</v>
      </c>
      <c r="Q948" s="8" t="n">
        <v>1</v>
      </c>
      <c r="R948" s="8" t="n">
        <v>1</v>
      </c>
      <c r="S948" s="8" t="n">
        <v>0</v>
      </c>
      <c r="T948" s="8" t="n">
        <v>1</v>
      </c>
      <c r="U948" s="8" t="n">
        <v>0</v>
      </c>
      <c r="V948" s="8" t="n">
        <v>0</v>
      </c>
      <c r="W948" s="8" t="n">
        <v>0</v>
      </c>
      <c r="X948" s="8" t="n">
        <v>0</v>
      </c>
      <c r="Y948" s="8" t="inlineStr">
        <is>
          <t>GO T1 (play #1); K_S T3 (play #21); 1B T5 (play #38); SB 2nd T5 (embedded play #39 Sec4, J Willis AB); R T5 play #39 (scores on CNTN Error #2 by CF C Bade during J Willis AB — no RBI for J Willis). No PA T7 — K Gardner enters mid-AB as sub (play #65).</t>
        </is>
      </c>
    </row>
    <row r="949" ht="15.75" customHeight="1" s="35">
      <c r="A949" s="8" t="inlineStr">
        <is>
          <t>2026-03-23_HMMN_at_CNTN</t>
        </is>
      </c>
      <c r="B949" s="2" t="n">
        <v>46104</v>
      </c>
      <c r="C949" s="8" t="inlineStr">
        <is>
          <t>Centennial Varsity Eagles</t>
        </is>
      </c>
      <c r="D949" s="8" t="inlineStr">
        <is>
          <t>HMMN</t>
        </is>
      </c>
      <c r="E949" s="8" t="inlineStr">
        <is>
          <t>J Willis</t>
        </is>
      </c>
      <c r="F949" s="8" t="n">
        <v>3</v>
      </c>
      <c r="G949" s="8" t="n">
        <v>2</v>
      </c>
      <c r="H949" s="8" t="n">
        <v>1</v>
      </c>
      <c r="I949" s="8" t="n">
        <v>1</v>
      </c>
      <c r="J949" s="8" t="n">
        <v>0</v>
      </c>
      <c r="K949" s="8" t="n">
        <v>0</v>
      </c>
      <c r="L949" s="8" t="n">
        <v>0</v>
      </c>
      <c r="M949" s="8" t="n">
        <v>1</v>
      </c>
      <c r="N949" s="8" t="n">
        <v>0</v>
      </c>
      <c r="O949" s="8" t="n">
        <v>0</v>
      </c>
      <c r="P949" s="8" t="n">
        <v>0</v>
      </c>
      <c r="Q949" s="8" t="n">
        <v>0</v>
      </c>
      <c r="R949" s="8" t="n">
        <v>0</v>
      </c>
      <c r="S949" s="8" t="n">
        <v>0</v>
      </c>
      <c r="T949" s="8" t="n">
        <v>0</v>
      </c>
      <c r="U949" s="8" t="n">
        <v>1</v>
      </c>
      <c r="V949" s="8" t="n">
        <v>0</v>
      </c>
      <c r="W949" s="8" t="n">
        <v>0</v>
      </c>
      <c r="X949" s="8" t="n">
        <v>0</v>
      </c>
      <c r="Y949" s="8" t="inlineStr">
        <is>
          <t>BB T1 (play #2); CS T1 (embedded play #3 Sec4 — catcher B Harris to 2B B Corrao, out #2 in inning); PO T3 (play #22, to catcher B Harris); 1B T5 (play #39); no RBI play #39 (Y Rivera had already scored on error before ball put in play).</t>
        </is>
      </c>
    </row>
    <row r="950" ht="15.75" customHeight="1" s="35">
      <c r="A950" s="8" t="inlineStr">
        <is>
          <t>2026-03-23_HMMN_at_CNTN</t>
        </is>
      </c>
      <c r="B950" s="2" t="n">
        <v>46104</v>
      </c>
      <c r="C950" s="8" t="inlineStr">
        <is>
          <t>Centennial Varsity Eagles</t>
        </is>
      </c>
      <c r="D950" s="8" t="inlineStr">
        <is>
          <t>HMMN</t>
        </is>
      </c>
      <c r="E950" s="8" t="inlineStr">
        <is>
          <t>P Yarnell</t>
        </is>
      </c>
      <c r="F950" s="8" t="n">
        <v>3</v>
      </c>
      <c r="G950" s="8" t="n">
        <v>3</v>
      </c>
      <c r="H950" s="8" t="n">
        <v>0</v>
      </c>
      <c r="I950" s="8" t="n">
        <v>0</v>
      </c>
      <c r="J950" s="8" t="n">
        <v>0</v>
      </c>
      <c r="K950" s="8" t="n">
        <v>0</v>
      </c>
      <c r="L950" s="8" t="n">
        <v>0</v>
      </c>
      <c r="M950" s="8" t="n">
        <v>0</v>
      </c>
      <c r="N950" s="8" t="n">
        <v>0</v>
      </c>
      <c r="O950" s="8" t="n">
        <v>1</v>
      </c>
      <c r="P950" s="8" t="n">
        <v>1</v>
      </c>
      <c r="Q950" s="8" t="n">
        <v>0</v>
      </c>
      <c r="R950" s="8" t="n">
        <v>0</v>
      </c>
      <c r="S950" s="8" t="n">
        <v>0</v>
      </c>
      <c r="T950" s="8" t="n">
        <v>0</v>
      </c>
      <c r="U950" s="8" t="n">
        <v>0</v>
      </c>
      <c r="V950" s="8" t="n">
        <v>0</v>
      </c>
      <c r="W950" s="8" t="n">
        <v>0</v>
      </c>
      <c r="X950" s="8" t="n">
        <v>0</v>
      </c>
      <c r="Y950" s="8" t="inlineStr">
        <is>
          <t>K_L T1 (play #3, J Willis CS embedded = out #2; P Yarnell K = out #3); GO T3 (play #23); FO T5 (play #40, WP embedded: J Willis advances to 2nd).</t>
        </is>
      </c>
    </row>
    <row r="951" ht="15.75" customHeight="1" s="35">
      <c r="A951" s="8" t="inlineStr">
        <is>
          <t>2026-03-23_HMMN_at_CNTN</t>
        </is>
      </c>
      <c r="B951" s="2" t="n">
        <v>46104</v>
      </c>
      <c r="C951" s="8" t="inlineStr">
        <is>
          <t>Centennial Varsity Eagles</t>
        </is>
      </c>
      <c r="D951" s="8" t="inlineStr">
        <is>
          <t>HMMN</t>
        </is>
      </c>
      <c r="E951" s="8" t="inlineStr">
        <is>
          <t>C Stryker</t>
        </is>
      </c>
      <c r="F951" s="8" t="n">
        <v>3</v>
      </c>
      <c r="G951" s="8" t="n">
        <v>3</v>
      </c>
      <c r="H951" s="8" t="n">
        <v>1</v>
      </c>
      <c r="I951" s="8" t="n">
        <v>1</v>
      </c>
      <c r="J951" s="8" t="n">
        <v>0</v>
      </c>
      <c r="K951" s="8" t="n">
        <v>0</v>
      </c>
      <c r="L951" s="8" t="n">
        <v>0</v>
      </c>
      <c r="M951" s="8" t="n">
        <v>0</v>
      </c>
      <c r="N951" s="8" t="n">
        <v>0</v>
      </c>
      <c r="O951" s="8" t="n">
        <v>1</v>
      </c>
      <c r="P951" s="8" t="n">
        <v>0</v>
      </c>
      <c r="Q951" s="8" t="n">
        <v>1</v>
      </c>
      <c r="R951" s="8" t="n">
        <v>0</v>
      </c>
      <c r="S951" s="8" t="n">
        <v>0</v>
      </c>
      <c r="T951" s="8" t="n">
        <v>1</v>
      </c>
      <c r="U951" s="8" t="n">
        <v>0</v>
      </c>
      <c r="V951" s="8" t="n">
        <v>0</v>
      </c>
      <c r="W951" s="8" t="n">
        <v>0</v>
      </c>
      <c r="X951" s="8" t="n">
        <v>0</v>
      </c>
      <c r="Y951" s="8" t="inlineStr">
        <is>
          <t>1B T2 (play #10); SB 2nd T2 (embedded play #12 Sec4, G Draminski K AB); GO T4 (play #29); K_S T6 (play #54). Stranded at 3rd end T2 (B Garris LO ends inning after WP advanced C Stryker to 3rd).</t>
        </is>
      </c>
    </row>
    <row r="952" ht="15.75" customHeight="1" s="35">
      <c r="A952" s="8" t="inlineStr">
        <is>
          <t>2026-03-23_HMMN_at_CNTN</t>
        </is>
      </c>
      <c r="B952" s="2" t="n">
        <v>46104</v>
      </c>
      <c r="C952" s="8" t="inlineStr">
        <is>
          <t>Centennial Varsity Eagles</t>
        </is>
      </c>
      <c r="D952" s="8" t="inlineStr">
        <is>
          <t>HMMN</t>
        </is>
      </c>
      <c r="E952" s="8" t="inlineStr">
        <is>
          <t>L Tordella</t>
        </is>
      </c>
      <c r="F952" s="8" t="n">
        <v>3</v>
      </c>
      <c r="G952" s="8" t="n">
        <v>3</v>
      </c>
      <c r="H952" s="8" t="n">
        <v>0</v>
      </c>
      <c r="I952" s="8" t="n">
        <v>0</v>
      </c>
      <c r="J952" s="8" t="n">
        <v>0</v>
      </c>
      <c r="K952" s="8" t="n">
        <v>0</v>
      </c>
      <c r="L952" s="8" t="n">
        <v>0</v>
      </c>
      <c r="M952" s="8" t="n">
        <v>0</v>
      </c>
      <c r="N952" s="8" t="n">
        <v>0</v>
      </c>
      <c r="O952" s="8" t="n">
        <v>3</v>
      </c>
      <c r="P952" s="8" t="n">
        <v>1</v>
      </c>
      <c r="Q952" s="8" t="n">
        <v>2</v>
      </c>
      <c r="R952" s="8" t="n">
        <v>0</v>
      </c>
      <c r="S952" s="8" t="n">
        <v>0</v>
      </c>
      <c r="T952" s="8" t="n">
        <v>0</v>
      </c>
      <c r="U952" s="8" t="n">
        <v>0</v>
      </c>
      <c r="V952" s="8" t="n">
        <v>0</v>
      </c>
      <c r="W952" s="8" t="n">
        <v>0</v>
      </c>
      <c r="X952" s="8" t="n">
        <v>0</v>
      </c>
      <c r="Y952" s="8" t="inlineStr">
        <is>
          <t>K_S T2 (play #11); K_S T4 (play #30); K_L T6 (play #55).</t>
        </is>
      </c>
    </row>
    <row r="953" ht="15.75" customHeight="1" s="35">
      <c r="A953" s="8" t="inlineStr">
        <is>
          <t>2026-03-23_HMMN_at_CNTN</t>
        </is>
      </c>
      <c r="B953" s="2" t="n">
        <v>46104</v>
      </c>
      <c r="C953" s="8" t="inlineStr">
        <is>
          <t>Centennial Varsity Eagles</t>
        </is>
      </c>
      <c r="D953" s="8" t="inlineStr">
        <is>
          <t>HMMN</t>
        </is>
      </c>
      <c r="E953" s="8" t="inlineStr">
        <is>
          <t>G Draminski</t>
        </is>
      </c>
      <c r="F953" s="8" t="n">
        <v>3</v>
      </c>
      <c r="G953" s="8" t="n">
        <v>3</v>
      </c>
      <c r="H953" s="8" t="n">
        <v>1</v>
      </c>
      <c r="I953" s="8" t="n">
        <v>1</v>
      </c>
      <c r="J953" s="8" t="n">
        <v>0</v>
      </c>
      <c r="K953" s="8" t="n">
        <v>0</v>
      </c>
      <c r="L953" s="8" t="n">
        <v>0</v>
      </c>
      <c r="M953" s="8" t="n">
        <v>0</v>
      </c>
      <c r="N953" s="8" t="n">
        <v>0</v>
      </c>
      <c r="O953" s="8" t="n">
        <v>1</v>
      </c>
      <c r="P953" s="8" t="n">
        <v>0</v>
      </c>
      <c r="Q953" s="8" t="n">
        <v>1</v>
      </c>
      <c r="R953" s="8" t="n">
        <v>0</v>
      </c>
      <c r="S953" s="8" t="n">
        <v>0</v>
      </c>
      <c r="T953" s="8" t="n">
        <v>0</v>
      </c>
      <c r="U953" s="8" t="n">
        <v>0</v>
      </c>
      <c r="V953" s="8" t="n">
        <v>0</v>
      </c>
      <c r="W953" s="8" t="n">
        <v>0</v>
      </c>
      <c r="X953" s="8" t="n">
        <v>0</v>
      </c>
      <c r="Y953" s="8" t="inlineStr">
        <is>
          <t>K_S T2 (play #12; C Stryker SB embedded); 1B T4 (play #31, fly ball to RF A Gauthier); FO T6 (play #56, C Proescher inferred — no pitcher attributed in log).</t>
        </is>
      </c>
    </row>
    <row r="954" ht="15.75" customHeight="1" s="35">
      <c r="A954" s="8" t="inlineStr">
        <is>
          <t>2026-03-23_HMMN_at_CNTN</t>
        </is>
      </c>
      <c r="B954" s="2" t="n">
        <v>46104</v>
      </c>
      <c r="C954" s="8" t="inlineStr">
        <is>
          <t>Centennial Varsity Eagles</t>
        </is>
      </c>
      <c r="D954" s="8" t="inlineStr">
        <is>
          <t>HMMN</t>
        </is>
      </c>
      <c r="E954" s="8" t="inlineStr">
        <is>
          <t>D Bhatt</t>
        </is>
      </c>
      <c r="F954" s="8" t="n">
        <v>2</v>
      </c>
      <c r="G954" s="8" t="n">
        <v>1</v>
      </c>
      <c r="H954" s="8" t="n">
        <v>0</v>
      </c>
      <c r="I954" s="8" t="n">
        <v>0</v>
      </c>
      <c r="J954" s="8" t="n">
        <v>0</v>
      </c>
      <c r="K954" s="8" t="n">
        <v>0</v>
      </c>
      <c r="L954" s="8" t="n">
        <v>0</v>
      </c>
      <c r="M954" s="8" t="n">
        <v>1</v>
      </c>
      <c r="N954" s="8" t="n">
        <v>0</v>
      </c>
      <c r="O954" s="8" t="n">
        <v>0</v>
      </c>
      <c r="P954" s="8" t="n">
        <v>0</v>
      </c>
      <c r="Q954" s="8" t="n">
        <v>0</v>
      </c>
      <c r="R954" s="8" t="n">
        <v>0</v>
      </c>
      <c r="S954" s="8" t="n">
        <v>0</v>
      </c>
      <c r="T954" s="8" t="n">
        <v>0</v>
      </c>
      <c r="U954" s="8" t="n">
        <v>0</v>
      </c>
      <c r="V954" s="8" t="n">
        <v>0</v>
      </c>
      <c r="W954" s="8" t="n">
        <v>0</v>
      </c>
      <c r="X954" s="8" t="n">
        <v>0</v>
      </c>
      <c r="Y954" s="8" t="inlineStr">
        <is>
          <t>BB T2 (play #13); CR N Macomber enters for D Bhatt embedded play #14 Sec4 — N Macomber does not score (B Garris LO ends T2); PO T4 (play #32). D Bhatt pitches B1-B5 play #44 for HMMN (Flag #1).</t>
        </is>
      </c>
    </row>
    <row r="955" ht="15.75" customHeight="1" s="35">
      <c r="A955" s="8" t="inlineStr">
        <is>
          <t>2026-03-23_HMMN_at_CNTN</t>
        </is>
      </c>
      <c r="B955" s="2" t="n">
        <v>46104</v>
      </c>
      <c r="C955" s="8" t="inlineStr">
        <is>
          <t>Centennial Varsity Eagles</t>
        </is>
      </c>
      <c r="D955" s="8" t="inlineStr">
        <is>
          <t>HMMN</t>
        </is>
      </c>
      <c r="E955" s="8" t="inlineStr">
        <is>
          <t>G Garris</t>
        </is>
      </c>
      <c r="F955" s="8" t="n">
        <v>2</v>
      </c>
      <c r="G955" s="8" t="n">
        <v>1</v>
      </c>
      <c r="H955" s="8" t="n">
        <v>0</v>
      </c>
      <c r="I955" s="8" t="n">
        <v>0</v>
      </c>
      <c r="J955" s="8" t="n">
        <v>0</v>
      </c>
      <c r="K955" s="8" t="n">
        <v>0</v>
      </c>
      <c r="L955" s="8" t="n">
        <v>0</v>
      </c>
      <c r="M955" s="8" t="n">
        <v>1</v>
      </c>
      <c r="N955" s="8" t="n">
        <v>0</v>
      </c>
      <c r="O955" s="8" t="n">
        <v>1</v>
      </c>
      <c r="P955" s="8" t="n">
        <v>0</v>
      </c>
      <c r="Q955" s="8" t="n">
        <v>1</v>
      </c>
      <c r="R955" s="8" t="n">
        <v>0</v>
      </c>
      <c r="S955" s="8" t="n">
        <v>0</v>
      </c>
      <c r="T955" s="8" t="n">
        <v>0</v>
      </c>
      <c r="U955" s="8" t="n">
        <v>0</v>
      </c>
      <c r="V955" s="8" t="n">
        <v>0</v>
      </c>
      <c r="W955" s="8" t="n">
        <v>0</v>
      </c>
      <c r="X955" s="8" t="n">
        <v>0</v>
      </c>
      <c r="Y955" s="8" t="inlineStr">
        <is>
          <t>BB T2 (play #14; WP embedded: C Stryker advances to 3rd); K_S T5 (play #36). No PA T7 — T Thomas enters mid-AB as sub (play #63).</t>
        </is>
      </c>
    </row>
    <row r="956" ht="15.75" customHeight="1" s="35">
      <c r="A956" s="8" t="inlineStr">
        <is>
          <t>2026-03-23_HMMN_at_CNTN</t>
        </is>
      </c>
      <c r="B956" s="2" t="n">
        <v>46104</v>
      </c>
      <c r="C956" s="8" t="inlineStr">
        <is>
          <t>Centennial Varsity Eagles</t>
        </is>
      </c>
      <c r="D956" s="8" t="inlineStr">
        <is>
          <t>HMMN</t>
        </is>
      </c>
      <c r="E956" s="8" t="inlineStr">
        <is>
          <t>B Garris</t>
        </is>
      </c>
      <c r="F956" s="8" t="n">
        <v>2</v>
      </c>
      <c r="G956" s="8" t="n">
        <v>2</v>
      </c>
      <c r="H956" s="8" t="n">
        <v>0</v>
      </c>
      <c r="I956" s="8" t="n">
        <v>0</v>
      </c>
      <c r="J956" s="8" t="n">
        <v>0</v>
      </c>
      <c r="K956" s="8" t="n">
        <v>0</v>
      </c>
      <c r="L956" s="8" t="n">
        <v>0</v>
      </c>
      <c r="M956" s="8" t="n">
        <v>0</v>
      </c>
      <c r="N956" s="8" t="n">
        <v>0</v>
      </c>
      <c r="O956" s="8" t="n">
        <v>0</v>
      </c>
      <c r="P956" s="8" t="n">
        <v>0</v>
      </c>
      <c r="Q956" s="8" t="n">
        <v>0</v>
      </c>
      <c r="R956" s="8" t="n">
        <v>0</v>
      </c>
      <c r="S956" s="8" t="n">
        <v>0</v>
      </c>
      <c r="T956" s="8" t="n">
        <v>0</v>
      </c>
      <c r="U956" s="8" t="n">
        <v>0</v>
      </c>
      <c r="V956" s="8" t="n">
        <v>0</v>
      </c>
      <c r="W956" s="8" t="n">
        <v>0</v>
      </c>
      <c r="X956" s="8" t="n">
        <v>0</v>
      </c>
      <c r="Y956" s="8" t="inlineStr">
        <is>
          <t>LO T2 (play #15, to SS E Rayne); FO T5 (play #37, to LF D Hill). B Garris also pitches B5 plays #45-#49 for HMMN (entry inferred, Flag #2).</t>
        </is>
      </c>
    </row>
    <row r="957" ht="15.75" customHeight="1" s="35">
      <c r="A957" s="8" t="inlineStr">
        <is>
          <t>2026-03-23_HMMN_at_CNTN</t>
        </is>
      </c>
      <c r="B957" s="2" t="n">
        <v>46104</v>
      </c>
      <c r="C957" s="8" t="inlineStr">
        <is>
          <t>Centennial Varsity Eagles</t>
        </is>
      </c>
      <c r="D957" s="8" t="inlineStr">
        <is>
          <t>HMMN</t>
        </is>
      </c>
      <c r="E957" s="8" t="inlineStr">
        <is>
          <t>N Macomber</t>
        </is>
      </c>
      <c r="F957" s="8" t="n">
        <v>1</v>
      </c>
      <c r="G957" s="8" t="n">
        <v>1</v>
      </c>
      <c r="H957" s="8" t="n">
        <v>0</v>
      </c>
      <c r="I957" s="8" t="n">
        <v>0</v>
      </c>
      <c r="J957" s="8" t="n">
        <v>0</v>
      </c>
      <c r="K957" s="8" t="n">
        <v>0</v>
      </c>
      <c r="L957" s="8" t="n">
        <v>0</v>
      </c>
      <c r="M957" s="8" t="n">
        <v>0</v>
      </c>
      <c r="N957" s="8" t="n">
        <v>0</v>
      </c>
      <c r="O957" s="8" t="n">
        <v>0</v>
      </c>
      <c r="P957" s="8" t="n">
        <v>0</v>
      </c>
      <c r="Q957" s="8" t="n">
        <v>0</v>
      </c>
      <c r="R957" s="8" t="n">
        <v>0</v>
      </c>
      <c r="S957" s="8" t="n">
        <v>0</v>
      </c>
      <c r="T957" s="8" t="n">
        <v>0</v>
      </c>
      <c r="U957" s="8" t="n">
        <v>0</v>
      </c>
      <c r="V957" s="8" t="n">
        <v>0</v>
      </c>
      <c r="W957" s="8" t="n">
        <v>0</v>
      </c>
      <c r="X957" s="8" t="n">
        <v>0</v>
      </c>
      <c r="Y957" s="8" t="inlineStr">
        <is>
          <t>GO T7 (play #62); bats in D Bhatt expected batting order spot without documented substitution (Flag #6). Also CR for D Bhatt T2 (play #14 Sec4 embedded) — does not score (B Garris LO ends T2).</t>
        </is>
      </c>
    </row>
    <row r="958" ht="15.75" customHeight="1" s="35">
      <c r="A958" s="8" t="inlineStr">
        <is>
          <t>2026-03-23_HMMN_at_CNTN</t>
        </is>
      </c>
      <c r="B958" s="2" t="n">
        <v>46104</v>
      </c>
      <c r="C958" s="8" t="inlineStr">
        <is>
          <t>Centennial Varsity Eagles</t>
        </is>
      </c>
      <c r="D958" s="8" t="inlineStr">
        <is>
          <t>HMMN</t>
        </is>
      </c>
      <c r="E958" s="8" t="inlineStr">
        <is>
          <t>T Thomas</t>
        </is>
      </c>
      <c r="F958" s="8" t="n">
        <v>1</v>
      </c>
      <c r="G958" s="8" t="n">
        <v>1</v>
      </c>
      <c r="H958" s="8" t="n">
        <v>0</v>
      </c>
      <c r="I958" s="8" t="n">
        <v>0</v>
      </c>
      <c r="J958" s="8" t="n">
        <v>0</v>
      </c>
      <c r="K958" s="8" t="n">
        <v>0</v>
      </c>
      <c r="L958" s="8" t="n">
        <v>0</v>
      </c>
      <c r="M958" s="8" t="n">
        <v>0</v>
      </c>
      <c r="N958" s="8" t="n">
        <v>0</v>
      </c>
      <c r="O958" s="8" t="n">
        <v>1</v>
      </c>
      <c r="P958" s="8" t="n">
        <v>0</v>
      </c>
      <c r="Q958" s="8" t="n">
        <v>1</v>
      </c>
      <c r="R958" s="8" t="n">
        <v>0</v>
      </c>
      <c r="S958" s="8" t="n">
        <v>0</v>
      </c>
      <c r="T958" s="8" t="n">
        <v>0</v>
      </c>
      <c r="U958" s="8" t="n">
        <v>0</v>
      </c>
      <c r="V958" s="8" t="n">
        <v>0</v>
      </c>
      <c r="W958" s="8" t="n">
        <v>0</v>
      </c>
      <c r="X958" s="8" t="n">
        <v>0</v>
      </c>
      <c r="Y958" s="8" t="inlineStr">
        <is>
          <t>Mid-AB sub for G Garris T7 (play #63, Lineup changed note). K_S (Sec4 Strike 3 swinging) — dropped 3rd strike, reaches via PB by catcher B Harris; advances to 2nd on CNTN Error #3 (B Harris). Does not score. K_S counted as AB per dropped 3rd strike rule.</t>
        </is>
      </c>
    </row>
    <row r="959" ht="15.75" customHeight="1" s="35">
      <c r="A959" s="8" t="inlineStr">
        <is>
          <t>2026-03-23_HMMN_at_CNTN</t>
        </is>
      </c>
      <c r="B959" s="2" t="n">
        <v>46104</v>
      </c>
      <c r="C959" s="8" t="inlineStr">
        <is>
          <t>Centennial Varsity Eagles</t>
        </is>
      </c>
      <c r="D959" s="8" t="inlineStr">
        <is>
          <t>HMMN</t>
        </is>
      </c>
      <c r="E959" s="8" t="inlineStr">
        <is>
          <t>L Duckworth</t>
        </is>
      </c>
      <c r="F959" s="8" t="n">
        <v>1</v>
      </c>
      <c r="G959" s="8" t="n">
        <v>1</v>
      </c>
      <c r="H959" s="8" t="n">
        <v>0</v>
      </c>
      <c r="I959" s="8" t="n">
        <v>0</v>
      </c>
      <c r="J959" s="8" t="n">
        <v>0</v>
      </c>
      <c r="K959" s="8" t="n">
        <v>0</v>
      </c>
      <c r="L959" s="8" t="n">
        <v>0</v>
      </c>
      <c r="M959" s="8" t="n">
        <v>0</v>
      </c>
      <c r="N959" s="8" t="n">
        <v>0</v>
      </c>
      <c r="O959" s="8" t="n">
        <v>1</v>
      </c>
      <c r="P959" s="8" t="n">
        <v>1</v>
      </c>
      <c r="Q959" s="8" t="n">
        <v>0</v>
      </c>
      <c r="R959" s="8" t="n">
        <v>0</v>
      </c>
      <c r="S959" s="8" t="n">
        <v>0</v>
      </c>
      <c r="T959" s="8" t="n">
        <v>0</v>
      </c>
      <c r="U959" s="8" t="n">
        <v>0</v>
      </c>
      <c r="V959" s="8" t="n">
        <v>0</v>
      </c>
      <c r="W959" s="8" t="n">
        <v>0</v>
      </c>
      <c r="X959" s="8" t="n">
        <v>0</v>
      </c>
      <c r="Y959" s="8" t="inlineStr">
        <is>
          <t>K_L T7 (play #64, Sec4 Strike 3 looking). L Duckworth also pitches B5 (mid-AB play #50 onward) and B6 for HMMN.</t>
        </is>
      </c>
    </row>
    <row r="960" ht="15.75" customHeight="1" s="35">
      <c r="A960" s="8" t="inlineStr">
        <is>
          <t>2026-03-23_HMMN_at_CNTN</t>
        </is>
      </c>
      <c r="B960" s="2" t="n">
        <v>46104</v>
      </c>
      <c r="C960" s="8" t="inlineStr">
        <is>
          <t>Centennial Varsity Eagles</t>
        </is>
      </c>
      <c r="D960" s="8" t="inlineStr">
        <is>
          <t>HMMN</t>
        </is>
      </c>
      <c r="E960" s="8" t="inlineStr">
        <is>
          <t>K Gardner</t>
        </is>
      </c>
      <c r="F960" s="8" t="n">
        <v>1</v>
      </c>
      <c r="G960" s="8" t="n">
        <v>1</v>
      </c>
      <c r="H960" s="8" t="n">
        <v>0</v>
      </c>
      <c r="I960" s="8" t="n">
        <v>0</v>
      </c>
      <c r="J960" s="8" t="n">
        <v>0</v>
      </c>
      <c r="K960" s="8" t="n">
        <v>0</v>
      </c>
      <c r="L960" s="8" t="n">
        <v>0</v>
      </c>
      <c r="M960" s="8" t="n">
        <v>0</v>
      </c>
      <c r="N960" s="8" t="n">
        <v>0</v>
      </c>
      <c r="O960" s="8" t="n">
        <v>1</v>
      </c>
      <c r="P960" s="8" t="n">
        <v>0</v>
      </c>
      <c r="Q960" s="8" t="n">
        <v>1</v>
      </c>
      <c r="R960" s="8" t="n">
        <v>0</v>
      </c>
      <c r="S960" s="8" t="n">
        <v>0</v>
      </c>
      <c r="T960" s="8" t="n">
        <v>0</v>
      </c>
      <c r="U960" s="8" t="n">
        <v>0</v>
      </c>
      <c r="V960" s="8" t="n">
        <v>0</v>
      </c>
      <c r="W960" s="8" t="n">
        <v>0</v>
      </c>
      <c r="X960" s="8" t="n">
        <v>0</v>
      </c>
      <c r="Y960" s="8" t="inlineStr">
        <is>
          <t>Mid-AB sub for Y Rivera T7 (play #65, Lineup changed note). K_S (Sec4 Strike 3 swinging). T Thomas stranded at 2nd when K Gardner K ends inning and game.</t>
        </is>
      </c>
    </row>
    <row r="961" ht="15.75" customHeight="1" s="35">
      <c r="A961" s="8" t="inlineStr">
        <is>
          <t>2026-03-23_HMMN_at_CNTN</t>
        </is>
      </c>
      <c r="B961" s="2" t="n">
        <v>46104</v>
      </c>
      <c r="C961" s="8" t="inlineStr">
        <is>
          <t>Hammond Varsity Bears</t>
        </is>
      </c>
      <c r="D961" s="8" t="inlineStr">
        <is>
          <t>CNTN</t>
        </is>
      </c>
      <c r="E961" s="8" t="inlineStr">
        <is>
          <t>A Gauthier</t>
        </is>
      </c>
      <c r="F961" s="8" t="n">
        <v>5</v>
      </c>
      <c r="G961" s="8" t="n">
        <v>4</v>
      </c>
      <c r="H961" s="8" t="n">
        <v>2</v>
      </c>
      <c r="I961" s="8" t="n">
        <v>2</v>
      </c>
      <c r="J961" s="8" t="n">
        <v>0</v>
      </c>
      <c r="K961" s="8" t="n">
        <v>0</v>
      </c>
      <c r="L961" s="8" t="n">
        <v>0</v>
      </c>
      <c r="M961" s="8" t="n">
        <v>0</v>
      </c>
      <c r="N961" s="8" t="n">
        <v>1</v>
      </c>
      <c r="O961" s="8" t="n">
        <v>1</v>
      </c>
      <c r="P961" s="8" t="n">
        <v>0</v>
      </c>
      <c r="Q961" s="8" t="n">
        <v>1</v>
      </c>
      <c r="R961" s="8" t="n">
        <v>2</v>
      </c>
      <c r="S961" s="8" t="n">
        <v>2</v>
      </c>
      <c r="T961" s="8" t="n">
        <v>1</v>
      </c>
      <c r="U961" s="8" t="n">
        <v>0</v>
      </c>
      <c r="V961" s="8" t="n">
        <v>0</v>
      </c>
      <c r="W961" s="8" t="n">
        <v>0</v>
      </c>
      <c r="X961" s="8" t="n">
        <v>0</v>
      </c>
      <c r="Y961" s="8" t="inlineStr">
        <is>
          <t>1B B1 (play #4); HBP B2 (play #19); PO B4 (play #35); 1B B5 (play #49, RBI×2: D Hill + C Stachera score); K_S B6 (play #61, Sec4 Strike 3 swinging); SB 2nd B5 (embedded play #50 Sec4, E Rayne 2nd double AB); R B1 play #5 (E Rayne 2B) + B5 play #50 (E Rayne 2B, A Gauthier scores).</t>
        </is>
      </c>
    </row>
    <row r="962" ht="15.75" customHeight="1" s="35">
      <c r="A962" s="8" t="inlineStr">
        <is>
          <t>2026-03-23_HMMN_at_CNTN</t>
        </is>
      </c>
      <c r="B962" s="2" t="n">
        <v>46104</v>
      </c>
      <c r="C962" s="8" t="inlineStr">
        <is>
          <t>Hammond Varsity Bears</t>
        </is>
      </c>
      <c r="D962" s="8" t="inlineStr">
        <is>
          <t>CNTN</t>
        </is>
      </c>
      <c r="E962" s="8" t="inlineStr">
        <is>
          <t>E Rayne</t>
        </is>
      </c>
      <c r="F962" s="8" t="n">
        <v>4</v>
      </c>
      <c r="G962" s="8" t="n">
        <v>4</v>
      </c>
      <c r="H962" s="8" t="n">
        <v>3</v>
      </c>
      <c r="I962" s="8" t="n">
        <v>0</v>
      </c>
      <c r="J962" s="8" t="n">
        <v>3</v>
      </c>
      <c r="K962" s="8" t="n">
        <v>0</v>
      </c>
      <c r="L962" s="8" t="n">
        <v>0</v>
      </c>
      <c r="M962" s="8" t="n">
        <v>0</v>
      </c>
      <c r="N962" s="8" t="n">
        <v>0</v>
      </c>
      <c r="O962" s="8" t="n">
        <v>0</v>
      </c>
      <c r="P962" s="8" t="n">
        <v>0</v>
      </c>
      <c r="Q962" s="8" t="n">
        <v>0</v>
      </c>
      <c r="R962" s="8" t="n">
        <v>1</v>
      </c>
      <c r="S962" s="8" t="n">
        <v>3</v>
      </c>
      <c r="T962" s="8" t="n">
        <v>0</v>
      </c>
      <c r="U962" s="8" t="n">
        <v>0</v>
      </c>
      <c r="V962" s="8" t="n">
        <v>1</v>
      </c>
      <c r="W962" s="8" t="n">
        <v>0</v>
      </c>
      <c r="X962" s="8" t="n">
        <v>0</v>
      </c>
      <c r="Y962" s="8" t="inlineStr">
        <is>
          <t>2B B1 (play #5, RBI: A Gauthier scores); DP B2 (play #20, pop fly to RF G Garris then catcher L Tordella; C Stachera out at home on tag-up = Runner Out; GDP credited to E Rayne per DP outcome rule); 2B B5 (play #41); 2B B5 (play #50, RBI×2: L Choe + A Gauthier score); R B5 play #43 (A Banks 1B, E Rayne scores). B7 play #66 not counted (Flag #7).</t>
        </is>
      </c>
    </row>
    <row r="963" ht="15.75" customHeight="1" s="35">
      <c r="A963" s="8" t="inlineStr">
        <is>
          <t>2026-03-23_HMMN_at_CNTN</t>
        </is>
      </c>
      <c r="B963" s="2" t="n">
        <v>46104</v>
      </c>
      <c r="C963" s="8" t="inlineStr">
        <is>
          <t>Hammond Varsity Bears</t>
        </is>
      </c>
      <c r="D963" s="8" t="inlineStr">
        <is>
          <t>CNTN</t>
        </is>
      </c>
      <c r="E963" s="8" t="inlineStr">
        <is>
          <t>C Bade</t>
        </is>
      </c>
      <c r="F963" s="8" t="n">
        <v>4</v>
      </c>
      <c r="G963" s="8" t="n">
        <v>3</v>
      </c>
      <c r="H963" s="8" t="n">
        <v>0</v>
      </c>
      <c r="I963" s="8" t="n">
        <v>0</v>
      </c>
      <c r="J963" s="8" t="n">
        <v>0</v>
      </c>
      <c r="K963" s="8" t="n">
        <v>0</v>
      </c>
      <c r="L963" s="8" t="n">
        <v>0</v>
      </c>
      <c r="M963" s="8" t="n">
        <v>0</v>
      </c>
      <c r="N963" s="8" t="n">
        <v>1</v>
      </c>
      <c r="O963" s="8" t="n">
        <v>0</v>
      </c>
      <c r="P963" s="8" t="n">
        <v>0</v>
      </c>
      <c r="Q963" s="8" t="n">
        <v>0</v>
      </c>
      <c r="R963" s="8" t="n">
        <v>0</v>
      </c>
      <c r="S963" s="8" t="n">
        <v>0</v>
      </c>
      <c r="T963" s="8" t="n">
        <v>0</v>
      </c>
      <c r="U963" s="8" t="n">
        <v>0</v>
      </c>
      <c r="V963" s="8" t="n">
        <v>0</v>
      </c>
      <c r="W963" s="8" t="n">
        <v>0</v>
      </c>
      <c r="X963" s="8" t="n">
        <v>0</v>
      </c>
      <c r="Y963" s="8" t="inlineStr">
        <is>
          <t>GO B1 (play #6); PO B3 (play #24); GO B5 (play #42); HBP B5 (play #51; pitch seq ends "Ball 4" not HBP notation per Flag #4 — outcome and description confirm HBP). AB cross-check: PA=4 − HBP=1 = 3 ✓</t>
        </is>
      </c>
    </row>
    <row r="964" ht="15.75" customHeight="1" s="35">
      <c r="A964" s="8" t="inlineStr">
        <is>
          <t>2026-03-23_HMMN_at_CNTN</t>
        </is>
      </c>
      <c r="B964" s="2" t="n">
        <v>46104</v>
      </c>
      <c r="C964" s="8" t="inlineStr">
        <is>
          <t>Hammond Varsity Bears</t>
        </is>
      </c>
      <c r="D964" s="8" t="inlineStr">
        <is>
          <t>CNTN</t>
        </is>
      </c>
      <c r="E964" s="8" t="inlineStr">
        <is>
          <t>A Banks</t>
        </is>
      </c>
      <c r="F964" s="8" t="n">
        <v>4</v>
      </c>
      <c r="G964" s="8" t="n">
        <v>3</v>
      </c>
      <c r="H964" s="8" t="n">
        <v>2</v>
      </c>
      <c r="I964" s="8" t="n">
        <v>2</v>
      </c>
      <c r="J964" s="8" t="n">
        <v>0</v>
      </c>
      <c r="K964" s="8" t="n">
        <v>0</v>
      </c>
      <c r="L964" s="8" t="n">
        <v>0</v>
      </c>
      <c r="M964" s="8" t="n">
        <v>1</v>
      </c>
      <c r="N964" s="8" t="n">
        <v>0</v>
      </c>
      <c r="O964" s="8" t="n">
        <v>1</v>
      </c>
      <c r="P964" s="8" t="n">
        <v>1</v>
      </c>
      <c r="Q964" s="8" t="n">
        <v>0</v>
      </c>
      <c r="R964" s="8" t="n">
        <v>1</v>
      </c>
      <c r="S964" s="8" t="n">
        <v>1</v>
      </c>
      <c r="T964" s="8" t="n">
        <v>0</v>
      </c>
      <c r="U964" s="8" t="n">
        <v>0</v>
      </c>
      <c r="V964" s="8" t="n">
        <v>0</v>
      </c>
      <c r="W964" s="8" t="n">
        <v>0</v>
      </c>
      <c r="X964" s="8" t="n">
        <v>0</v>
      </c>
      <c r="Y964" s="8" t="inlineStr">
        <is>
          <t>BB B1 (play #7); 1B B3 (play #25); 1B B5 (play #43, RBI: E Rayne scores); K_L B5 (play #52); R B5 play #46 (C Stachera HBP, A Banks forced home — RBI to C Stachera).</t>
        </is>
      </c>
    </row>
    <row r="965" ht="15.75" customHeight="1" s="35">
      <c r="A965" s="8" t="inlineStr">
        <is>
          <t>2026-03-23_HMMN_at_CNTN</t>
        </is>
      </c>
      <c r="B965" s="2" t="n">
        <v>46104</v>
      </c>
      <c r="C965" s="8" t="inlineStr">
        <is>
          <t>Hammond Varsity Bears</t>
        </is>
      </c>
      <c r="D965" s="8" t="inlineStr">
        <is>
          <t>CNTN</t>
        </is>
      </c>
      <c r="E965" s="8" t="inlineStr">
        <is>
          <t>B Harris</t>
        </is>
      </c>
      <c r="F965" s="8" t="n">
        <v>4</v>
      </c>
      <c r="G965" s="8" t="n">
        <v>3</v>
      </c>
      <c r="H965" s="8" t="n">
        <v>0</v>
      </c>
      <c r="I965" s="8" t="n">
        <v>0</v>
      </c>
      <c r="J965" s="8" t="n">
        <v>0</v>
      </c>
      <c r="K965" s="8" t="n">
        <v>0</v>
      </c>
      <c r="L965" s="8" t="n">
        <v>0</v>
      </c>
      <c r="M965" s="8" t="n">
        <v>1</v>
      </c>
      <c r="N965" s="8" t="n">
        <v>0</v>
      </c>
      <c r="O965" s="8" t="n">
        <v>2</v>
      </c>
      <c r="P965" s="8" t="n">
        <v>0</v>
      </c>
      <c r="Q965" s="8" t="n">
        <v>2</v>
      </c>
      <c r="R965" s="8" t="n">
        <v>1</v>
      </c>
      <c r="S965" s="8" t="n">
        <v>0</v>
      </c>
      <c r="T965" s="8" t="n">
        <v>0</v>
      </c>
      <c r="U965" s="8" t="n">
        <v>0</v>
      </c>
      <c r="V965" s="8" t="n">
        <v>0</v>
      </c>
      <c r="W965" s="8" t="n">
        <v>0</v>
      </c>
      <c r="X965" s="8" t="n">
        <v>1</v>
      </c>
      <c r="Y965" s="8" t="inlineStr">
        <is>
          <t>K_S B1 (play #8, foul-tip DP in the K sequence? No — K_S standard); FC B3 (play #26, A Banks out advancing to 2nd); BB B5 (play #44, then E Ogg CR enters play #45); K_S B5 (play #53, foul tip caught); R: E Ogg (CR) scores on D Hill 1B play #47 — R credited to B Harris per CR rule. B Harris committed CNTN Errors #1 (play #39 embedded) and #3 (play #63). CR E Ogg used in B3 (play #27, does not score) and B5 (play #45, scores play #47) — Flags #5, #6.</t>
        </is>
      </c>
    </row>
    <row r="966" ht="15.75" customHeight="1" s="35">
      <c r="A966" s="8" t="inlineStr">
        <is>
          <t>2026-03-23_HMMN_at_CNTN</t>
        </is>
      </c>
      <c r="B966" s="2" t="n">
        <v>46104</v>
      </c>
      <c r="C966" s="8" t="inlineStr">
        <is>
          <t>Hammond Varsity Bears</t>
        </is>
      </c>
      <c r="D966" s="8" t="inlineStr">
        <is>
          <t>CNTN</t>
        </is>
      </c>
      <c r="E966" s="8" t="inlineStr">
        <is>
          <t>B Corrao</t>
        </is>
      </c>
      <c r="F966" s="8" t="n">
        <v>4</v>
      </c>
      <c r="G966" s="8" t="n">
        <v>3</v>
      </c>
      <c r="H966" s="8" t="n">
        <v>2</v>
      </c>
      <c r="I966" s="8" t="n">
        <v>0</v>
      </c>
      <c r="J966" s="8" t="n">
        <v>2</v>
      </c>
      <c r="K966" s="8" t="n">
        <v>0</v>
      </c>
      <c r="L966" s="8" t="n">
        <v>0</v>
      </c>
      <c r="M966" s="8" t="n">
        <v>1</v>
      </c>
      <c r="N966" s="8" t="n">
        <v>0</v>
      </c>
      <c r="O966" s="8" t="n">
        <v>0</v>
      </c>
      <c r="P966" s="8" t="n">
        <v>0</v>
      </c>
      <c r="Q966" s="8" t="n">
        <v>0</v>
      </c>
      <c r="R966" s="8" t="n">
        <v>2</v>
      </c>
      <c r="S966" s="8" t="n">
        <v>0</v>
      </c>
      <c r="T966" s="8" t="n">
        <v>0</v>
      </c>
      <c r="U966" s="8" t="n">
        <v>0</v>
      </c>
      <c r="V966" s="8" t="n">
        <v>0</v>
      </c>
      <c r="W966" s="8" t="n">
        <v>0</v>
      </c>
      <c r="X966" s="8" t="n">
        <v>0</v>
      </c>
      <c r="Y966" s="8" t="inlineStr">
        <is>
          <t>LO B1 (play #9); 2B B3 (play #27; E Ogg CR for B Harris advances to 3rd but does not score — C Stachera GO ends B3); BB B5 (play #45); R B5 play #47 (D Hill 1B, B Corrao scores); 2B B6 (play #57); R B6 play #60 (L Choe SAC fly, B Corrao scores from 3rd).</t>
        </is>
      </c>
    </row>
    <row r="967" ht="15.75" customHeight="1" s="35">
      <c r="A967" s="8" t="inlineStr">
        <is>
          <t>2026-03-23_HMMN_at_CNTN</t>
        </is>
      </c>
      <c r="B967" s="2" t="n">
        <v>46104</v>
      </c>
      <c r="C967" s="8" t="inlineStr">
        <is>
          <t>Hammond Varsity Bears</t>
        </is>
      </c>
      <c r="D967" s="8" t="inlineStr">
        <is>
          <t>CNTN</t>
        </is>
      </c>
      <c r="E967" s="8" t="inlineStr">
        <is>
          <t>C Stachera</t>
        </is>
      </c>
      <c r="F967" s="8" t="n">
        <v>4</v>
      </c>
      <c r="G967" s="8" t="n">
        <v>2</v>
      </c>
      <c r="H967" s="8" t="n">
        <v>0</v>
      </c>
      <c r="I967" s="8" t="n">
        <v>0</v>
      </c>
      <c r="J967" s="8" t="n">
        <v>0</v>
      </c>
      <c r="K967" s="8" t="n">
        <v>0</v>
      </c>
      <c r="L967" s="8" t="n">
        <v>0</v>
      </c>
      <c r="M967" s="8" t="n">
        <v>1</v>
      </c>
      <c r="N967" s="8" t="n">
        <v>1</v>
      </c>
      <c r="O967" s="8" t="n">
        <v>0</v>
      </c>
      <c r="P967" s="8" t="n">
        <v>0</v>
      </c>
      <c r="Q967" s="8" t="n">
        <v>0</v>
      </c>
      <c r="R967" s="8" t="n">
        <v>1</v>
      </c>
      <c r="S967" s="8" t="n">
        <v>1</v>
      </c>
      <c r="T967" s="8" t="n">
        <v>0</v>
      </c>
      <c r="U967" s="8" t="n">
        <v>0</v>
      </c>
      <c r="V967" s="8" t="n">
        <v>0</v>
      </c>
      <c r="W967" s="8" t="n">
        <v>0</v>
      </c>
      <c r="X967" s="8" t="n">
        <v>0</v>
      </c>
      <c r="Y967" s="8" t="inlineStr">
        <is>
          <t>BB B2 (play #16); GO B3 (play #28); HBP B5 (play #46, RBI: A Banks forced home); R B5 play #49 (A Gauthier 1B, C Stachera scores). Note: C Stachera out at home on E Rayne B2 DP (play #20) = Runner Out; not counted as a PA. C Stachera also pitches T1-T4 for CNTN. AB: PA=4 − BB=1 − HBP=1 = 2 ✓</t>
        </is>
      </c>
    </row>
    <row r="968" ht="15.75" customHeight="1" s="35">
      <c r="A968" s="8" t="inlineStr">
        <is>
          <t>2026-03-23_HMMN_at_CNTN</t>
        </is>
      </c>
      <c r="B968" s="2" t="n">
        <v>46104</v>
      </c>
      <c r="C968" s="8" t="inlineStr">
        <is>
          <t>Hammond Varsity Bears</t>
        </is>
      </c>
      <c r="D968" s="8" t="inlineStr">
        <is>
          <t>CNTN</t>
        </is>
      </c>
      <c r="E968" s="8" t="inlineStr">
        <is>
          <t>D Hill</t>
        </is>
      </c>
      <c r="F968" s="8" t="n">
        <v>4</v>
      </c>
      <c r="G968" s="8" t="n">
        <v>4</v>
      </c>
      <c r="H968" s="8" t="n">
        <v>3</v>
      </c>
      <c r="I968" s="8" t="n">
        <v>3</v>
      </c>
      <c r="J968" s="8" t="n">
        <v>0</v>
      </c>
      <c r="K968" s="8" t="n">
        <v>0</v>
      </c>
      <c r="L968" s="8" t="n">
        <v>0</v>
      </c>
      <c r="M968" s="8" t="n">
        <v>0</v>
      </c>
      <c r="N968" s="8" t="n">
        <v>0</v>
      </c>
      <c r="O968" s="8" t="n">
        <v>0</v>
      </c>
      <c r="P968" s="8" t="n">
        <v>0</v>
      </c>
      <c r="Q968" s="8" t="n">
        <v>0</v>
      </c>
      <c r="R968" s="8" t="n">
        <v>1</v>
      </c>
      <c r="S968" s="8" t="n">
        <v>2</v>
      </c>
      <c r="T968" s="8" t="n">
        <v>1</v>
      </c>
      <c r="U968" s="8" t="n">
        <v>0</v>
      </c>
      <c r="V968" s="8" t="n">
        <v>0</v>
      </c>
      <c r="W968" s="8" t="n">
        <v>0</v>
      </c>
      <c r="X968" s="8" t="n">
        <v>0</v>
      </c>
      <c r="Y968" s="8" t="inlineStr">
        <is>
          <t>1B B2 (play #17); GO B4 (play #33); 1B B5 (play #47, RBI×2: B Corrao + E Ogg/B Harris score); SB 2nd B6 (embedded play #60 Sec4, L Choe SAC Fly AB); 1B B6 (play #59); R B5 play #49 (A Gauthier 1B, D Hill scores).</t>
        </is>
      </c>
    </row>
    <row r="969" ht="15.75" customHeight="1" s="35">
      <c r="A969" s="8" t="inlineStr">
        <is>
          <t>2026-03-23_HMMN_at_CNTN</t>
        </is>
      </c>
      <c r="B969" s="2" t="n">
        <v>46104</v>
      </c>
      <c r="C969" s="8" t="inlineStr">
        <is>
          <t>Hammond Varsity Bears</t>
        </is>
      </c>
      <c r="D969" s="8" t="inlineStr">
        <is>
          <t>CNTN</t>
        </is>
      </c>
      <c r="E969" s="8" t="inlineStr">
        <is>
          <t>L Choe</t>
        </is>
      </c>
      <c r="F969" s="8" t="n">
        <v>4</v>
      </c>
      <c r="G969" s="8" t="n">
        <v>1</v>
      </c>
      <c r="H969" s="8" t="n">
        <v>0</v>
      </c>
      <c r="I969" s="8" t="n">
        <v>0</v>
      </c>
      <c r="J969" s="8" t="n">
        <v>0</v>
      </c>
      <c r="K969" s="8" t="n">
        <v>0</v>
      </c>
      <c r="L969" s="8" t="n">
        <v>0</v>
      </c>
      <c r="M969" s="8" t="n">
        <v>1</v>
      </c>
      <c r="N969" s="8" t="n">
        <v>0</v>
      </c>
      <c r="O969" s="8" t="n">
        <v>0</v>
      </c>
      <c r="P969" s="8" t="n">
        <v>0</v>
      </c>
      <c r="Q969" s="8" t="n">
        <v>0</v>
      </c>
      <c r="R969" s="8" t="n">
        <v>1</v>
      </c>
      <c r="S969" s="8" t="n">
        <v>1</v>
      </c>
      <c r="T969" s="8" t="n">
        <v>0</v>
      </c>
      <c r="U969" s="8" t="n">
        <v>0</v>
      </c>
      <c r="V969" s="8" t="n">
        <v>0</v>
      </c>
      <c r="W969" s="8" t="n">
        <v>1</v>
      </c>
      <c r="X969" s="8" t="n">
        <v>0</v>
      </c>
      <c r="Y969" s="8" t="inlineStr">
        <is>
          <t>SAC B2 (play #18, outcome explicitly "Sacrifice" — bunt; PA+1, SAC+1, no AB); GO B4 (play #34); BB B5 (play #48); SAC Fly B6 (play #60, RBI: B Corrao scores from 3rd; D Hill steals 2nd embedded Sec4); R B5 play #50 (E Rayne 2B, L Choe scores from 3rd). AB: PA=4 − BB=1 − SAC=1 − SAC Fly=1 = 1 ✓</t>
        </is>
      </c>
    </row>
    <row r="970" ht="15.75" customHeight="1" s="35">
      <c r="A970" s="8" t="inlineStr">
        <is>
          <t>2026-03-23_HMMN_at_CNTN</t>
        </is>
      </c>
      <c r="B970" s="2" t="n">
        <v>46104</v>
      </c>
      <c r="C970" s="8" t="inlineStr">
        <is>
          <t>Hammond Varsity Bears</t>
        </is>
      </c>
      <c r="D970" s="8" t="inlineStr">
        <is>
          <t>CNTN</t>
        </is>
      </c>
      <c r="E970" s="8" t="inlineStr">
        <is>
          <t>E Ogg</t>
        </is>
      </c>
      <c r="F970" s="8" t="n">
        <v>0</v>
      </c>
      <c r="G970" s="8" t="n">
        <v>0</v>
      </c>
      <c r="H970" s="8" t="n">
        <v>0</v>
      </c>
      <c r="I970" s="8" t="n">
        <v>0</v>
      </c>
      <c r="J970" s="8" t="n">
        <v>0</v>
      </c>
      <c r="K970" s="8" t="n">
        <v>0</v>
      </c>
      <c r="L970" s="8" t="n">
        <v>0</v>
      </c>
      <c r="M970" s="8" t="n">
        <v>0</v>
      </c>
      <c r="N970" s="8" t="n">
        <v>0</v>
      </c>
      <c r="O970" s="8" t="n">
        <v>0</v>
      </c>
      <c r="P970" s="8" t="n">
        <v>0</v>
      </c>
      <c r="Q970" s="8" t="n">
        <v>0</v>
      </c>
      <c r="R970" s="8" t="n">
        <v>0</v>
      </c>
      <c r="S970" s="8" t="n">
        <v>0</v>
      </c>
      <c r="T970" s="8" t="n">
        <v>0</v>
      </c>
      <c r="U970" s="8" t="n">
        <v>0</v>
      </c>
      <c r="V970" s="8" t="n">
        <v>0</v>
      </c>
      <c r="W970" s="8" t="n">
        <v>0</v>
      </c>
      <c r="X970" s="8" t="n">
        <v>0</v>
      </c>
      <c r="Y970" s="8" t="inlineStr">
        <is>
          <t>CR for B Harris twice: B3 (play #27 Sec4 embedded) — E Ogg advances to 3rd on B Corrao 2B, does not score (C Stachera GO ends B3); B5 (play #45 Sec4 embedded) — E Ogg scores on D Hill 1B play #47, R credited to B Harris per CR rule. Zero batting PAs. Flags #5, #6.</t>
        </is>
      </c>
    </row>
    <row r="971" ht="15.75" customHeight="1" s="35">
      <c r="A971" s="8" t="inlineStr">
        <is>
          <t>2026-03-26_MRRT_at_CNTN</t>
        </is>
      </c>
      <c r="B971" s="2" t="n">
        <v>46107</v>
      </c>
      <c r="C971" s="8" t="inlineStr">
        <is>
          <t>Centennial Varsity Eagles</t>
        </is>
      </c>
      <c r="D971" s="8" t="inlineStr">
        <is>
          <t>MRRT</t>
        </is>
      </c>
      <c r="E971" s="8" t="inlineStr">
        <is>
          <t>A Schwendeman</t>
        </is>
      </c>
      <c r="F971" s="8" t="n">
        <v>4</v>
      </c>
      <c r="G971" s="8" t="n">
        <v>3</v>
      </c>
      <c r="H971" s="8" t="n">
        <v>1</v>
      </c>
      <c r="I971" s="8" t="n">
        <v>1</v>
      </c>
      <c r="J971" s="8" t="n">
        <v>0</v>
      </c>
      <c r="K971" s="8" t="n">
        <v>0</v>
      </c>
      <c r="L971" s="8" t="n">
        <v>0</v>
      </c>
      <c r="M971" s="8" t="n">
        <v>1</v>
      </c>
      <c r="N971" s="8" t="n">
        <v>0</v>
      </c>
      <c r="O971" s="8" t="n">
        <v>1</v>
      </c>
      <c r="P971" s="8" t="n">
        <v>1</v>
      </c>
      <c r="Q971" s="8" t="n">
        <v>0</v>
      </c>
      <c r="R971" s="8" t="n">
        <v>0</v>
      </c>
      <c r="S971" s="8" t="n">
        <v>0</v>
      </c>
      <c r="T971" s="8" t="n">
        <v>0</v>
      </c>
      <c r="U971" s="8" t="n">
        <v>0</v>
      </c>
      <c r="V971" s="8" t="n">
        <v>0</v>
      </c>
      <c r="W971" s="8" t="n">
        <v>0</v>
      </c>
      <c r="X971" s="8" t="n">
        <v>0</v>
      </c>
      <c r="Y971" s="8" t="inlineStr">
        <is>
          <t>K_L T1 (play #1); Walk T5 (play #41); 1B T7 (play #59)</t>
        </is>
      </c>
    </row>
    <row r="972" ht="15.75" customHeight="1" s="35">
      <c r="A972" s="8" t="inlineStr">
        <is>
          <t>2026-03-26_MRRT_at_CNTN</t>
        </is>
      </c>
      <c r="B972" s="2" t="n">
        <v>46107</v>
      </c>
      <c r="C972" s="8" t="inlineStr">
        <is>
          <t>Centennial Varsity Eagles</t>
        </is>
      </c>
      <c r="D972" s="8" t="inlineStr">
        <is>
          <t>MRRT</t>
        </is>
      </c>
      <c r="E972" s="8" t="inlineStr">
        <is>
          <t>O Snow</t>
        </is>
      </c>
      <c r="F972" s="8" t="n">
        <v>4</v>
      </c>
      <c r="G972" s="8" t="n">
        <v>2</v>
      </c>
      <c r="H972" s="8" t="n">
        <v>0</v>
      </c>
      <c r="I972" s="8" t="n">
        <v>0</v>
      </c>
      <c r="J972" s="8" t="n">
        <v>0</v>
      </c>
      <c r="K972" s="8" t="n">
        <v>0</v>
      </c>
      <c r="L972" s="8" t="n">
        <v>0</v>
      </c>
      <c r="M972" s="8" t="n">
        <v>0</v>
      </c>
      <c r="N972" s="8" t="n">
        <v>2</v>
      </c>
      <c r="O972" s="8" t="n">
        <v>1</v>
      </c>
      <c r="P972" s="8" t="n">
        <v>0</v>
      </c>
      <c r="Q972" s="8" t="n">
        <v>1</v>
      </c>
      <c r="R972" s="8" t="n">
        <v>0</v>
      </c>
      <c r="S972" s="8" t="n">
        <v>0</v>
      </c>
      <c r="T972" s="8" t="n">
        <v>0</v>
      </c>
      <c r="U972" s="8" t="n">
        <v>0</v>
      </c>
      <c r="V972" s="8" t="n">
        <v>0</v>
      </c>
      <c r="W972" s="8" t="n">
        <v>0</v>
      </c>
      <c r="X972" s="8" t="n">
        <v>0</v>
      </c>
      <c r="Y972" s="8" t="inlineStr">
        <is>
          <t>HBP T1 (play #2); K_S T3 (play #22); GO T5 (play #42); HBP T7 (play #60)</t>
        </is>
      </c>
    </row>
    <row r="973" ht="15.75" customHeight="1" s="35">
      <c r="A973" s="8" t="inlineStr">
        <is>
          <t>2026-03-26_MRRT_at_CNTN</t>
        </is>
      </c>
      <c r="B973" s="2" t="n">
        <v>46107</v>
      </c>
      <c r="C973" s="8" t="inlineStr">
        <is>
          <t>Centennial Varsity Eagles</t>
        </is>
      </c>
      <c r="D973" s="8" t="inlineStr">
        <is>
          <t>MRRT</t>
        </is>
      </c>
      <c r="E973" s="8" t="inlineStr">
        <is>
          <t>M Parson</t>
        </is>
      </c>
      <c r="F973" s="8" t="n">
        <v>4</v>
      </c>
      <c r="G973" s="8" t="n">
        <v>3</v>
      </c>
      <c r="H973" s="8" t="n">
        <v>2</v>
      </c>
      <c r="I973" s="8" t="n">
        <v>2</v>
      </c>
      <c r="J973" s="8" t="n">
        <v>0</v>
      </c>
      <c r="K973" s="8" t="n">
        <v>0</v>
      </c>
      <c r="L973" s="8" t="n">
        <v>0</v>
      </c>
      <c r="M973" s="8" t="n">
        <v>1</v>
      </c>
      <c r="N973" s="8" t="n">
        <v>0</v>
      </c>
      <c r="O973" s="8" t="n">
        <v>0</v>
      </c>
      <c r="P973" s="8" t="n">
        <v>0</v>
      </c>
      <c r="Q973" s="8" t="n">
        <v>0</v>
      </c>
      <c r="R973" s="8" t="n">
        <v>0</v>
      </c>
      <c r="S973" s="8" t="n">
        <v>0</v>
      </c>
      <c r="T973" s="8" t="n">
        <v>0</v>
      </c>
      <c r="U973" s="8" t="n">
        <v>0</v>
      </c>
      <c r="V973" s="8" t="n">
        <v>0</v>
      </c>
      <c r="W973" s="8" t="n">
        <v>0</v>
      </c>
      <c r="X973" s="8" t="n">
        <v>0</v>
      </c>
      <c r="Y973" s="8" t="inlineStr">
        <is>
          <t>Walk T1 (play #3); 1B T4 (play #28); bunt GO T5 (play #43, no SAC language); 1B T7 (play #61, sub for S Grams per Flag #7). Right field position per play descriptions.</t>
        </is>
      </c>
    </row>
    <row r="974" ht="15.75" customHeight="1" s="35">
      <c r="A974" s="8" t="inlineStr">
        <is>
          <t>2026-03-26_MRRT_at_CNTN</t>
        </is>
      </c>
      <c r="B974" s="2" t="n">
        <v>46107</v>
      </c>
      <c r="C974" s="8" t="inlineStr">
        <is>
          <t>Centennial Varsity Eagles</t>
        </is>
      </c>
      <c r="D974" s="8" t="inlineStr">
        <is>
          <t>MRRT</t>
        </is>
      </c>
      <c r="E974" s="8" t="inlineStr">
        <is>
          <t>N Brown</t>
        </is>
      </c>
      <c r="F974" s="8" t="n">
        <v>4</v>
      </c>
      <c r="G974" s="8" t="n">
        <v>3</v>
      </c>
      <c r="H974" s="8" t="n">
        <v>1</v>
      </c>
      <c r="I974" s="8" t="n">
        <v>1</v>
      </c>
      <c r="J974" s="8" t="n">
        <v>0</v>
      </c>
      <c r="K974" s="8" t="n">
        <v>0</v>
      </c>
      <c r="L974" s="8" t="n">
        <v>0</v>
      </c>
      <c r="M974" s="8" t="n">
        <v>1</v>
      </c>
      <c r="N974" s="8" t="n">
        <v>0</v>
      </c>
      <c r="O974" s="8" t="n">
        <v>0</v>
      </c>
      <c r="P974" s="8" t="n">
        <v>0</v>
      </c>
      <c r="Q974" s="8" t="n">
        <v>0</v>
      </c>
      <c r="R974" s="8" t="n">
        <v>1</v>
      </c>
      <c r="S974" s="8" t="n">
        <v>0</v>
      </c>
      <c r="T974" s="8" t="n">
        <v>0</v>
      </c>
      <c r="U974" s="8" t="n">
        <v>0</v>
      </c>
      <c r="V974" s="8" t="n">
        <v>0</v>
      </c>
      <c r="W974" s="8" t="n">
        <v>0</v>
      </c>
      <c r="X974" s="8" t="n">
        <v>0</v>
      </c>
      <c r="Y974" s="8" t="inlineStr">
        <is>
          <t>FO T1 (play #4); Walk T4 (play #29); 1B T6 (play #48, no pitcher named — see Flag #2); PO T7 (play #62). R T6: scores embedded in A Montgomery K AB (play #52) — mechanism not stated (Flag #6); no RBI awarded.</t>
        </is>
      </c>
    </row>
    <row r="975" ht="15.75" customHeight="1" s="35">
      <c r="A975" s="8" t="inlineStr">
        <is>
          <t>2026-03-26_MRRT_at_CNTN</t>
        </is>
      </c>
      <c r="B975" s="2" t="n">
        <v>46107</v>
      </c>
      <c r="C975" s="8" t="inlineStr">
        <is>
          <t>Centennial Varsity Eagles</t>
        </is>
      </c>
      <c r="D975" s="8" t="inlineStr">
        <is>
          <t>MRRT</t>
        </is>
      </c>
      <c r="E975" s="8" t="inlineStr">
        <is>
          <t>A Devito</t>
        </is>
      </c>
      <c r="F975" s="8" t="n">
        <v>4</v>
      </c>
      <c r="G975" s="8" t="n">
        <v>3</v>
      </c>
      <c r="H975" s="8" t="n">
        <v>1</v>
      </c>
      <c r="I975" s="8" t="n">
        <v>1</v>
      </c>
      <c r="J975" s="8" t="n">
        <v>0</v>
      </c>
      <c r="K975" s="8" t="n">
        <v>0</v>
      </c>
      <c r="L975" s="8" t="n">
        <v>0</v>
      </c>
      <c r="M975" s="8" t="n">
        <v>1</v>
      </c>
      <c r="N975" s="8" t="n">
        <v>0</v>
      </c>
      <c r="O975" s="8" t="n">
        <v>2</v>
      </c>
      <c r="P975" s="8" t="n">
        <v>2</v>
      </c>
      <c r="Q975" s="8" t="n">
        <v>0</v>
      </c>
      <c r="R975" s="8" t="n">
        <v>0</v>
      </c>
      <c r="S975" s="8" t="n">
        <v>0</v>
      </c>
      <c r="T975" s="8" t="n">
        <v>0</v>
      </c>
      <c r="U975" s="8" t="n">
        <v>0</v>
      </c>
      <c r="V975" s="8" t="n">
        <v>0</v>
      </c>
      <c r="W975" s="8" t="n">
        <v>0</v>
      </c>
      <c r="X975" s="8" t="n">
        <v>0</v>
      </c>
      <c r="Y975" s="8" t="inlineStr">
        <is>
          <t>K_L T2 (play #30); Walk T6 (play #49); K_L T7 (play #63); 1B T2 (play #11). Out advancing to 2nd on J Devito FC T6 (play #50) — runner out, not a separate PA.</t>
        </is>
      </c>
    </row>
    <row r="976" ht="15.75" customHeight="1" s="35">
      <c r="A976" s="8" t="inlineStr">
        <is>
          <t>2026-03-26_MRRT_at_CNTN</t>
        </is>
      </c>
      <c r="B976" s="2" t="n">
        <v>46107</v>
      </c>
      <c r="C976" s="8" t="inlineStr">
        <is>
          <t>Centennial Varsity Eagles</t>
        </is>
      </c>
      <c r="D976" s="8" t="inlineStr">
        <is>
          <t>MRRT</t>
        </is>
      </c>
      <c r="E976" s="8" t="inlineStr">
        <is>
          <t>J Devito</t>
        </is>
      </c>
      <c r="F976" s="8" t="n">
        <v>3</v>
      </c>
      <c r="G976" s="8" t="n">
        <v>3</v>
      </c>
      <c r="H976" s="8" t="n">
        <v>0</v>
      </c>
      <c r="I976" s="8" t="n">
        <v>0</v>
      </c>
      <c r="J976" s="8" t="n">
        <v>0</v>
      </c>
      <c r="K976" s="8" t="n">
        <v>0</v>
      </c>
      <c r="L976" s="8" t="n">
        <v>0</v>
      </c>
      <c r="M976" s="8" t="n">
        <v>0</v>
      </c>
      <c r="N976" s="8" t="n">
        <v>0</v>
      </c>
      <c r="O976" s="8" t="n">
        <v>1</v>
      </c>
      <c r="P976" s="8" t="n">
        <v>1</v>
      </c>
      <c r="Q976" s="8" t="n">
        <v>0</v>
      </c>
      <c r="R976" s="8" t="n">
        <v>0</v>
      </c>
      <c r="S976" s="8" t="n">
        <v>0</v>
      </c>
      <c r="T976" s="8" t="n">
        <v>0</v>
      </c>
      <c r="U976" s="8" t="n">
        <v>0</v>
      </c>
      <c r="V976" s="8" t="n">
        <v>0</v>
      </c>
      <c r="W976" s="8" t="n">
        <v>0</v>
      </c>
      <c r="X976" s="8" t="n">
        <v>1</v>
      </c>
      <c r="Y976" s="8" t="inlineStr">
        <is>
          <t>PO T2 (play #12); K_L T4 (play #31); FC T6 (play #50, A Devito out advancing). Advances 2nd→3rd on PB (C B Harris) embedded play #52; stranded when A Montgomery K ends T6.</t>
        </is>
      </c>
    </row>
    <row r="977" ht="15.75" customHeight="1" s="35">
      <c r="A977" s="8" t="inlineStr">
        <is>
          <t>2026-03-26_MRRT_at_CNTN</t>
        </is>
      </c>
      <c r="B977" s="2" t="n">
        <v>46107</v>
      </c>
      <c r="C977" s="8" t="inlineStr">
        <is>
          <t>Centennial Varsity Eagles</t>
        </is>
      </c>
      <c r="D977" s="8" t="inlineStr">
        <is>
          <t>MRRT</t>
        </is>
      </c>
      <c r="E977" s="8" t="inlineStr">
        <is>
          <t>Z Magee</t>
        </is>
      </c>
      <c r="F977" s="8" t="n">
        <v>3</v>
      </c>
      <c r="G977" s="8" t="n">
        <v>2</v>
      </c>
      <c r="H977" s="8" t="n">
        <v>0</v>
      </c>
      <c r="I977" s="8" t="n">
        <v>0</v>
      </c>
      <c r="J977" s="8" t="n">
        <v>0</v>
      </c>
      <c r="K977" s="8" t="n">
        <v>0</v>
      </c>
      <c r="L977" s="8" t="n">
        <v>0</v>
      </c>
      <c r="M977" s="8" t="n">
        <v>0</v>
      </c>
      <c r="N977" s="8" t="n">
        <v>1</v>
      </c>
      <c r="O977" s="8" t="n">
        <v>0</v>
      </c>
      <c r="P977" s="8" t="n">
        <v>0</v>
      </c>
      <c r="Q977" s="8" t="n">
        <v>0</v>
      </c>
      <c r="R977" s="8" t="n">
        <v>0</v>
      </c>
      <c r="S977" s="8" t="n">
        <v>0</v>
      </c>
      <c r="T977" s="8" t="n">
        <v>0</v>
      </c>
      <c r="U977" s="8" t="n">
        <v>0</v>
      </c>
      <c r="V977" s="8" t="n">
        <v>0</v>
      </c>
      <c r="W977" s="8" t="n">
        <v>0</v>
      </c>
      <c r="X977" s="8" t="n">
        <v>0</v>
      </c>
      <c r="Y977" s="8" t="inlineStr">
        <is>
          <t>PO T2 (play #13); HBP T4 (play #32); PO T6 (play #51).</t>
        </is>
      </c>
    </row>
    <row r="978" ht="15.75" customHeight="1" s="35">
      <c r="A978" s="8" t="inlineStr">
        <is>
          <t>2026-03-26_MRRT_at_CNTN</t>
        </is>
      </c>
      <c r="B978" s="2" t="n">
        <v>46107</v>
      </c>
      <c r="C978" s="8" t="inlineStr">
        <is>
          <t>Centennial Varsity Eagles</t>
        </is>
      </c>
      <c r="D978" s="8" t="inlineStr">
        <is>
          <t>MRRT</t>
        </is>
      </c>
      <c r="E978" s="8" t="inlineStr">
        <is>
          <t>A Montgomery</t>
        </is>
      </c>
      <c r="F978" s="8" t="n">
        <v>3</v>
      </c>
      <c r="G978" s="8" t="n">
        <v>3</v>
      </c>
      <c r="H978" s="8" t="n">
        <v>0</v>
      </c>
      <c r="I978" s="8" t="n">
        <v>0</v>
      </c>
      <c r="J978" s="8" t="n">
        <v>0</v>
      </c>
      <c r="K978" s="8" t="n">
        <v>0</v>
      </c>
      <c r="L978" s="8" t="n">
        <v>0</v>
      </c>
      <c r="M978" s="8" t="n">
        <v>0</v>
      </c>
      <c r="N978" s="8" t="n">
        <v>0</v>
      </c>
      <c r="O978" s="8" t="n">
        <v>1</v>
      </c>
      <c r="P978" s="8" t="n">
        <v>0</v>
      </c>
      <c r="Q978" s="8" t="n">
        <v>1</v>
      </c>
      <c r="R978" s="8" t="n">
        <v>0</v>
      </c>
      <c r="S978" s="8" t="n">
        <v>0</v>
      </c>
      <c r="T978" s="8" t="n">
        <v>0</v>
      </c>
      <c r="U978" s="8" t="n">
        <v>0</v>
      </c>
      <c r="V978" s="8" t="n">
        <v>0</v>
      </c>
      <c r="W978" s="8" t="n">
        <v>0</v>
      </c>
      <c r="X978" s="8" t="n">
        <v>1</v>
      </c>
      <c r="Y978" s="8" t="inlineStr">
        <is>
          <t>GO T2 (play #14); FC T4 (play #33, Z Magee out advancing; M Parson did not score per Flag #5); K_S T6 (play #52) — N Brown scores embedded (mechanism unstated Flag #6), J Devito adv on PB. Note: may be same player as "Alex Montgomery" in repository entry from 2026-03-30_HWRD_at_MRRT.</t>
        </is>
      </c>
    </row>
    <row r="979" ht="15.75" customHeight="1" s="35">
      <c r="A979" s="8" t="inlineStr">
        <is>
          <t>2026-03-26_MRRT_at_CNTN</t>
        </is>
      </c>
      <c r="B979" s="2" t="n">
        <v>46107</v>
      </c>
      <c r="C979" s="8" t="inlineStr">
        <is>
          <t>Centennial Varsity Eagles</t>
        </is>
      </c>
      <c r="D979" s="8" t="inlineStr">
        <is>
          <t>MRRT</t>
        </is>
      </c>
      <c r="E979" s="8" t="inlineStr">
        <is>
          <t>M Delmonte</t>
        </is>
      </c>
      <c r="F979" s="8" t="n">
        <v>2</v>
      </c>
      <c r="G979" s="8" t="n">
        <v>2</v>
      </c>
      <c r="H979" s="8" t="n">
        <v>0</v>
      </c>
      <c r="I979" s="8" t="n">
        <v>0</v>
      </c>
      <c r="J979" s="8" t="n">
        <v>0</v>
      </c>
      <c r="K979" s="8" t="n">
        <v>0</v>
      </c>
      <c r="L979" s="8" t="n">
        <v>0</v>
      </c>
      <c r="M979" s="8" t="n">
        <v>0</v>
      </c>
      <c r="N979" s="8" t="n">
        <v>0</v>
      </c>
      <c r="O979" s="8" t="n">
        <v>1</v>
      </c>
      <c r="P979" s="8" t="n">
        <v>1</v>
      </c>
      <c r="Q979" s="8" t="n">
        <v>0</v>
      </c>
      <c r="R979" s="8" t="n">
        <v>0</v>
      </c>
      <c r="S979" s="8" t="n">
        <v>0</v>
      </c>
      <c r="T979" s="8" t="n">
        <v>0</v>
      </c>
      <c r="U979" s="8" t="n">
        <v>0</v>
      </c>
      <c r="V979" s="8" t="n">
        <v>0</v>
      </c>
      <c r="W979" s="8" t="n">
        <v>0</v>
      </c>
      <c r="X979" s="8" t="n">
        <v>0</v>
      </c>
      <c r="Y979" s="8" t="inlineStr">
        <is>
          <t>PO T3 (play #20); K_L T5 (play #40). Replaced by A Hlavaty T7 (play #58 lineup note). MRRT Error #1 committed by M Delmonte (LF) play #9 B1.</t>
        </is>
      </c>
    </row>
    <row r="980" ht="15.75" customHeight="1" s="35">
      <c r="A980" s="8" t="inlineStr">
        <is>
          <t>2026-03-26_MRRT_at_CNTN</t>
        </is>
      </c>
      <c r="B980" s="2" t="n">
        <v>46107</v>
      </c>
      <c r="C980" s="8" t="inlineStr">
        <is>
          <t>Centennial Varsity Eagles</t>
        </is>
      </c>
      <c r="D980" s="8" t="inlineStr">
        <is>
          <t>MRRT</t>
        </is>
      </c>
      <c r="E980" s="8" t="inlineStr">
        <is>
          <t>A Hlavaty</t>
        </is>
      </c>
      <c r="F980" s="8" t="n">
        <v>1</v>
      </c>
      <c r="G980" s="8" t="n">
        <v>1</v>
      </c>
      <c r="H980" s="8" t="n">
        <v>0</v>
      </c>
      <c r="I980" s="8" t="n">
        <v>0</v>
      </c>
      <c r="J980" s="8" t="n">
        <v>0</v>
      </c>
      <c r="K980" s="8" t="n">
        <v>0</v>
      </c>
      <c r="L980" s="8" t="n">
        <v>0</v>
      </c>
      <c r="M980" s="8" t="n">
        <v>0</v>
      </c>
      <c r="N980" s="8" t="n">
        <v>0</v>
      </c>
      <c r="O980" s="8" t="n">
        <v>0</v>
      </c>
      <c r="P980" s="8" t="n">
        <v>0</v>
      </c>
      <c r="Q980" s="8" t="n">
        <v>0</v>
      </c>
      <c r="R980" s="8" t="n">
        <v>0</v>
      </c>
      <c r="S980" s="8" t="n">
        <v>0</v>
      </c>
      <c r="T980" s="8" t="n">
        <v>0</v>
      </c>
      <c r="U980" s="8" t="n">
        <v>0</v>
      </c>
      <c r="V980" s="8" t="n">
        <v>0</v>
      </c>
      <c r="W980" s="8" t="n">
        <v>0</v>
      </c>
      <c r="X980" s="8" t="n">
        <v>0</v>
      </c>
      <c r="Y980" s="8" t="inlineStr">
        <is>
          <t>Sub for M Delmonte T7 (play #58 lineup note); GO T7 (play #58).</t>
        </is>
      </c>
    </row>
    <row r="981" ht="15.75" customHeight="1" s="35">
      <c r="A981" s="8" t="inlineStr">
        <is>
          <t>2026-03-26_MRRT_at_CNTN</t>
        </is>
      </c>
      <c r="B981" s="2" t="n">
        <v>46107</v>
      </c>
      <c r="C981" s="8" t="inlineStr">
        <is>
          <t>Centennial Varsity Eagles</t>
        </is>
      </c>
      <c r="D981" s="8" t="inlineStr">
        <is>
          <t>MRRT</t>
        </is>
      </c>
      <c r="E981" s="8" t="inlineStr">
        <is>
          <t>S Grams</t>
        </is>
      </c>
      <c r="F981" s="8" t="n">
        <v>0</v>
      </c>
      <c r="G981" s="8" t="n">
        <v>0</v>
      </c>
      <c r="H981" s="8" t="n">
        <v>0</v>
      </c>
      <c r="I981" s="8" t="n">
        <v>0</v>
      </c>
      <c r="J981" s="8" t="n">
        <v>0</v>
      </c>
      <c r="K981" s="8" t="n">
        <v>0</v>
      </c>
      <c r="L981" s="8" t="n">
        <v>0</v>
      </c>
      <c r="M981" s="8" t="n">
        <v>0</v>
      </c>
      <c r="N981" s="8" t="n">
        <v>0</v>
      </c>
      <c r="O981" s="8" t="n">
        <v>0</v>
      </c>
      <c r="P981" s="8" t="n">
        <v>0</v>
      </c>
      <c r="Q981" s="8" t="n">
        <v>0</v>
      </c>
      <c r="R981" s="8" t="n">
        <v>0</v>
      </c>
      <c r="S981" s="8" t="n">
        <v>0</v>
      </c>
      <c r="T981" s="8" t="n">
        <v>0</v>
      </c>
      <c r="U981" s="8" t="n">
        <v>0</v>
      </c>
      <c r="V981" s="8" t="n">
        <v>0</v>
      </c>
      <c r="W981" s="8" t="n">
        <v>0</v>
      </c>
      <c r="X981" s="8" t="n">
        <v>0</v>
      </c>
      <c r="Y981" s="8" t="inlineStr">
        <is>
          <t>Announced batter T7 play #61, replaced by M Parson before any pitch (pre-AB sub, Flag #7). No PA recorded. See Flag #7 for substitution anomaly.</t>
        </is>
      </c>
    </row>
    <row r="982" ht="15.75" customHeight="1" s="35">
      <c r="A982" s="8" t="inlineStr">
        <is>
          <t>2026-03-26_MRRT_at_CNTN</t>
        </is>
      </c>
      <c r="B982" s="2" t="n">
        <v>46107</v>
      </c>
      <c r="C982" s="8" t="inlineStr">
        <is>
          <t>Marriotts Ridge Varsity Mustangs</t>
        </is>
      </c>
      <c r="D982" s="8" t="inlineStr">
        <is>
          <t>CNTN</t>
        </is>
      </c>
      <c r="E982" s="8" t="inlineStr">
        <is>
          <t>A Gauthier</t>
        </is>
      </c>
      <c r="F982" s="8" t="n">
        <v>4</v>
      </c>
      <c r="G982" s="8" t="n">
        <v>3</v>
      </c>
      <c r="H982" s="8" t="n">
        <v>2</v>
      </c>
      <c r="I982" s="8" t="n">
        <v>1</v>
      </c>
      <c r="J982" s="8" t="n">
        <v>1</v>
      </c>
      <c r="K982" s="8" t="n">
        <v>0</v>
      </c>
      <c r="L982" s="8" t="n">
        <v>0</v>
      </c>
      <c r="M982" s="8" t="n">
        <v>0</v>
      </c>
      <c r="N982" s="8" t="n">
        <v>1</v>
      </c>
      <c r="O982" s="8" t="n">
        <v>0</v>
      </c>
      <c r="P982" s="8" t="n">
        <v>0</v>
      </c>
      <c r="Q982" s="8" t="n">
        <v>0</v>
      </c>
      <c r="R982" s="8" t="n">
        <v>0</v>
      </c>
      <c r="S982" s="8" t="n">
        <v>1</v>
      </c>
      <c r="T982" s="8" t="n">
        <v>0</v>
      </c>
      <c r="U982" s="8" t="n">
        <v>0</v>
      </c>
      <c r="V982" s="8" t="n">
        <v>0</v>
      </c>
      <c r="W982" s="8" t="n">
        <v>0</v>
      </c>
      <c r="X982" s="8" t="n">
        <v>0</v>
      </c>
      <c r="Y982" s="8" t="inlineStr">
        <is>
          <t>LO B1 (play #5); 2B B2 (play #18, RBI L Choe scores); HBP B4 (play #36); 1B B6 (play #54). SB B6: A Gauthier steals 2nd during C Bade HBP AB (play #56 embedded, Flag #3). Stranded all appearances; R=0.</t>
        </is>
      </c>
    </row>
    <row r="983" ht="15.75" customHeight="1" s="35">
      <c r="A983" s="8" t="inlineStr">
        <is>
          <t>2026-03-26_MRRT_at_CNTN</t>
        </is>
      </c>
      <c r="B983" s="2" t="n">
        <v>46107</v>
      </c>
      <c r="C983" s="8" t="inlineStr">
        <is>
          <t>Marriotts Ridge Varsity Mustangs</t>
        </is>
      </c>
      <c r="D983" s="8" t="inlineStr">
        <is>
          <t>CNTN</t>
        </is>
      </c>
      <c r="E983" s="8" t="inlineStr">
        <is>
          <t>E Rayne</t>
        </is>
      </c>
      <c r="F983" s="8" t="n">
        <v>4</v>
      </c>
      <c r="G983" s="8" t="n">
        <v>3</v>
      </c>
      <c r="H983" s="8" t="n">
        <v>0</v>
      </c>
      <c r="I983" s="8" t="n">
        <v>0</v>
      </c>
      <c r="J983" s="8" t="n">
        <v>0</v>
      </c>
      <c r="K983" s="8" t="n">
        <v>0</v>
      </c>
      <c r="L983" s="8" t="n">
        <v>0</v>
      </c>
      <c r="M983" s="8" t="n">
        <v>1</v>
      </c>
      <c r="N983" s="8" t="n">
        <v>0</v>
      </c>
      <c r="O983" s="8" t="n">
        <v>1</v>
      </c>
      <c r="P983" s="8" t="n">
        <v>1</v>
      </c>
      <c r="Q983" s="8" t="n">
        <v>0</v>
      </c>
      <c r="R983" s="8" t="n">
        <v>0</v>
      </c>
      <c r="S983" s="8" t="n">
        <v>0</v>
      </c>
      <c r="T983" s="8" t="n">
        <v>0</v>
      </c>
      <c r="U983" s="8" t="n">
        <v>0</v>
      </c>
      <c r="V983" s="8" t="n">
        <v>0</v>
      </c>
      <c r="W983" s="8" t="n">
        <v>0</v>
      </c>
      <c r="X983" s="8" t="n">
        <v>0</v>
      </c>
      <c r="Y983" s="8" t="inlineStr">
        <is>
          <t>Walk B1 (play #6) — E Rayne thrown out advancing to home (runner out, embedded play #8); PO B2 (play #19); PO B4 (play #37, B Balighian enters mid-AB); K_L B5 (play #55). Also CNTN starting pitcher T1-T5. R=0.</t>
        </is>
      </c>
    </row>
    <row r="984" ht="15.75" customHeight="1" s="35">
      <c r="A984" s="8" t="inlineStr">
        <is>
          <t>2026-03-26_MRRT_at_CNTN</t>
        </is>
      </c>
      <c r="B984" s="2" t="n">
        <v>46107</v>
      </c>
      <c r="C984" s="8" t="inlineStr">
        <is>
          <t>Marriotts Ridge Varsity Mustangs</t>
        </is>
      </c>
      <c r="D984" s="8" t="inlineStr">
        <is>
          <t>CNTN</t>
        </is>
      </c>
      <c r="E984" s="8" t="inlineStr">
        <is>
          <t>C Bade</t>
        </is>
      </c>
      <c r="F984" s="8" t="n">
        <v>4</v>
      </c>
      <c r="G984" s="8" t="n">
        <v>1</v>
      </c>
      <c r="H984" s="8" t="n">
        <v>1</v>
      </c>
      <c r="I984" s="8" t="n">
        <v>1</v>
      </c>
      <c r="J984" s="8" t="n">
        <v>0</v>
      </c>
      <c r="K984" s="8" t="n">
        <v>0</v>
      </c>
      <c r="L984" s="8" t="n">
        <v>0</v>
      </c>
      <c r="M984" s="8" t="n">
        <v>2</v>
      </c>
      <c r="N984" s="8" t="n">
        <v>1</v>
      </c>
      <c r="O984" s="8" t="n">
        <v>0</v>
      </c>
      <c r="P984" s="8" t="n">
        <v>0</v>
      </c>
      <c r="Q984" s="8" t="n">
        <v>0</v>
      </c>
      <c r="R984" s="8" t="n">
        <v>2</v>
      </c>
      <c r="S984" s="8" t="n">
        <v>0</v>
      </c>
      <c r="T984" s="8" t="n">
        <v>1</v>
      </c>
      <c r="U984" s="8" t="n">
        <v>0</v>
      </c>
      <c r="V984" s="8" t="n">
        <v>0</v>
      </c>
      <c r="W984" s="8" t="n">
        <v>0</v>
      </c>
      <c r="X984" s="8" t="n">
        <v>0</v>
      </c>
      <c r="Y984" s="8" t="inlineStr">
        <is>
          <t>1B B1 (play #7); Walk B3 (play #23); Walk B4 (play #38); HBP B6 (play #56). SB B3: C Bade steals 2nd during B Harris AB (play #25 embedded, Flag #3). R B1 (scores on B Harris 1B play #9) + R B3 (scores on B Harris 2B play #25) = 2. RBI=0.</t>
        </is>
      </c>
    </row>
    <row r="985" ht="15.75" customHeight="1" s="35">
      <c r="A985" s="8" t="inlineStr">
        <is>
          <t>2026-03-26_MRRT_at_CNTN</t>
        </is>
      </c>
      <c r="B985" s="2" t="n">
        <v>46107</v>
      </c>
      <c r="C985" s="8" t="inlineStr">
        <is>
          <t>Marriotts Ridge Varsity Mustangs</t>
        </is>
      </c>
      <c r="D985" s="8" t="inlineStr">
        <is>
          <t>CNTN</t>
        </is>
      </c>
      <c r="E985" s="8" t="inlineStr">
        <is>
          <t>A Banks</t>
        </is>
      </c>
      <c r="F985" s="8" t="n">
        <v>4</v>
      </c>
      <c r="G985" s="8" t="n">
        <v>4</v>
      </c>
      <c r="H985" s="8" t="n">
        <v>1</v>
      </c>
      <c r="I985" s="8" t="n">
        <v>1</v>
      </c>
      <c r="J985" s="8" t="n">
        <v>0</v>
      </c>
      <c r="K985" s="8" t="n">
        <v>0</v>
      </c>
      <c r="L985" s="8" t="n">
        <v>0</v>
      </c>
      <c r="M985" s="8" t="n">
        <v>0</v>
      </c>
      <c r="N985" s="8" t="n">
        <v>0</v>
      </c>
      <c r="O985" s="8" t="n">
        <v>0</v>
      </c>
      <c r="P985" s="8" t="n">
        <v>0</v>
      </c>
      <c r="Q985" s="8" t="n">
        <v>0</v>
      </c>
      <c r="R985" s="8" t="n">
        <v>0</v>
      </c>
      <c r="S985" s="8" t="n">
        <v>0</v>
      </c>
      <c r="T985" s="8" t="n">
        <v>0</v>
      </c>
      <c r="U985" s="8" t="n">
        <v>0</v>
      </c>
      <c r="V985" s="8" t="n">
        <v>0</v>
      </c>
      <c r="W985" s="8" t="n">
        <v>0</v>
      </c>
      <c r="X985" s="8" t="n">
        <v>0</v>
      </c>
      <c r="Y985" s="8" t="inlineStr">
        <is>
          <t>1B B1 (play #8) — E Rayne thrown out advancing to home (runner out embedded in this AB); PO B3 (play #24, J Ketterer records out mid-AB); LO B4 (play #39); PO B6 (play #57). No runs or RBIs.</t>
        </is>
      </c>
    </row>
    <row r="986" ht="15.75" customHeight="1" s="35">
      <c r="A986" s="8" t="inlineStr">
        <is>
          <t>2026-03-26_MRRT_at_CNTN</t>
        </is>
      </c>
      <c r="B986" s="2" t="n">
        <v>46107</v>
      </c>
      <c r="C986" s="8" t="inlineStr">
        <is>
          <t>Marriotts Ridge Varsity Mustangs</t>
        </is>
      </c>
      <c r="D986" s="8" t="inlineStr">
        <is>
          <t>CNTN</t>
        </is>
      </c>
      <c r="E986" s="8" t="inlineStr">
        <is>
          <t>B Harris</t>
        </is>
      </c>
      <c r="F986" s="8" t="n">
        <v>3</v>
      </c>
      <c r="G986" s="8" t="n">
        <v>3</v>
      </c>
      <c r="H986" s="8" t="n">
        <v>3</v>
      </c>
      <c r="I986" s="8" t="n">
        <v>2</v>
      </c>
      <c r="J986" s="8" t="n">
        <v>1</v>
      </c>
      <c r="K986" s="8" t="n">
        <v>0</v>
      </c>
      <c r="L986" s="8" t="n">
        <v>0</v>
      </c>
      <c r="M986" s="8" t="n">
        <v>0</v>
      </c>
      <c r="N986" s="8" t="n">
        <v>0</v>
      </c>
      <c r="O986" s="8" t="n">
        <v>0</v>
      </c>
      <c r="P986" s="8" t="n">
        <v>0</v>
      </c>
      <c r="Q986" s="8" t="n">
        <v>0</v>
      </c>
      <c r="R986" s="8" t="n">
        <v>0</v>
      </c>
      <c r="S986" s="8" t="n">
        <v>2</v>
      </c>
      <c r="T986" s="8" t="n">
        <v>0</v>
      </c>
      <c r="U986" s="8" t="n">
        <v>0</v>
      </c>
      <c r="V986" s="8" t="n">
        <v>0</v>
      </c>
      <c r="W986" s="8" t="n">
        <v>0</v>
      </c>
      <c r="X986" s="8" t="n">
        <v>0</v>
      </c>
      <c r="Y986" s="8" t="inlineStr">
        <is>
          <t>1B B1 (play #9, RBI C Bade scores — aided by MRRT Error #1 M Delmonte); 2B B3 (play #25, RBI C Bade scores; C Bade SB embedded during this AB); 1B B5 (play #44). B7 play #64 not counted (Flag #9). CR E Ogg used ×3: play #10 (B1, stranded), play #26 (B3, stranded), play #45 (B5, E Ogg out on DP). Flag #8: E Ogg used three times; R=0 (B Harris never scores per CR tracking).</t>
        </is>
      </c>
    </row>
    <row r="987" ht="15.75" customHeight="1" s="35">
      <c r="A987" s="8" t="inlineStr">
        <is>
          <t>2026-03-26_MRRT_at_CNTN</t>
        </is>
      </c>
      <c r="B987" s="2" t="n">
        <v>46107</v>
      </c>
      <c r="C987" s="8" t="inlineStr">
        <is>
          <t>Marriotts Ridge Varsity Mustangs</t>
        </is>
      </c>
      <c r="D987" s="8" t="inlineStr">
        <is>
          <t>CNTN</t>
        </is>
      </c>
      <c r="E987" s="8" t="inlineStr">
        <is>
          <t>B Corrao</t>
        </is>
      </c>
      <c r="F987" s="8" t="n">
        <v>3</v>
      </c>
      <c r="G987" s="8" t="n">
        <v>3</v>
      </c>
      <c r="H987" s="8" t="n">
        <v>0</v>
      </c>
      <c r="I987" s="8" t="n">
        <v>0</v>
      </c>
      <c r="J987" s="8" t="n">
        <v>0</v>
      </c>
      <c r="K987" s="8" t="n">
        <v>0</v>
      </c>
      <c r="L987" s="8" t="n">
        <v>0</v>
      </c>
      <c r="M987" s="8" t="n">
        <v>0</v>
      </c>
      <c r="N987" s="8" t="n">
        <v>0</v>
      </c>
      <c r="O987" s="8" t="n">
        <v>0</v>
      </c>
      <c r="P987" s="8" t="n">
        <v>0</v>
      </c>
      <c r="Q987" s="8" t="n">
        <v>0</v>
      </c>
      <c r="R987" s="8" t="n">
        <v>0</v>
      </c>
      <c r="S987" s="8" t="n">
        <v>0</v>
      </c>
      <c r="T987" s="8" t="n">
        <v>0</v>
      </c>
      <c r="U987" s="8" t="n">
        <v>0</v>
      </c>
      <c r="V987" s="8" t="n">
        <v>1</v>
      </c>
      <c r="W987" s="8" t="n">
        <v>0</v>
      </c>
      <c r="X987" s="8" t="n">
        <v>0</v>
      </c>
      <c r="Y987" s="8" t="inlineStr">
        <is>
          <t>PO B1 (play #10); FO B3 (play #26); bunt DP B5 (play #45, GDP: E Ogg out advancing + B Corrao out at 1B). E Ogg CR for B Harris stranded B1 and B3; out on DP B5. No runs.</t>
        </is>
      </c>
    </row>
    <row r="988" ht="15.75" customHeight="1" s="35">
      <c r="A988" s="8" t="inlineStr">
        <is>
          <t>2026-03-26_MRRT_at_CNTN</t>
        </is>
      </c>
      <c r="B988" s="2" t="n">
        <v>46107</v>
      </c>
      <c r="C988" s="8" t="inlineStr">
        <is>
          <t>Marriotts Ridge Varsity Mustangs</t>
        </is>
      </c>
      <c r="D988" s="8" t="inlineStr">
        <is>
          <t>CNTN</t>
        </is>
      </c>
      <c r="E988" s="8" t="inlineStr">
        <is>
          <t>C Stachera</t>
        </is>
      </c>
      <c r="F988" s="8" t="n">
        <v>3</v>
      </c>
      <c r="G988" s="8" t="n">
        <v>2</v>
      </c>
      <c r="H988" s="8" t="n">
        <v>0</v>
      </c>
      <c r="I988" s="8" t="n">
        <v>0</v>
      </c>
      <c r="J988" s="8" t="n">
        <v>0</v>
      </c>
      <c r="K988" s="8" t="n">
        <v>0</v>
      </c>
      <c r="L988" s="8" t="n">
        <v>0</v>
      </c>
      <c r="M988" s="8" t="n">
        <v>1</v>
      </c>
      <c r="N988" s="8" t="n">
        <v>0</v>
      </c>
      <c r="O988" s="8" t="n">
        <v>1</v>
      </c>
      <c r="P988" s="8" t="n">
        <v>0</v>
      </c>
      <c r="Q988" s="8" t="n">
        <v>1</v>
      </c>
      <c r="R988" s="8" t="n">
        <v>0</v>
      </c>
      <c r="S988" s="8" t="n">
        <v>0</v>
      </c>
      <c r="T988" s="8" t="n">
        <v>0</v>
      </c>
      <c r="U988" s="8" t="n">
        <v>0</v>
      </c>
      <c r="V988" s="8" t="n">
        <v>0</v>
      </c>
      <c r="W988" s="8" t="n">
        <v>0</v>
      </c>
      <c r="X988" s="8" t="n">
        <v>0</v>
      </c>
      <c r="Y988" s="8" t="inlineStr">
        <is>
          <t>K_S B2 (play #15); LO B3 (play #27); Walk B5 (play #46). Stranded B5 when D Hill GO ends inning.</t>
        </is>
      </c>
    </row>
    <row r="989" ht="15.75" customHeight="1" s="35">
      <c r="A989" s="8" t="inlineStr">
        <is>
          <t>2026-03-26_MRRT_at_CNTN</t>
        </is>
      </c>
      <c r="B989" s="2" t="n">
        <v>46107</v>
      </c>
      <c r="C989" s="8" t="inlineStr">
        <is>
          <t>Marriotts Ridge Varsity Mustangs</t>
        </is>
      </c>
      <c r="D989" s="8" t="inlineStr">
        <is>
          <t>CNTN</t>
        </is>
      </c>
      <c r="E989" s="8" t="inlineStr">
        <is>
          <t>D Hill</t>
        </is>
      </c>
      <c r="F989" s="8" t="n">
        <v>3</v>
      </c>
      <c r="G989" s="8" t="n">
        <v>3</v>
      </c>
      <c r="H989" s="8" t="n">
        <v>0</v>
      </c>
      <c r="I989" s="8" t="n">
        <v>0</v>
      </c>
      <c r="J989" s="8" t="n">
        <v>0</v>
      </c>
      <c r="K989" s="8" t="n">
        <v>0</v>
      </c>
      <c r="L989" s="8" t="n">
        <v>0</v>
      </c>
      <c r="M989" s="8" t="n">
        <v>0</v>
      </c>
      <c r="N989" s="8" t="n">
        <v>0</v>
      </c>
      <c r="O989" s="8" t="n">
        <v>1</v>
      </c>
      <c r="P989" s="8" t="n">
        <v>1</v>
      </c>
      <c r="Q989" s="8" t="n">
        <v>0</v>
      </c>
      <c r="R989" s="8" t="n">
        <v>0</v>
      </c>
      <c r="S989" s="8" t="n">
        <v>0</v>
      </c>
      <c r="T989" s="8" t="n">
        <v>0</v>
      </c>
      <c r="U989" s="8" t="n">
        <v>0</v>
      </c>
      <c r="V989" s="8" t="n">
        <v>0</v>
      </c>
      <c r="W989" s="8" t="n">
        <v>0</v>
      </c>
      <c r="X989" s="8" t="n">
        <v>0</v>
      </c>
      <c r="Y989" s="8" t="inlineStr">
        <is>
          <t>PO B2 (play #16); K_L B4 (play #34); GO B5 (play #47).</t>
        </is>
      </c>
    </row>
    <row r="990" ht="15.75" customHeight="1" s="35">
      <c r="A990" s="8" t="inlineStr">
        <is>
          <t>2026-03-26_MRRT_at_CNTN</t>
        </is>
      </c>
      <c r="B990" s="2" t="n">
        <v>46107</v>
      </c>
      <c r="C990" s="8" t="inlineStr">
        <is>
          <t>Marriotts Ridge Varsity Mustangs</t>
        </is>
      </c>
      <c r="D990" s="8" t="inlineStr">
        <is>
          <t>CNTN</t>
        </is>
      </c>
      <c r="E990" s="8" t="inlineStr">
        <is>
          <t>L Choe</t>
        </is>
      </c>
      <c r="F990" s="8" t="n">
        <v>3</v>
      </c>
      <c r="G990" s="8" t="n">
        <v>1</v>
      </c>
      <c r="H990" s="8" t="n">
        <v>0</v>
      </c>
      <c r="I990" s="8" t="n">
        <v>0</v>
      </c>
      <c r="J990" s="8" t="n">
        <v>0</v>
      </c>
      <c r="K990" s="8" t="n">
        <v>0</v>
      </c>
      <c r="L990" s="8" t="n">
        <v>0</v>
      </c>
      <c r="M990" s="8" t="n">
        <v>1</v>
      </c>
      <c r="N990" s="8" t="n">
        <v>1</v>
      </c>
      <c r="O990" s="8" t="n">
        <v>0</v>
      </c>
      <c r="P990" s="8" t="n">
        <v>0</v>
      </c>
      <c r="Q990" s="8" t="n">
        <v>0</v>
      </c>
      <c r="R990" s="8" t="n">
        <v>1</v>
      </c>
      <c r="S990" s="8" t="n">
        <v>0</v>
      </c>
      <c r="T990" s="8" t="n">
        <v>0</v>
      </c>
      <c r="U990" s="8" t="n">
        <v>0</v>
      </c>
      <c r="V990" s="8" t="n">
        <v>0</v>
      </c>
      <c r="W990" s="8" t="n">
        <v>0</v>
      </c>
      <c r="X990" s="8" t="n">
        <v>0</v>
      </c>
      <c r="Y990" s="8" t="inlineStr">
        <is>
          <t>Walk B2 (play #17) — advances to 2nd on WP (T Smith) during A Gauthier AB (Flag #3, embedded); scores on A Gauthier 2B (play #18) R=1. HBP B4 (play #35); GO B6 (play #53).</t>
        </is>
      </c>
    </row>
    <row r="991" ht="15.75" customHeight="1" s="35">
      <c r="A991" s="8" t="inlineStr">
        <is>
          <t>2026-03-26_MRRT_at_CNTN</t>
        </is>
      </c>
      <c r="B991" s="2" t="n">
        <v>46107</v>
      </c>
      <c r="C991" s="8" t="inlineStr">
        <is>
          <t>Marriotts Ridge Varsity Mustangs</t>
        </is>
      </c>
      <c r="D991" s="8" t="inlineStr">
        <is>
          <t>CNTN</t>
        </is>
      </c>
      <c r="E991" s="8" t="inlineStr">
        <is>
          <t>E Ogg</t>
        </is>
      </c>
      <c r="F991" s="8" t="n">
        <v>0</v>
      </c>
      <c r="G991" s="8" t="n">
        <v>0</v>
      </c>
      <c r="H991" s="8" t="n">
        <v>0</v>
      </c>
      <c r="I991" s="8" t="n">
        <v>0</v>
      </c>
      <c r="J991" s="8" t="n">
        <v>0</v>
      </c>
      <c r="K991" s="8" t="n">
        <v>0</v>
      </c>
      <c r="L991" s="8" t="n">
        <v>0</v>
      </c>
      <c r="M991" s="8" t="n">
        <v>0</v>
      </c>
      <c r="N991" s="8" t="n">
        <v>0</v>
      </c>
      <c r="O991" s="8" t="n">
        <v>0</v>
      </c>
      <c r="P991" s="8" t="n">
        <v>0</v>
      </c>
      <c r="Q991" s="8" t="n">
        <v>0</v>
      </c>
      <c r="R991" s="8" t="n">
        <v>0</v>
      </c>
      <c r="S991" s="8" t="n">
        <v>0</v>
      </c>
      <c r="T991" s="8" t="n">
        <v>0</v>
      </c>
      <c r="U991" s="8" t="n">
        <v>0</v>
      </c>
      <c r="V991" s="8" t="n">
        <v>0</v>
      </c>
      <c r="W991" s="8" t="n">
        <v>0</v>
      </c>
      <c r="X991" s="8" t="n">
        <v>0</v>
      </c>
      <c r="Y991" s="8" t="inlineStr">
        <is>
          <t>CR for B Harris ×3: B1 play #10 (stranded at 2B), B3 play #26 (stranded at 2B), B5 play #45 (out advancing to 2nd — first out of B Corrao DP). Zero batting PAs. Flag #8.</t>
        </is>
      </c>
    </row>
    <row r="992" ht="15.75" customHeight="1" s="35">
      <c r="A992" s="8" t="inlineStr">
        <is>
          <t>2026-03-31_CRFT_at_CNTN</t>
        </is>
      </c>
      <c r="B992" s="2" t="n">
        <v>46112</v>
      </c>
      <c r="C992" s="8" t="inlineStr">
        <is>
          <t>Crofton Varsity Cardinals</t>
        </is>
      </c>
      <c r="D992" s="8" t="inlineStr">
        <is>
          <t>CRFT</t>
        </is>
      </c>
      <c r="E992" s="8" t="inlineStr">
        <is>
          <t>M Brown-Mitchell</t>
        </is>
      </c>
      <c r="F992" s="8" t="n">
        <v>4</v>
      </c>
      <c r="G992" s="8" t="n">
        <v>4</v>
      </c>
      <c r="H992" s="8" t="n">
        <v>1</v>
      </c>
      <c r="I992" s="8" t="n">
        <v>0</v>
      </c>
      <c r="J992" s="8" t="n">
        <v>0</v>
      </c>
      <c r="K992" s="8" t="n">
        <v>1</v>
      </c>
      <c r="L992" s="8" t="n">
        <v>0</v>
      </c>
      <c r="M992" s="8" t="n">
        <v>0</v>
      </c>
      <c r="N992" s="8" t="n">
        <v>0</v>
      </c>
      <c r="O992" s="8" t="n">
        <v>1</v>
      </c>
      <c r="P992" s="8" t="n">
        <v>0</v>
      </c>
      <c r="Q992" s="8" t="n">
        <v>1</v>
      </c>
      <c r="R992" s="8" t="n">
        <v>1</v>
      </c>
      <c r="S992" s="8" t="n">
        <v>0</v>
      </c>
      <c r="T992" s="8" t="n">
        <v>1</v>
      </c>
      <c r="U992" s="8" t="n">
        <v>0</v>
      </c>
      <c r="V992" s="8" t="n">
        <v>0</v>
      </c>
      <c r="W992" s="8" t="n">
        <v>0</v>
      </c>
      <c r="X992" s="8" t="n">
        <v>0</v>
      </c>
      <c r="Y992" s="8" t="inlineStr">
        <is>
          <t>Triple play #20 (scorer notes misplay, Flag #5). SB play #37 (embedded M Brown-Mitchell steals 2nd during B White AB, T5). R: scores on B White SacFly play #21.</t>
        </is>
      </c>
    </row>
    <row r="993" ht="15.75" customHeight="1" s="35">
      <c r="A993" s="8" t="inlineStr">
        <is>
          <t>2026-03-31_CRFT_at_CNTN</t>
        </is>
      </c>
      <c r="B993" s="2" t="n">
        <v>46112</v>
      </c>
      <c r="C993" s="8" t="inlineStr">
        <is>
          <t>Crofton Varsity Cardinals</t>
        </is>
      </c>
      <c r="D993" s="8" t="inlineStr">
        <is>
          <t>CRFT</t>
        </is>
      </c>
      <c r="E993" s="8" t="inlineStr">
        <is>
          <t>B White</t>
        </is>
      </c>
      <c r="F993" s="8" t="n">
        <v>4</v>
      </c>
      <c r="G993" s="8" t="n">
        <v>3</v>
      </c>
      <c r="H993" s="8" t="n">
        <v>0</v>
      </c>
      <c r="I993" s="8" t="n">
        <v>0</v>
      </c>
      <c r="J993" s="8" t="n">
        <v>0</v>
      </c>
      <c r="K993" s="8" t="n">
        <v>0</v>
      </c>
      <c r="L993" s="8" t="n">
        <v>0</v>
      </c>
      <c r="M993" s="8" t="n">
        <v>0</v>
      </c>
      <c r="N993" s="8" t="n">
        <v>0</v>
      </c>
      <c r="O993" s="8" t="n">
        <v>0</v>
      </c>
      <c r="P993" s="8" t="n">
        <v>0</v>
      </c>
      <c r="Q993" s="8" t="n">
        <v>0</v>
      </c>
      <c r="R993" s="8" t="n">
        <v>1</v>
      </c>
      <c r="S993" s="8" t="n">
        <v>1</v>
      </c>
      <c r="T993" s="8" t="n">
        <v>0</v>
      </c>
      <c r="U993" s="8" t="n">
        <v>0</v>
      </c>
      <c r="V993" s="8" t="n">
        <v>0</v>
      </c>
      <c r="W993" s="8" t="n">
        <v>0</v>
      </c>
      <c r="X993" s="8" t="n">
        <v>0</v>
      </c>
      <c r="Y993" s="8" t="inlineStr">
        <is>
          <t>SacFly play #21 (M Brown-Mitchell scores, RBI+1). PA(4)-SacFly(1)=AB 3. R: scores on N Kehs 2B play #57.</t>
        </is>
      </c>
    </row>
    <row r="994" ht="15.75" customHeight="1" s="35">
      <c r="A994" s="8" t="inlineStr">
        <is>
          <t>2026-03-31_CRFT_at_CNTN</t>
        </is>
      </c>
      <c r="B994" s="2" t="n">
        <v>46112</v>
      </c>
      <c r="C994" s="8" t="inlineStr">
        <is>
          <t>Crofton Varsity Cardinals</t>
        </is>
      </c>
      <c r="D994" s="8" t="inlineStr">
        <is>
          <t>CRFT</t>
        </is>
      </c>
      <c r="E994" s="8" t="inlineStr">
        <is>
          <t>J Gifford</t>
        </is>
      </c>
      <c r="F994" s="8" t="n">
        <v>4</v>
      </c>
      <c r="G994" s="8" t="n">
        <v>4</v>
      </c>
      <c r="H994" s="8" t="n">
        <v>0</v>
      </c>
      <c r="I994" s="8" t="n">
        <v>0</v>
      </c>
      <c r="J994" s="8" t="n">
        <v>0</v>
      </c>
      <c r="K994" s="8" t="n">
        <v>0</v>
      </c>
      <c r="L994" s="8" t="n">
        <v>0</v>
      </c>
      <c r="M994" s="8" t="n">
        <v>0</v>
      </c>
      <c r="N994" s="8" t="n">
        <v>0</v>
      </c>
      <c r="O994" s="8" t="n">
        <v>1</v>
      </c>
      <c r="P994" s="8" t="n">
        <v>1</v>
      </c>
      <c r="Q994" s="8" t="n">
        <v>0</v>
      </c>
      <c r="R994" s="8" t="n">
        <v>1</v>
      </c>
      <c r="S994" s="8" t="n">
        <v>0</v>
      </c>
      <c r="T994" s="8" t="n">
        <v>0</v>
      </c>
      <c r="U994" s="8" t="n">
        <v>0</v>
      </c>
      <c r="V994" s="8" t="n">
        <v>0</v>
      </c>
      <c r="W994" s="8" t="n">
        <v>0</v>
      </c>
      <c r="X994" s="8" t="n">
        <v>0</v>
      </c>
      <c r="Y994" s="8" t="inlineStr">
        <is>
          <t>K_L play #38. Reaches on error plays #56 (CNTN E#3). R: scores on K Willis error play #58. Pitched B7 — see Pitching sheet.</t>
        </is>
      </c>
    </row>
    <row r="995" ht="15.75" customHeight="1" s="35">
      <c r="A995" s="8" t="inlineStr">
        <is>
          <t>2026-03-31_CRFT_at_CNTN</t>
        </is>
      </c>
      <c r="B995" s="2" t="n">
        <v>46112</v>
      </c>
      <c r="C995" s="8" t="inlineStr">
        <is>
          <t>Crofton Varsity Cardinals</t>
        </is>
      </c>
      <c r="D995" s="8" t="inlineStr">
        <is>
          <t>CRFT</t>
        </is>
      </c>
      <c r="E995" s="8" t="inlineStr">
        <is>
          <t>N Truman</t>
        </is>
      </c>
      <c r="F995" s="8" t="n">
        <v>2</v>
      </c>
      <c r="G995" s="8" t="n">
        <v>0</v>
      </c>
      <c r="H995" s="8" t="n">
        <v>0</v>
      </c>
      <c r="I995" s="8" t="n">
        <v>0</v>
      </c>
      <c r="J995" s="8" t="n">
        <v>0</v>
      </c>
      <c r="K995" s="8" t="n">
        <v>0</v>
      </c>
      <c r="L995" s="8" t="n">
        <v>0</v>
      </c>
      <c r="M995" s="8" t="n">
        <v>2</v>
      </c>
      <c r="N995" s="8" t="n">
        <v>0</v>
      </c>
      <c r="O995" s="8" t="n">
        <v>0</v>
      </c>
      <c r="P995" s="8" t="n">
        <v>0</v>
      </c>
      <c r="Q995" s="8" t="n">
        <v>0</v>
      </c>
      <c r="R995" s="8" t="n">
        <v>1</v>
      </c>
      <c r="S995" s="8" t="n">
        <v>0</v>
      </c>
      <c r="T995" s="8" t="n">
        <v>1</v>
      </c>
      <c r="U995" s="8" t="n">
        <v>0</v>
      </c>
      <c r="V995" s="8" t="n">
        <v>0</v>
      </c>
      <c r="W995" s="8" t="n">
        <v>0</v>
      </c>
      <c r="X995" s="8" t="n">
        <v>0</v>
      </c>
      <c r="Y995" s="8" t="inlineStr">
        <is>
          <t>Replaced by PH N Kehs in T6 (play #43). SB play #24 (embedded N Truman steals 2nd during K Willis AB, T3). R: scores on G Gallow 2B play #13.</t>
        </is>
      </c>
    </row>
    <row r="996" ht="15.75" customHeight="1" s="35">
      <c r="A996" s="8" t="inlineStr">
        <is>
          <t>2026-03-31_CRFT_at_CNTN</t>
        </is>
      </c>
      <c r="B996" s="2" t="n">
        <v>46112</v>
      </c>
      <c r="C996" s="8" t="inlineStr">
        <is>
          <t>Crofton Varsity Cardinals</t>
        </is>
      </c>
      <c r="D996" s="8" t="inlineStr">
        <is>
          <t>CRFT</t>
        </is>
      </c>
      <c r="E996" s="8" t="inlineStr">
        <is>
          <t>K Willis</t>
        </is>
      </c>
      <c r="F996" s="8" t="n">
        <v>4</v>
      </c>
      <c r="G996" s="8" t="n">
        <v>3</v>
      </c>
      <c r="H996" s="8" t="n">
        <v>0</v>
      </c>
      <c r="I996" s="8" t="n">
        <v>0</v>
      </c>
      <c r="J996" s="8" t="n">
        <v>0</v>
      </c>
      <c r="K996" s="8" t="n">
        <v>0</v>
      </c>
      <c r="L996" s="8" t="n">
        <v>0</v>
      </c>
      <c r="M996" s="8" t="n">
        <v>0</v>
      </c>
      <c r="N996" s="8" t="n">
        <v>1</v>
      </c>
      <c r="O996" s="8" t="n">
        <v>0</v>
      </c>
      <c r="P996" s="8" t="n">
        <v>0</v>
      </c>
      <c r="Q996" s="8" t="n">
        <v>0</v>
      </c>
      <c r="R996" s="8" t="n">
        <v>2</v>
      </c>
      <c r="S996" s="8" t="n">
        <v>0</v>
      </c>
      <c r="T996" s="8" t="n">
        <v>2</v>
      </c>
      <c r="U996" s="8" t="n">
        <v>0</v>
      </c>
      <c r="V996" s="8" t="n">
        <v>0</v>
      </c>
      <c r="W996" s="8" t="n">
        <v>0</v>
      </c>
      <c r="X996" s="8" t="n">
        <v>0</v>
      </c>
      <c r="Y996" s="8" t="inlineStr">
        <is>
          <t>HBP play #11. Reaches on error play #58 (CNTN E#4). SB×2 plays #59 (steals 2nd and 3rd, embedded in X Bejar walk AB, T7). R×2: scores on G Gallow 2B play #13 + unstated mechanism play #59 (Flag #6). AB=PA(4)-HBP(1)=3.</t>
        </is>
      </c>
    </row>
    <row r="997" ht="15.75" customHeight="1" s="35">
      <c r="A997" s="8" t="inlineStr">
        <is>
          <t>2026-03-31_CRFT_at_CNTN</t>
        </is>
      </c>
      <c r="B997" s="2" t="n">
        <v>46112</v>
      </c>
      <c r="C997" s="8" t="inlineStr">
        <is>
          <t>Crofton Varsity Cardinals</t>
        </is>
      </c>
      <c r="D997" s="8" t="inlineStr">
        <is>
          <t>CRFT</t>
        </is>
      </c>
      <c r="E997" s="8" t="inlineStr">
        <is>
          <t>X Bejar</t>
        </is>
      </c>
      <c r="F997" s="8" t="n">
        <v>4</v>
      </c>
      <c r="G997" s="8" t="n">
        <v>3</v>
      </c>
      <c r="H997" s="8" t="n">
        <v>1</v>
      </c>
      <c r="I997" s="8" t="n">
        <v>1</v>
      </c>
      <c r="J997" s="8" t="n">
        <v>0</v>
      </c>
      <c r="K997" s="8" t="n">
        <v>0</v>
      </c>
      <c r="L997" s="8" t="n">
        <v>0</v>
      </c>
      <c r="M997" s="8" t="n">
        <v>1</v>
      </c>
      <c r="N997" s="8" t="n">
        <v>0</v>
      </c>
      <c r="O997" s="8" t="n">
        <v>2</v>
      </c>
      <c r="P997" s="8" t="n">
        <v>1</v>
      </c>
      <c r="Q997" s="8" t="n">
        <v>1</v>
      </c>
      <c r="R997" s="8" t="n">
        <v>0</v>
      </c>
      <c r="S997" s="8" t="n">
        <v>0</v>
      </c>
      <c r="T997" s="8" t="n">
        <v>0</v>
      </c>
      <c r="U997" s="8" t="n">
        <v>0</v>
      </c>
      <c r="V997" s="8" t="n">
        <v>0</v>
      </c>
      <c r="W997" s="8" t="n">
        <v>0</v>
      </c>
      <c r="X997" s="8" t="n">
        <v>0</v>
      </c>
      <c r="Y997" s="8" t="inlineStr">
        <is>
          <t>K_S play #12; K_L play #28. 1B play #45. AB=PA(4)-BB(1)=3.</t>
        </is>
      </c>
    </row>
    <row r="998" ht="15.75" customHeight="1" s="35">
      <c r="A998" s="8" t="inlineStr">
        <is>
          <t>2026-03-31_CRFT_at_CNTN</t>
        </is>
      </c>
      <c r="B998" s="2" t="n">
        <v>46112</v>
      </c>
      <c r="C998" s="8" t="inlineStr">
        <is>
          <t>Crofton Varsity Cardinals</t>
        </is>
      </c>
      <c r="D998" s="8" t="inlineStr">
        <is>
          <t>CRFT</t>
        </is>
      </c>
      <c r="E998" s="8" t="inlineStr">
        <is>
          <t>G Gallow</t>
        </is>
      </c>
      <c r="F998" s="8" t="n">
        <v>4</v>
      </c>
      <c r="G998" s="8" t="n">
        <v>4</v>
      </c>
      <c r="H998" s="8" t="n">
        <v>2</v>
      </c>
      <c r="I998" s="8" t="n">
        <v>1</v>
      </c>
      <c r="J998" s="8" t="n">
        <v>1</v>
      </c>
      <c r="K998" s="8" t="n">
        <v>0</v>
      </c>
      <c r="L998" s="8" t="n">
        <v>0</v>
      </c>
      <c r="M998" s="8" t="n">
        <v>0</v>
      </c>
      <c r="N998" s="8" t="n">
        <v>0</v>
      </c>
      <c r="O998" s="8" t="n">
        <v>2</v>
      </c>
      <c r="P998" s="8" t="n">
        <v>2</v>
      </c>
      <c r="Q998" s="8" t="n">
        <v>0</v>
      </c>
      <c r="R998" s="8" t="n">
        <v>0</v>
      </c>
      <c r="S998" s="8" t="n">
        <v>3</v>
      </c>
      <c r="T998" s="8" t="n">
        <v>0</v>
      </c>
      <c r="U998" s="8" t="n">
        <v>0</v>
      </c>
      <c r="V998" s="8" t="n">
        <v>0</v>
      </c>
      <c r="W998" s="8" t="n">
        <v>0</v>
      </c>
      <c r="X998" s="8" t="n">
        <v>0</v>
      </c>
      <c r="Y998" s="8" t="inlineStr">
        <is>
          <t>2B play #13 (RBI+2: N Truman+K Willis score). 1B bunt play #46 (RBI+1: N Kehs/L Davis CR scores). K_L×2 plays #29,#60.</t>
        </is>
      </c>
    </row>
    <row r="999" ht="15.75" customHeight="1" s="35">
      <c r="A999" s="8" t="inlineStr">
        <is>
          <t>2026-03-31_CRFT_at_CNTN</t>
        </is>
      </c>
      <c r="B999" s="2" t="n">
        <v>46112</v>
      </c>
      <c r="C999" s="8" t="inlineStr">
        <is>
          <t>Crofton Varsity Cardinals</t>
        </is>
      </c>
      <c r="D999" s="8" t="inlineStr">
        <is>
          <t>CRFT</t>
        </is>
      </c>
      <c r="E999" s="8" t="inlineStr">
        <is>
          <t>E Colgan</t>
        </is>
      </c>
      <c r="F999" s="8" t="n">
        <v>4</v>
      </c>
      <c r="G999" s="8" t="n">
        <v>3</v>
      </c>
      <c r="H999" s="8" t="n">
        <v>0</v>
      </c>
      <c r="I999" s="8" t="n">
        <v>0</v>
      </c>
      <c r="J999" s="8" t="n">
        <v>0</v>
      </c>
      <c r="K999" s="8" t="n">
        <v>0</v>
      </c>
      <c r="L999" s="8" t="n">
        <v>0</v>
      </c>
      <c r="M999" s="8" t="n">
        <v>0</v>
      </c>
      <c r="N999" s="8" t="n">
        <v>0</v>
      </c>
      <c r="O999" s="8" t="n">
        <v>3</v>
      </c>
      <c r="P999" s="8" t="n">
        <v>3</v>
      </c>
      <c r="Q999" s="8" t="n">
        <v>0</v>
      </c>
      <c r="R999" s="8" t="n">
        <v>0</v>
      </c>
      <c r="S999" s="8" t="n">
        <v>1</v>
      </c>
      <c r="T999" s="8" t="n">
        <v>0</v>
      </c>
      <c r="U999" s="8" t="n">
        <v>0</v>
      </c>
      <c r="V999" s="8" t="n">
        <v>0</v>
      </c>
      <c r="W999" s="8" t="n">
        <v>1</v>
      </c>
      <c r="X999" s="8" t="n">
        <v>0</v>
      </c>
      <c r="Y999" s="8" t="inlineStr">
        <is>
          <t>SAC play #47 (X Bejar scores, RBI+1). K_L×3 plays #14,#30,#61. AB=PA(4)-SAC(1)=3.</t>
        </is>
      </c>
    </row>
    <row r="1000" ht="15.75" customHeight="1" s="35">
      <c r="A1000" s="8" t="inlineStr">
        <is>
          <t>2026-03-31_CRFT_at_CNTN</t>
        </is>
      </c>
      <c r="B1000" s="2" t="n">
        <v>46112</v>
      </c>
      <c r="C1000" s="8" t="inlineStr">
        <is>
          <t>Crofton Varsity Cardinals</t>
        </is>
      </c>
      <c r="D1000" s="8" t="inlineStr">
        <is>
          <t>CRFT</t>
        </is>
      </c>
      <c r="E1000" s="8" t="inlineStr">
        <is>
          <t>M Davis</t>
        </is>
      </c>
      <c r="F1000" s="8" t="n">
        <v>3</v>
      </c>
      <c r="G1000" s="8" t="n">
        <v>3</v>
      </c>
      <c r="H1000" s="8" t="n">
        <v>0</v>
      </c>
      <c r="I1000" s="8" t="n">
        <v>0</v>
      </c>
      <c r="J1000" s="8" t="n">
        <v>0</v>
      </c>
      <c r="K1000" s="8" t="n">
        <v>0</v>
      </c>
      <c r="L1000" s="8" t="n">
        <v>0</v>
      </c>
      <c r="M1000" s="8" t="n">
        <v>0</v>
      </c>
      <c r="N1000" s="8" t="n">
        <v>0</v>
      </c>
      <c r="O1000" s="8" t="n">
        <v>1</v>
      </c>
      <c r="P1000" s="8" t="n">
        <v>1</v>
      </c>
      <c r="Q1000" s="8" t="n">
        <v>0</v>
      </c>
      <c r="R1000" s="8" t="n">
        <v>0</v>
      </c>
      <c r="S1000" s="8" t="n">
        <v>0</v>
      </c>
      <c r="T1000" s="8" t="n">
        <v>0</v>
      </c>
      <c r="U1000" s="8" t="n">
        <v>0</v>
      </c>
      <c r="V1000" s="8" t="n">
        <v>0</v>
      </c>
      <c r="W1000" s="8" t="n">
        <v>0</v>
      </c>
      <c r="X1000" s="8" t="n">
        <v>0</v>
      </c>
      <c r="Y1000" s="8" t="inlineStr">
        <is>
          <t>K_L play #48. Phantom T8 entry (play #65) skipped per Flag #8 — no outcome recorded.</t>
        </is>
      </c>
    </row>
    <row r="1001" ht="15.75" customHeight="1" s="35">
      <c r="A1001" s="8" t="inlineStr">
        <is>
          <t>2026-03-31_CRFT_at_CNTN</t>
        </is>
      </c>
      <c r="B1001" s="2" t="n">
        <v>46112</v>
      </c>
      <c r="C1001" s="8" t="inlineStr">
        <is>
          <t>Crofton Varsity Cardinals</t>
        </is>
      </c>
      <c r="D1001" s="8" t="inlineStr">
        <is>
          <t>CRFT</t>
        </is>
      </c>
      <c r="E1001" s="8" t="inlineStr">
        <is>
          <t>N Kehs</t>
        </is>
      </c>
      <c r="F1001" s="8" t="n">
        <v>2</v>
      </c>
      <c r="G1001" s="8" t="n">
        <v>2</v>
      </c>
      <c r="H1001" s="8" t="n">
        <v>2</v>
      </c>
      <c r="I1001" s="8" t="n">
        <v>1</v>
      </c>
      <c r="J1001" s="8" t="n">
        <v>1</v>
      </c>
      <c r="K1001" s="8" t="n">
        <v>0</v>
      </c>
      <c r="L1001" s="8" t="n">
        <v>0</v>
      </c>
      <c r="M1001" s="8" t="n">
        <v>0</v>
      </c>
      <c r="N1001" s="8" t="n">
        <v>0</v>
      </c>
      <c r="O1001" s="8" t="n">
        <v>0</v>
      </c>
      <c r="P1001" s="8" t="n">
        <v>0</v>
      </c>
      <c r="Q1001" s="8" t="n">
        <v>0</v>
      </c>
      <c r="R1001" s="8" t="n">
        <v>2</v>
      </c>
      <c r="S1001" s="8" t="n">
        <v>1</v>
      </c>
      <c r="T1001" s="8" t="n">
        <v>0</v>
      </c>
      <c r="U1001" s="8" t="n">
        <v>0</v>
      </c>
      <c r="V1001" s="8" t="n">
        <v>0</v>
      </c>
      <c r="W1001" s="8" t="n">
        <v>0</v>
      </c>
      <c r="X1001" s="8" t="n">
        <v>0</v>
      </c>
      <c r="Y1001" s="8" t="inlineStr">
        <is>
          <t>PH for N Truman starting T6 play #43. 1B play #43. 2B play #57 (RBI+1: B White scores). R×2: L Davis CR scores at play #46 — credited to original player N Kehs per courtesy runner rule; N Kehs scores on K Willis error play #58.</t>
        </is>
      </c>
    </row>
    <row r="1002" ht="15.75" customHeight="1" s="35">
      <c r="A1002" s="8" t="inlineStr">
        <is>
          <t>2026-03-31_CRFT_at_CNTN</t>
        </is>
      </c>
      <c r="B1002" s="2" t="n">
        <v>46112</v>
      </c>
      <c r="C1002" s="8" t="inlineStr">
        <is>
          <t>Crofton Varsity Cardinals</t>
        </is>
      </c>
      <c r="D1002" s="8" t="inlineStr">
        <is>
          <t>CRFT</t>
        </is>
      </c>
      <c r="E1002" s="8" t="inlineStr">
        <is>
          <t>L Davis</t>
        </is>
      </c>
      <c r="F1002" s="8" t="n">
        <v>0</v>
      </c>
      <c r="G1002" s="8" t="n">
        <v>0</v>
      </c>
      <c r="H1002" s="8" t="n">
        <v>0</v>
      </c>
      <c r="I1002" s="8" t="n">
        <v>0</v>
      </c>
      <c r="J1002" s="8" t="n">
        <v>0</v>
      </c>
      <c r="K1002" s="8" t="n">
        <v>0</v>
      </c>
      <c r="L1002" s="8" t="n">
        <v>0</v>
      </c>
      <c r="M1002" s="8" t="n">
        <v>0</v>
      </c>
      <c r="N1002" s="8" t="n">
        <v>0</v>
      </c>
      <c r="O1002" s="8" t="n">
        <v>0</v>
      </c>
      <c r="P1002" s="8" t="n">
        <v>0</v>
      </c>
      <c r="Q1002" s="8" t="n">
        <v>0</v>
      </c>
      <c r="R1002" s="8" t="n">
        <v>0</v>
      </c>
      <c r="S1002" s="8" t="n">
        <v>0</v>
      </c>
      <c r="T1002" s="8" t="n">
        <v>0</v>
      </c>
      <c r="U1002" s="8" t="n">
        <v>0</v>
      </c>
      <c r="V1002" s="8" t="n">
        <v>0</v>
      </c>
      <c r="W1002" s="8" t="n">
        <v>0</v>
      </c>
      <c r="X1002" s="8" t="n">
        <v>0</v>
      </c>
      <c r="Y1002" s="8" t="inlineStr">
        <is>
          <t>CR for N Kehs T6 plays #44,#46. Scores at play #46 (G Gallow bunt 1B) — run credited to original player N Kehs per courtesy runner rule. Zero batting PAs.</t>
        </is>
      </c>
    </row>
    <row r="1003" ht="15.75" customHeight="1" s="35">
      <c r="A1003" s="8" t="inlineStr">
        <is>
          <t>2026-03-31_CRFT_at_CNTN</t>
        </is>
      </c>
      <c r="B1003" s="2" t="n">
        <v>46112</v>
      </c>
      <c r="C1003" s="8" t="inlineStr">
        <is>
          <t>Crofton Varsity Cardinals</t>
        </is>
      </c>
      <c r="D1003" s="8" t="inlineStr">
        <is>
          <t>CNTN</t>
        </is>
      </c>
      <c r="E1003" s="8" t="inlineStr">
        <is>
          <t>A Gauthier</t>
        </is>
      </c>
      <c r="F1003" s="8" t="n">
        <v>3</v>
      </c>
      <c r="G1003" s="8" t="n">
        <v>2</v>
      </c>
      <c r="H1003" s="8" t="n">
        <v>0</v>
      </c>
      <c r="I1003" s="8" t="n">
        <v>0</v>
      </c>
      <c r="J1003" s="8" t="n">
        <v>0</v>
      </c>
      <c r="K1003" s="8" t="n">
        <v>0</v>
      </c>
      <c r="L1003" s="8" t="n">
        <v>0</v>
      </c>
      <c r="M1003" s="8" t="n">
        <v>1</v>
      </c>
      <c r="N1003" s="8" t="n">
        <v>0</v>
      </c>
      <c r="O1003" s="8" t="n">
        <v>0</v>
      </c>
      <c r="P1003" s="8" t="n">
        <v>0</v>
      </c>
      <c r="Q1003" s="8" t="n">
        <v>0</v>
      </c>
      <c r="R1003" s="8" t="n">
        <v>0</v>
      </c>
      <c r="S1003" s="8" t="n">
        <v>0</v>
      </c>
      <c r="T1003" s="8" t="n">
        <v>0</v>
      </c>
      <c r="U1003" s="8" t="n">
        <v>0</v>
      </c>
      <c r="V1003" s="8" t="n">
        <v>1</v>
      </c>
      <c r="W1003" s="8" t="n">
        <v>0</v>
      </c>
      <c r="X1003" s="8" t="n">
        <v>0</v>
      </c>
      <c r="Y1003" s="8" t="inlineStr">
        <is>
          <t>GDP play #19 (double play: D Hill out at 2nd, A Gauthier out at 1st). Replaced by PH A Li in B7.</t>
        </is>
      </c>
    </row>
    <row r="1004" ht="15.75" customHeight="1" s="35">
      <c r="A1004" s="8" t="inlineStr">
        <is>
          <t>2026-03-31_CRFT_at_CNTN</t>
        </is>
      </c>
      <c r="B1004" s="2" t="n">
        <v>46112</v>
      </c>
      <c r="C1004" s="8" t="inlineStr">
        <is>
          <t>Crofton Varsity Cardinals</t>
        </is>
      </c>
      <c r="D1004" s="8" t="inlineStr">
        <is>
          <t>CNTN</t>
        </is>
      </c>
      <c r="E1004" s="8" t="inlineStr">
        <is>
          <t>E Rayne</t>
        </is>
      </c>
      <c r="F1004" s="8" t="n">
        <v>3</v>
      </c>
      <c r="G1004" s="8" t="n">
        <v>2</v>
      </c>
      <c r="H1004" s="8" t="n">
        <v>0</v>
      </c>
      <c r="I1004" s="8" t="n">
        <v>0</v>
      </c>
      <c r="J1004" s="8" t="n">
        <v>0</v>
      </c>
      <c r="K1004" s="8" t="n">
        <v>0</v>
      </c>
      <c r="L1004" s="8" t="n">
        <v>0</v>
      </c>
      <c r="M1004" s="8" t="n">
        <v>1</v>
      </c>
      <c r="N1004" s="8" t="n">
        <v>0</v>
      </c>
      <c r="O1004" s="8" t="n">
        <v>0</v>
      </c>
      <c r="P1004" s="8" t="n">
        <v>0</v>
      </c>
      <c r="Q1004" s="8" t="n">
        <v>0</v>
      </c>
      <c r="R1004" s="8" t="n">
        <v>0</v>
      </c>
      <c r="S1004" s="8" t="n">
        <v>0</v>
      </c>
      <c r="T1004" s="8" t="n">
        <v>0</v>
      </c>
      <c r="U1004" s="8" t="n">
        <v>0</v>
      </c>
      <c r="V1004" s="8" t="n">
        <v>0</v>
      </c>
      <c r="W1004" s="8" t="n">
        <v>0</v>
      </c>
      <c r="X1004" s="8" t="n">
        <v>0</v>
      </c>
      <c r="Y1004" s="8" t="inlineStr">
        <is>
          <t>Walk play #5. GO×2 plays #25,#42. Also CNTN opening pitcher (T1-T3) — see Pitching sheet.</t>
        </is>
      </c>
    </row>
    <row r="1005" ht="15.75" customHeight="1" s="35">
      <c r="A1005" s="8" t="inlineStr">
        <is>
          <t>2026-03-31_CRFT_at_CNTN</t>
        </is>
      </c>
      <c r="B1005" s="2" t="n">
        <v>46112</v>
      </c>
      <c r="C1005" s="8" t="inlineStr">
        <is>
          <t>Crofton Varsity Cardinals</t>
        </is>
      </c>
      <c r="D1005" s="8" t="inlineStr">
        <is>
          <t>CNTN</t>
        </is>
      </c>
      <c r="E1005" s="8" t="inlineStr">
        <is>
          <t>C Bade</t>
        </is>
      </c>
      <c r="F1005" s="8" t="n">
        <v>3</v>
      </c>
      <c r="G1005" s="8" t="n">
        <v>2</v>
      </c>
      <c r="H1005" s="8" t="n">
        <v>0</v>
      </c>
      <c r="I1005" s="8" t="n">
        <v>0</v>
      </c>
      <c r="J1005" s="8" t="n">
        <v>0</v>
      </c>
      <c r="K1005" s="8" t="n">
        <v>0</v>
      </c>
      <c r="L1005" s="8" t="n">
        <v>0</v>
      </c>
      <c r="M1005" s="8" t="n">
        <v>1</v>
      </c>
      <c r="N1005" s="8" t="n">
        <v>0</v>
      </c>
      <c r="O1005" s="8" t="n">
        <v>1</v>
      </c>
      <c r="P1005" s="8" t="n">
        <v>0</v>
      </c>
      <c r="Q1005" s="8" t="n">
        <v>1</v>
      </c>
      <c r="R1005" s="8" t="n">
        <v>0</v>
      </c>
      <c r="S1005" s="8" t="n">
        <v>0</v>
      </c>
      <c r="T1005" s="8" t="n">
        <v>0</v>
      </c>
      <c r="U1005" s="8" t="n">
        <v>1</v>
      </c>
      <c r="V1005" s="8" t="n">
        <v>0</v>
      </c>
      <c r="W1005" s="8" t="n">
        <v>0</v>
      </c>
      <c r="X1005" s="8" t="n">
        <v>1</v>
      </c>
      <c r="Y1005" s="8" t="inlineStr">
        <is>
          <t>CS play #7 (caught stealing 2nd — embedded in A Banks walk AB, B1). FC play #6. K_S play #26. AB=PA(3)-BB(1)=2.</t>
        </is>
      </c>
    </row>
    <row r="1006" ht="15.75" customHeight="1" s="35">
      <c r="A1006" s="8" t="inlineStr">
        <is>
          <t>2026-03-31_CRFT_at_CNTN</t>
        </is>
      </c>
      <c r="B1006" s="2" t="n">
        <v>46112</v>
      </c>
      <c r="C1006" s="8" t="inlineStr">
        <is>
          <t>Crofton Varsity Cardinals</t>
        </is>
      </c>
      <c r="D1006" s="8" t="inlineStr">
        <is>
          <t>CNTN</t>
        </is>
      </c>
      <c r="E1006" s="8" t="inlineStr">
        <is>
          <t>A Banks</t>
        </is>
      </c>
      <c r="F1006" s="8" t="n">
        <v>3</v>
      </c>
      <c r="G1006" s="8" t="n">
        <v>2</v>
      </c>
      <c r="H1006" s="8" t="n">
        <v>0</v>
      </c>
      <c r="I1006" s="8" t="n">
        <v>0</v>
      </c>
      <c r="J1006" s="8" t="n">
        <v>0</v>
      </c>
      <c r="K1006" s="8" t="n">
        <v>0</v>
      </c>
      <c r="L1006" s="8" t="n">
        <v>0</v>
      </c>
      <c r="M1006" s="8" t="n">
        <v>1</v>
      </c>
      <c r="N1006" s="8" t="n">
        <v>0</v>
      </c>
      <c r="O1006" s="8" t="n">
        <v>1</v>
      </c>
      <c r="P1006" s="8" t="n">
        <v>0</v>
      </c>
      <c r="Q1006" s="8" t="n">
        <v>1</v>
      </c>
      <c r="R1006" s="8" t="n">
        <v>0</v>
      </c>
      <c r="S1006" s="8" t="n">
        <v>0</v>
      </c>
      <c r="T1006" s="8" t="n">
        <v>0</v>
      </c>
      <c r="U1006" s="8" t="n">
        <v>0</v>
      </c>
      <c r="V1006" s="8" t="n">
        <v>1</v>
      </c>
      <c r="W1006" s="8" t="n">
        <v>0</v>
      </c>
      <c r="X1006" s="8" t="n">
        <v>0</v>
      </c>
      <c r="Y1006" s="8" t="inlineStr">
        <is>
          <t>GDP play #50 (A Banks DP: C Bade out at 2nd, A Banks out at 1st). K_S play #27. AB=PA(3)-BB(1)=2.</t>
        </is>
      </c>
    </row>
    <row r="1007" ht="15.75" customHeight="1" s="35">
      <c r="A1007" s="8" t="inlineStr">
        <is>
          <t>2026-03-31_CRFT_at_CNTN</t>
        </is>
      </c>
      <c r="B1007" s="2" t="n">
        <v>46112</v>
      </c>
      <c r="C1007" s="8" t="inlineStr">
        <is>
          <t>Crofton Varsity Cardinals</t>
        </is>
      </c>
      <c r="D1007" s="8" t="inlineStr">
        <is>
          <t>CNTN</t>
        </is>
      </c>
      <c r="E1007" s="8" t="inlineStr">
        <is>
          <t>B Harris</t>
        </is>
      </c>
      <c r="F1007" s="8" t="n">
        <v>3</v>
      </c>
      <c r="G1007" s="8" t="n">
        <v>0</v>
      </c>
      <c r="H1007" s="8" t="n">
        <v>0</v>
      </c>
      <c r="I1007" s="8" t="n">
        <v>0</v>
      </c>
      <c r="J1007" s="8" t="n">
        <v>0</v>
      </c>
      <c r="K1007" s="8" t="n">
        <v>0</v>
      </c>
      <c r="L1007" s="8" t="n">
        <v>0</v>
      </c>
      <c r="M1007" s="8" t="n">
        <v>3</v>
      </c>
      <c r="N1007" s="8" t="n">
        <v>0</v>
      </c>
      <c r="O1007" s="8" t="n">
        <v>0</v>
      </c>
      <c r="P1007" s="8" t="n">
        <v>0</v>
      </c>
      <c r="Q1007" s="8" t="n">
        <v>0</v>
      </c>
      <c r="R1007" s="8" t="n">
        <v>0</v>
      </c>
      <c r="S1007" s="8" t="n">
        <v>0</v>
      </c>
      <c r="T1007" s="8" t="n">
        <v>0</v>
      </c>
      <c r="U1007" s="8" t="n">
        <v>0</v>
      </c>
      <c r="V1007" s="8" t="n">
        <v>0</v>
      </c>
      <c r="W1007" s="8" t="n">
        <v>0</v>
      </c>
      <c r="X1007" s="8" t="n">
        <v>0</v>
      </c>
      <c r="Y1007" s="8" t="inlineStr">
        <is>
          <t>BB×3 plays #8,#31,#51. CR E Ogg used ×3 (plays #9,#32,#52) — E Ogg did not score. AB=0.</t>
        </is>
      </c>
    </row>
    <row r="1008" ht="15.75" customHeight="1" s="35">
      <c r="A1008" s="8" t="inlineStr">
        <is>
          <t>2026-03-31_CRFT_at_CNTN</t>
        </is>
      </c>
      <c r="B1008" s="2" t="n">
        <v>46112</v>
      </c>
      <c r="C1008" s="8" t="inlineStr">
        <is>
          <t>Crofton Varsity Cardinals</t>
        </is>
      </c>
      <c r="D1008" s="8" t="inlineStr">
        <is>
          <t>CNTN</t>
        </is>
      </c>
      <c r="E1008" s="8" t="inlineStr">
        <is>
          <t>E Ogg</t>
        </is>
      </c>
      <c r="F1008" s="8" t="n">
        <v>0</v>
      </c>
      <c r="G1008" s="8" t="n">
        <v>0</v>
      </c>
      <c r="H1008" s="8" t="n">
        <v>0</v>
      </c>
      <c r="I1008" s="8" t="n">
        <v>0</v>
      </c>
      <c r="J1008" s="8" t="n">
        <v>0</v>
      </c>
      <c r="K1008" s="8" t="n">
        <v>0</v>
      </c>
      <c r="L1008" s="8" t="n">
        <v>0</v>
      </c>
      <c r="M1008" s="8" t="n">
        <v>0</v>
      </c>
      <c r="N1008" s="8" t="n">
        <v>0</v>
      </c>
      <c r="O1008" s="8" t="n">
        <v>0</v>
      </c>
      <c r="P1008" s="8" t="n">
        <v>0</v>
      </c>
      <c r="Q1008" s="8" t="n">
        <v>0</v>
      </c>
      <c r="R1008" s="8" t="n">
        <v>0</v>
      </c>
      <c r="S1008" s="8" t="n">
        <v>0</v>
      </c>
      <c r="T1008" s="8" t="n">
        <v>0</v>
      </c>
      <c r="U1008" s="8" t="n">
        <v>0</v>
      </c>
      <c r="V1008" s="8" t="n">
        <v>0</v>
      </c>
      <c r="W1008" s="8" t="n">
        <v>0</v>
      </c>
      <c r="X1008" s="8" t="n">
        <v>0</v>
      </c>
      <c r="Y1008" s="8" t="inlineStr">
        <is>
          <t>CR for B Harris ×3: B1 play #9 (advances to 2nd, stranded), B4 play #32 (out advancing to 2nd on B Corrao FC), B6 play #52 (advances to 2nd, stranded). Zero batting PAs.</t>
        </is>
      </c>
    </row>
    <row r="1009" ht="15.75" customHeight="1" s="35">
      <c r="A1009" s="8" t="inlineStr">
        <is>
          <t>2026-03-31_CRFT_at_CNTN</t>
        </is>
      </c>
      <c r="B1009" s="2" t="n">
        <v>46112</v>
      </c>
      <c r="C1009" s="8" t="inlineStr">
        <is>
          <t>Crofton Varsity Cardinals</t>
        </is>
      </c>
      <c r="D1009" s="8" t="inlineStr">
        <is>
          <t>CNTN</t>
        </is>
      </c>
      <c r="E1009" s="8" t="inlineStr">
        <is>
          <t>B Corrao</t>
        </is>
      </c>
      <c r="F1009" s="8" t="n">
        <v>3</v>
      </c>
      <c r="G1009" s="8" t="n">
        <v>2</v>
      </c>
      <c r="H1009" s="8" t="n">
        <v>0</v>
      </c>
      <c r="I1009" s="8" t="n">
        <v>0</v>
      </c>
      <c r="J1009" s="8" t="n">
        <v>0</v>
      </c>
      <c r="K1009" s="8" t="n">
        <v>0</v>
      </c>
      <c r="L1009" s="8" t="n">
        <v>0</v>
      </c>
      <c r="M1009" s="8" t="n">
        <v>1</v>
      </c>
      <c r="N1009" s="8" t="n">
        <v>0</v>
      </c>
      <c r="O1009" s="8" t="n">
        <v>0</v>
      </c>
      <c r="P1009" s="8" t="n">
        <v>0</v>
      </c>
      <c r="Q1009" s="8" t="n">
        <v>0</v>
      </c>
      <c r="R1009" s="8" t="n">
        <v>0</v>
      </c>
      <c r="S1009" s="8" t="n">
        <v>0</v>
      </c>
      <c r="T1009" s="8" t="n">
        <v>0</v>
      </c>
      <c r="U1009" s="8" t="n">
        <v>0</v>
      </c>
      <c r="V1009" s="8" t="n">
        <v>0</v>
      </c>
      <c r="W1009" s="8" t="n">
        <v>0</v>
      </c>
      <c r="X1009" s="8" t="n">
        <v>2</v>
      </c>
      <c r="Y1009" s="8" t="inlineStr">
        <is>
          <t>FC×2 plays #9,#32 (E Ogg=CR for B Harris is the runner put out each time). AB=PA(3)-BB(1)=2.</t>
        </is>
      </c>
    </row>
    <row r="1010" ht="15.75" customHeight="1" s="35">
      <c r="A1010" s="8" t="inlineStr">
        <is>
          <t>2026-03-31_CRFT_at_CNTN</t>
        </is>
      </c>
      <c r="B1010" s="2" t="n">
        <v>46112</v>
      </c>
      <c r="C1010" s="8" t="inlineStr">
        <is>
          <t>Crofton Varsity Cardinals</t>
        </is>
      </c>
      <c r="D1010" s="8" t="inlineStr">
        <is>
          <t>CNTN</t>
        </is>
      </c>
      <c r="E1010" s="8" t="inlineStr">
        <is>
          <t>C Stachera</t>
        </is>
      </c>
      <c r="F1010" s="8" t="n">
        <v>3</v>
      </c>
      <c r="G1010" s="8" t="n">
        <v>2</v>
      </c>
      <c r="H1010" s="8" t="n">
        <v>0</v>
      </c>
      <c r="I1010" s="8" t="n">
        <v>0</v>
      </c>
      <c r="J1010" s="8" t="n">
        <v>0</v>
      </c>
      <c r="K1010" s="8" t="n">
        <v>0</v>
      </c>
      <c r="L1010" s="8" t="n">
        <v>0</v>
      </c>
      <c r="M1010" s="8" t="n">
        <v>1</v>
      </c>
      <c r="N1010" s="8" t="n">
        <v>0</v>
      </c>
      <c r="O1010" s="8" t="n">
        <v>1</v>
      </c>
      <c r="P1010" s="8" t="n">
        <v>0</v>
      </c>
      <c r="Q1010" s="8" t="n">
        <v>1</v>
      </c>
      <c r="R1010" s="8" t="n">
        <v>0</v>
      </c>
      <c r="S1010" s="8" t="n">
        <v>0</v>
      </c>
      <c r="T1010" s="8" t="n">
        <v>0</v>
      </c>
      <c r="U1010" s="8" t="n">
        <v>0</v>
      </c>
      <c r="V1010" s="8" t="n">
        <v>0</v>
      </c>
      <c r="W1010" s="8" t="n">
        <v>0</v>
      </c>
      <c r="X1010" s="8" t="n">
        <v>0</v>
      </c>
      <c r="Y1010" s="8" t="inlineStr">
        <is>
          <t>K_S play #33. AB=PA(3)-BB(1)=2.</t>
        </is>
      </c>
    </row>
    <row r="1011" ht="15.75" customHeight="1" s="35">
      <c r="A1011" s="8" t="inlineStr">
        <is>
          <t>2026-03-31_CRFT_at_CNTN</t>
        </is>
      </c>
      <c r="B1011" s="2" t="n">
        <v>46112</v>
      </c>
      <c r="C1011" s="8" t="inlineStr">
        <is>
          <t>Crofton Varsity Cardinals</t>
        </is>
      </c>
      <c r="D1011" s="8" t="inlineStr">
        <is>
          <t>CNTN</t>
        </is>
      </c>
      <c r="E1011" s="8" t="inlineStr">
        <is>
          <t>D Hill</t>
        </is>
      </c>
      <c r="F1011" s="8" t="n">
        <v>2</v>
      </c>
      <c r="G1011" s="8" t="n">
        <v>1</v>
      </c>
      <c r="H1011" s="8" t="n">
        <v>1</v>
      </c>
      <c r="I1011" s="8" t="n">
        <v>1</v>
      </c>
      <c r="J1011" s="8" t="n">
        <v>0</v>
      </c>
      <c r="K1011" s="8" t="n">
        <v>0</v>
      </c>
      <c r="L1011" s="8" t="n">
        <v>0</v>
      </c>
      <c r="M1011" s="8" t="n">
        <v>1</v>
      </c>
      <c r="N1011" s="8" t="n">
        <v>0</v>
      </c>
      <c r="O1011" s="8" t="n">
        <v>0</v>
      </c>
      <c r="P1011" s="8" t="n">
        <v>0</v>
      </c>
      <c r="Q1011" s="8" t="n">
        <v>0</v>
      </c>
      <c r="R1011" s="8" t="n">
        <v>0</v>
      </c>
      <c r="S1011" s="8" t="n">
        <v>0</v>
      </c>
      <c r="T1011" s="8" t="n">
        <v>0</v>
      </c>
      <c r="U1011" s="8" t="n">
        <v>0</v>
      </c>
      <c r="V1011" s="8" t="n">
        <v>0</v>
      </c>
      <c r="W1011" s="8" t="n">
        <v>0</v>
      </c>
      <c r="X1011" s="8" t="n">
        <v>0</v>
      </c>
      <c r="Y1011" s="8" t="inlineStr">
        <is>
          <t>1B play #17. Replaced by PH L Rivkin in B7 (play #62). AB=PA(2)-BB(1)=1.</t>
        </is>
      </c>
    </row>
    <row r="1012" ht="15.75" customHeight="1" s="35">
      <c r="A1012" s="8" t="inlineStr">
        <is>
          <t>2026-03-31_CRFT_at_CNTN</t>
        </is>
      </c>
      <c r="B1012" s="2" t="n">
        <v>46112</v>
      </c>
      <c r="C1012" s="8" t="inlineStr">
        <is>
          <t>Crofton Varsity Cardinals</t>
        </is>
      </c>
      <c r="D1012" s="8" t="inlineStr">
        <is>
          <t>CNTN</t>
        </is>
      </c>
      <c r="E1012" s="8" t="inlineStr">
        <is>
          <t>L Choe</t>
        </is>
      </c>
      <c r="F1012" s="8" t="n">
        <v>2</v>
      </c>
      <c r="G1012" s="8" t="n">
        <v>2</v>
      </c>
      <c r="H1012" s="8" t="n">
        <v>0</v>
      </c>
      <c r="I1012" s="8" t="n">
        <v>0</v>
      </c>
      <c r="J1012" s="8" t="n">
        <v>0</v>
      </c>
      <c r="K1012" s="8" t="n">
        <v>0</v>
      </c>
      <c r="L1012" s="8" t="n">
        <v>0</v>
      </c>
      <c r="M1012" s="8" t="n">
        <v>0</v>
      </c>
      <c r="N1012" s="8" t="n">
        <v>0</v>
      </c>
      <c r="O1012" s="8" t="n">
        <v>2</v>
      </c>
      <c r="P1012" s="8" t="n">
        <v>1</v>
      </c>
      <c r="Q1012" s="8" t="n">
        <v>1</v>
      </c>
      <c r="R1012" s="8" t="n">
        <v>0</v>
      </c>
      <c r="S1012" s="8" t="n">
        <v>0</v>
      </c>
      <c r="T1012" s="8" t="n">
        <v>0</v>
      </c>
      <c r="U1012" s="8" t="n">
        <v>0</v>
      </c>
      <c r="V1012" s="8" t="n">
        <v>0</v>
      </c>
      <c r="W1012" s="8" t="n">
        <v>0</v>
      </c>
      <c r="X1012" s="8" t="n">
        <v>0</v>
      </c>
      <c r="Y1012" s="8" t="inlineStr">
        <is>
          <t>K_S play #18; K_L play #40. Replaced by PH W Sisolak in B7 (play #63).</t>
        </is>
      </c>
    </row>
    <row r="1013" ht="15.75" customHeight="1" s="35">
      <c r="A1013" s="8" t="inlineStr">
        <is>
          <t>2026-03-31_CRFT_at_CNTN</t>
        </is>
      </c>
      <c r="B1013" s="2" t="n">
        <v>46112</v>
      </c>
      <c r="C1013" s="8" t="inlineStr">
        <is>
          <t>Crofton Varsity Cardinals</t>
        </is>
      </c>
      <c r="D1013" s="8" t="inlineStr">
        <is>
          <t>CNTN</t>
        </is>
      </c>
      <c r="E1013" s="8" t="inlineStr">
        <is>
          <t>L Rivkin</t>
        </is>
      </c>
      <c r="F1013" s="8" t="n">
        <v>1</v>
      </c>
      <c r="G1013" s="8" t="n">
        <v>1</v>
      </c>
      <c r="H1013" s="8" t="n">
        <v>0</v>
      </c>
      <c r="I1013" s="8" t="n">
        <v>0</v>
      </c>
      <c r="J1013" s="8" t="n">
        <v>0</v>
      </c>
      <c r="K1013" s="8" t="n">
        <v>0</v>
      </c>
      <c r="L1013" s="8" t="n">
        <v>0</v>
      </c>
      <c r="M1013" s="8" t="n">
        <v>0</v>
      </c>
      <c r="N1013" s="8" t="n">
        <v>0</v>
      </c>
      <c r="O1013" s="8" t="n">
        <v>1</v>
      </c>
      <c r="P1013" s="8" t="n">
        <v>0</v>
      </c>
      <c r="Q1013" s="8" t="n">
        <v>1</v>
      </c>
      <c r="R1013" s="8" t="n">
        <v>0</v>
      </c>
      <c r="S1013" s="8" t="n">
        <v>0</v>
      </c>
      <c r="T1013" s="8" t="n">
        <v>0</v>
      </c>
      <c r="U1013" s="8" t="n">
        <v>0</v>
      </c>
      <c r="V1013" s="8" t="n">
        <v>0</v>
      </c>
      <c r="W1013" s="8" t="n">
        <v>0</v>
      </c>
      <c r="X1013" s="8" t="n">
        <v>0</v>
      </c>
      <c r="Y1013" s="8" t="inlineStr">
        <is>
          <t>PH for D Hill in B7 play #62. K_S.</t>
        </is>
      </c>
    </row>
    <row r="1014" ht="15.75" customHeight="1" s="35">
      <c r="A1014" s="8" t="inlineStr">
        <is>
          <t>2026-03-31_CRFT_at_CNTN</t>
        </is>
      </c>
      <c r="B1014" s="2" t="n">
        <v>46112</v>
      </c>
      <c r="C1014" s="8" t="inlineStr">
        <is>
          <t>Crofton Varsity Cardinals</t>
        </is>
      </c>
      <c r="D1014" s="8" t="inlineStr">
        <is>
          <t>CNTN</t>
        </is>
      </c>
      <c r="E1014" s="8" t="inlineStr">
        <is>
          <t>W Sisolak</t>
        </is>
      </c>
      <c r="F1014" s="8" t="n">
        <v>1</v>
      </c>
      <c r="G1014" s="8" t="n">
        <v>1</v>
      </c>
      <c r="H1014" s="8" t="n">
        <v>0</v>
      </c>
      <c r="I1014" s="8" t="n">
        <v>0</v>
      </c>
      <c r="J1014" s="8" t="n">
        <v>0</v>
      </c>
      <c r="K1014" s="8" t="n">
        <v>0</v>
      </c>
      <c r="L1014" s="8" t="n">
        <v>0</v>
      </c>
      <c r="M1014" s="8" t="n">
        <v>0</v>
      </c>
      <c r="N1014" s="8" t="n">
        <v>0</v>
      </c>
      <c r="O1014" s="8" t="n">
        <v>0</v>
      </c>
      <c r="P1014" s="8" t="n">
        <v>0</v>
      </c>
      <c r="Q1014" s="8" t="n">
        <v>0</v>
      </c>
      <c r="R1014" s="8" t="n">
        <v>0</v>
      </c>
      <c r="S1014" s="8" t="n">
        <v>0</v>
      </c>
      <c r="T1014" s="8" t="n">
        <v>0</v>
      </c>
      <c r="U1014" s="8" t="n">
        <v>0</v>
      </c>
      <c r="V1014" s="8" t="n">
        <v>0</v>
      </c>
      <c r="W1014" s="8" t="n">
        <v>0</v>
      </c>
      <c r="X1014" s="8" t="n">
        <v>0</v>
      </c>
      <c r="Y1014" s="8" t="inlineStr">
        <is>
          <t>PH for L Choe in B7 play #63. Ground Out.</t>
        </is>
      </c>
    </row>
    <row r="1015" ht="15.75" customHeight="1" s="35">
      <c r="A1015" s="8" t="inlineStr">
        <is>
          <t>2026-03-31_CRFT_at_CNTN</t>
        </is>
      </c>
      <c r="B1015" s="2" t="n">
        <v>46112</v>
      </c>
      <c r="C1015" s="8" t="inlineStr">
        <is>
          <t>Crofton Varsity Cardinals</t>
        </is>
      </c>
      <c r="D1015" s="8" t="inlineStr">
        <is>
          <t>CNTN</t>
        </is>
      </c>
      <c r="E1015" s="8" t="inlineStr">
        <is>
          <t>A Li</t>
        </is>
      </c>
      <c r="F1015" s="8" t="n">
        <v>1</v>
      </c>
      <c r="G1015" s="8" t="n">
        <v>1</v>
      </c>
      <c r="H1015" s="8" t="n">
        <v>0</v>
      </c>
      <c r="I1015" s="8" t="n">
        <v>0</v>
      </c>
      <c r="J1015" s="8" t="n">
        <v>0</v>
      </c>
      <c r="K1015" s="8" t="n">
        <v>0</v>
      </c>
      <c r="L1015" s="8" t="n">
        <v>0</v>
      </c>
      <c r="M1015" s="8" t="n">
        <v>0</v>
      </c>
      <c r="N1015" s="8" t="n">
        <v>0</v>
      </c>
      <c r="O1015" s="8" t="n">
        <v>1</v>
      </c>
      <c r="P1015" s="8" t="n">
        <v>1</v>
      </c>
      <c r="Q1015" s="8" t="n">
        <v>0</v>
      </c>
      <c r="R1015" s="8" t="n">
        <v>0</v>
      </c>
      <c r="S1015" s="8" t="n">
        <v>0</v>
      </c>
      <c r="T1015" s="8" t="n">
        <v>0</v>
      </c>
      <c r="U1015" s="8" t="n">
        <v>0</v>
      </c>
      <c r="V1015" s="8" t="n">
        <v>0</v>
      </c>
      <c r="W1015" s="8" t="n">
        <v>0</v>
      </c>
      <c r="X1015" s="8" t="n">
        <v>0</v>
      </c>
      <c r="Y1015" s="8" t="inlineStr">
        <is>
          <t>PH for A Gauthier in B7 play #64. K_L.</t>
        </is>
      </c>
    </row>
    <row r="1016" ht="15.75" customHeight="1" s="35">
      <c r="A1016" s="8" t="inlineStr">
        <is>
          <t>2026-03-31_CNTN_at_WLTR</t>
        </is>
      </c>
      <c r="B1016" s="2" t="n">
        <v>46112</v>
      </c>
      <c r="C1016" s="8" t="inlineStr">
        <is>
          <t>Walter Johnson Varsity Wildcats</t>
        </is>
      </c>
      <c r="D1016" s="8" t="inlineStr">
        <is>
          <t>CNTN</t>
        </is>
      </c>
      <c r="E1016" s="8" t="inlineStr">
        <is>
          <t>A Gauthier</t>
        </is>
      </c>
      <c r="F1016" s="8" t="n">
        <v>4</v>
      </c>
      <c r="G1016" s="8" t="n">
        <v>3</v>
      </c>
      <c r="H1016" s="8" t="n">
        <v>1</v>
      </c>
      <c r="I1016" s="8" t="n">
        <v>0</v>
      </c>
      <c r="J1016" s="8" t="n">
        <v>0</v>
      </c>
      <c r="K1016" s="8" t="n">
        <v>1</v>
      </c>
      <c r="L1016" s="8" t="n">
        <v>0</v>
      </c>
      <c r="M1016" s="8" t="n">
        <v>1</v>
      </c>
      <c r="N1016" s="8" t="n">
        <v>0</v>
      </c>
      <c r="O1016" s="8" t="n">
        <v>0</v>
      </c>
      <c r="P1016" s="8" t="n">
        <v>0</v>
      </c>
      <c r="Q1016" s="8" t="n">
        <v>0</v>
      </c>
      <c r="R1016" s="8" t="n">
        <v>0</v>
      </c>
      <c r="S1016" s="8" t="n">
        <v>1</v>
      </c>
      <c r="T1016" s="8" t="n">
        <v>0</v>
      </c>
      <c r="U1016" s="8" t="n">
        <v>0</v>
      </c>
      <c r="V1016" s="8" t="n">
        <v>0</v>
      </c>
      <c r="W1016" s="8" t="n">
        <v>0</v>
      </c>
      <c r="X1016" s="8" t="n">
        <v>0</v>
      </c>
      <c r="Y1016" s="8" t="inlineStr">
        <is>
          <t>3B play #53 (T6). Walk plays #15 (RBI+1: B Corrao scores) and two FO/PO. AB=PA(4)-BB(1)=3.</t>
        </is>
      </c>
    </row>
    <row r="1017" ht="15.75" customHeight="1" s="35">
      <c r="A1017" s="8" t="inlineStr">
        <is>
          <t>2026-03-31_CNTN_at_WLTR</t>
        </is>
      </c>
      <c r="B1017" s="2" t="n">
        <v>46112</v>
      </c>
      <c r="C1017" s="8" t="inlineStr">
        <is>
          <t>Walter Johnson Varsity Wildcats</t>
        </is>
      </c>
      <c r="D1017" s="8" t="inlineStr">
        <is>
          <t>CNTN</t>
        </is>
      </c>
      <c r="E1017" s="8" t="inlineStr">
        <is>
          <t>E Rayne</t>
        </is>
      </c>
      <c r="F1017" s="8" t="n">
        <v>4</v>
      </c>
      <c r="G1017" s="8" t="n">
        <v>2</v>
      </c>
      <c r="H1017" s="8" t="n">
        <v>0</v>
      </c>
      <c r="I1017" s="8" t="n">
        <v>0</v>
      </c>
      <c r="J1017" s="8" t="n">
        <v>0</v>
      </c>
      <c r="K1017" s="8" t="n">
        <v>0</v>
      </c>
      <c r="L1017" s="8" t="n">
        <v>0</v>
      </c>
      <c r="M1017" s="8" t="n">
        <v>2</v>
      </c>
      <c r="N1017" s="8" t="n">
        <v>0</v>
      </c>
      <c r="O1017" s="8" t="n">
        <v>1</v>
      </c>
      <c r="P1017" s="8" t="n">
        <v>0</v>
      </c>
      <c r="Q1017" s="8" t="n">
        <v>1</v>
      </c>
      <c r="R1017" s="8" t="n">
        <v>0</v>
      </c>
      <c r="S1017" s="8" t="n">
        <v>1</v>
      </c>
      <c r="T1017" s="8" t="n">
        <v>0</v>
      </c>
      <c r="U1017" s="8" t="n">
        <v>1</v>
      </c>
      <c r="V1017" s="8" t="n">
        <v>0</v>
      </c>
      <c r="W1017" s="8" t="n">
        <v>0</v>
      </c>
      <c r="X1017" s="8" t="n">
        <v>0</v>
      </c>
      <c r="Y1017" s="8" t="inlineStr">
        <is>
          <t>Walk play #16 (RBI+1: D Hill scores). CS play #37 (pickoff at 1st — catcher S Weston to 1B — embedded in C Bade K AB, T4). D3S out at 1st play #54 (K_S). AB=PA(4)-BB(2)=2.</t>
        </is>
      </c>
    </row>
    <row r="1018" ht="15.75" customHeight="1" s="35">
      <c r="A1018" s="8" t="inlineStr">
        <is>
          <t>2026-03-31_CNTN_at_WLTR</t>
        </is>
      </c>
      <c r="B1018" s="2" t="n">
        <v>46112</v>
      </c>
      <c r="C1018" s="8" t="inlineStr">
        <is>
          <t>Walter Johnson Varsity Wildcats</t>
        </is>
      </c>
      <c r="D1018" s="8" t="inlineStr">
        <is>
          <t>CNTN</t>
        </is>
      </c>
      <c r="E1018" s="8" t="inlineStr">
        <is>
          <t>C Bade</t>
        </is>
      </c>
      <c r="F1018" s="8" t="n">
        <v>4</v>
      </c>
      <c r="G1018" s="8" t="n">
        <v>3</v>
      </c>
      <c r="H1018" s="8" t="n">
        <v>0</v>
      </c>
      <c r="I1018" s="8" t="n">
        <v>0</v>
      </c>
      <c r="J1018" s="8" t="n">
        <v>0</v>
      </c>
      <c r="K1018" s="8" t="n">
        <v>0</v>
      </c>
      <c r="L1018" s="8" t="n">
        <v>0</v>
      </c>
      <c r="M1018" s="8" t="n">
        <v>0</v>
      </c>
      <c r="N1018" s="8" t="n">
        <v>1</v>
      </c>
      <c r="O1018" s="8" t="n">
        <v>2</v>
      </c>
      <c r="P1018" s="8" t="n">
        <v>1</v>
      </c>
      <c r="Q1018" s="8" t="n">
        <v>1</v>
      </c>
      <c r="R1018" s="8" t="n">
        <v>0</v>
      </c>
      <c r="S1018" s="8" t="n">
        <v>0</v>
      </c>
      <c r="T1018" s="8" t="n">
        <v>0</v>
      </c>
      <c r="U1018" s="8" t="n">
        <v>0</v>
      </c>
      <c r="V1018" s="8" t="n">
        <v>0</v>
      </c>
      <c r="W1018" s="8" t="n">
        <v>0</v>
      </c>
      <c r="X1018" s="8" t="n">
        <v>0</v>
      </c>
      <c r="Y1018" s="8" t="inlineStr">
        <is>
          <t>HBP play #59 (T7). Reaches on error play #3 (WLTR E#1). K_L play #17; K_S play #37. Out on B Harris FC play #61 (T7). AB=PA(4)-HBP(1)=3.</t>
        </is>
      </c>
    </row>
    <row r="1019" ht="15.75" customHeight="1" s="35">
      <c r="A1019" s="8" t="inlineStr">
        <is>
          <t>2026-03-31_CNTN_at_WLTR</t>
        </is>
      </c>
      <c r="B1019" s="2" t="n">
        <v>46112</v>
      </c>
      <c r="C1019" s="8" t="inlineStr">
        <is>
          <t>Walter Johnson Varsity Wildcats</t>
        </is>
      </c>
      <c r="D1019" s="8" t="inlineStr">
        <is>
          <t>CNTN</t>
        </is>
      </c>
      <c r="E1019" s="8" t="inlineStr">
        <is>
          <t>A Banks</t>
        </is>
      </c>
      <c r="F1019" s="8" t="n">
        <v>4</v>
      </c>
      <c r="G1019" s="8" t="n">
        <v>3</v>
      </c>
      <c r="H1019" s="8" t="n">
        <v>0</v>
      </c>
      <c r="I1019" s="8" t="n">
        <v>0</v>
      </c>
      <c r="J1019" s="8" t="n">
        <v>0</v>
      </c>
      <c r="K1019" s="8" t="n">
        <v>0</v>
      </c>
      <c r="L1019" s="8" t="n">
        <v>0</v>
      </c>
      <c r="M1019" s="8" t="n">
        <v>1</v>
      </c>
      <c r="N1019" s="8" t="n">
        <v>0</v>
      </c>
      <c r="O1019" s="8" t="n">
        <v>2</v>
      </c>
      <c r="P1019" s="8" t="n">
        <v>1</v>
      </c>
      <c r="Q1019" s="8" t="n">
        <v>1</v>
      </c>
      <c r="R1019" s="8" t="n">
        <v>0</v>
      </c>
      <c r="S1019" s="8" t="n">
        <v>0</v>
      </c>
      <c r="T1019" s="8" t="n">
        <v>0</v>
      </c>
      <c r="U1019" s="8" t="n">
        <v>0</v>
      </c>
      <c r="V1019" s="8" t="n">
        <v>0</v>
      </c>
      <c r="W1019" s="8" t="n">
        <v>0</v>
      </c>
      <c r="X1019" s="8" t="n">
        <v>0</v>
      </c>
      <c r="Y1019" s="8" t="inlineStr">
        <is>
          <t>K_S play #4; K_L play #60. AB=PA(4)-BB(1)=3.</t>
        </is>
      </c>
    </row>
    <row r="1020" ht="15.75" customHeight="1" s="35">
      <c r="A1020" s="8" t="inlineStr">
        <is>
          <t>2026-03-31_CNTN_at_WLTR</t>
        </is>
      </c>
      <c r="B1020" s="2" t="n">
        <v>46112</v>
      </c>
      <c r="C1020" s="8" t="inlineStr">
        <is>
          <t>Walter Johnson Varsity Wildcats</t>
        </is>
      </c>
      <c r="D1020" s="8" t="inlineStr">
        <is>
          <t>CNTN</t>
        </is>
      </c>
      <c r="E1020" s="8" t="inlineStr">
        <is>
          <t>B Harris</t>
        </is>
      </c>
      <c r="F1020" s="8" t="n">
        <v>4</v>
      </c>
      <c r="G1020" s="8" t="n">
        <v>4</v>
      </c>
      <c r="H1020" s="8" t="n">
        <v>2</v>
      </c>
      <c r="I1020" s="8" t="n">
        <v>1</v>
      </c>
      <c r="J1020" s="8" t="n">
        <v>1</v>
      </c>
      <c r="K1020" s="8" t="n">
        <v>0</v>
      </c>
      <c r="L1020" s="8" t="n">
        <v>0</v>
      </c>
      <c r="M1020" s="8" t="n">
        <v>0</v>
      </c>
      <c r="N1020" s="8" t="n">
        <v>0</v>
      </c>
      <c r="O1020" s="8" t="n">
        <v>1</v>
      </c>
      <c r="P1020" s="8" t="n">
        <v>0</v>
      </c>
      <c r="Q1020" s="8" t="n">
        <v>1</v>
      </c>
      <c r="R1020" s="8" t="n">
        <v>1</v>
      </c>
      <c r="S1020" s="8" t="n">
        <v>0</v>
      </c>
      <c r="T1020" s="8" t="n">
        <v>0</v>
      </c>
      <c r="U1020" s="8" t="n">
        <v>0</v>
      </c>
      <c r="V1020" s="8" t="n">
        <v>0</v>
      </c>
      <c r="W1020" s="8" t="n">
        <v>0</v>
      </c>
      <c r="X1020" s="8" t="n">
        <v>1</v>
      </c>
      <c r="Y1020" s="8" t="inlineStr">
        <is>
          <t>2B play #10; 1B play #24. K (foul tip=K_S) play #44. FC play #61. CR E Ogg used ×3 (plays #11,#26,#62). R: E Ogg scores at play #13 — credited to original player B Harris.</t>
        </is>
      </c>
    </row>
    <row r="1021" ht="15.75" customHeight="1" s="35">
      <c r="A1021" s="8" t="inlineStr">
        <is>
          <t>2026-03-31_CNTN_at_WLTR</t>
        </is>
      </c>
      <c r="B1021" s="2" t="n">
        <v>46112</v>
      </c>
      <c r="C1021" s="8" t="inlineStr">
        <is>
          <t>Walter Johnson Varsity Wildcats</t>
        </is>
      </c>
      <c r="D1021" s="8" t="inlineStr">
        <is>
          <t>CNTN</t>
        </is>
      </c>
      <c r="E1021" s="8" t="inlineStr">
        <is>
          <t>E Ogg</t>
        </is>
      </c>
      <c r="F1021" s="8" t="n">
        <v>0</v>
      </c>
      <c r="G1021" s="8" t="n">
        <v>0</v>
      </c>
      <c r="H1021" s="8" t="n">
        <v>0</v>
      </c>
      <c r="I1021" s="8" t="n">
        <v>0</v>
      </c>
      <c r="J1021" s="8" t="n">
        <v>0</v>
      </c>
      <c r="K1021" s="8" t="n">
        <v>0</v>
      </c>
      <c r="L1021" s="8" t="n">
        <v>0</v>
      </c>
      <c r="M1021" s="8" t="n">
        <v>0</v>
      </c>
      <c r="N1021" s="8" t="n">
        <v>0</v>
      </c>
      <c r="O1021" s="8" t="n">
        <v>0</v>
      </c>
      <c r="P1021" s="8" t="n">
        <v>0</v>
      </c>
      <c r="Q1021" s="8" t="n">
        <v>0</v>
      </c>
      <c r="R1021" s="8" t="n">
        <v>0</v>
      </c>
      <c r="S1021" s="8" t="n">
        <v>0</v>
      </c>
      <c r="T1021" s="8" t="n">
        <v>0</v>
      </c>
      <c r="U1021" s="8" t="n">
        <v>0</v>
      </c>
      <c r="V1021" s="8" t="n">
        <v>0</v>
      </c>
      <c r="W1021" s="8" t="n">
        <v>0</v>
      </c>
      <c r="X1021" s="8" t="n">
        <v>0</v>
      </c>
      <c r="Y1021" s="8" t="inlineStr">
        <is>
          <t>CR for B Harris ×3: T2 play #11 (scores at play #13 — credited to B Harris), T3 play #26 (advances to 3rd on error, stranded), T7 play #62 (B Corrao K ends inning). Zero batting PAs.</t>
        </is>
      </c>
    </row>
    <row r="1022" ht="15.75" customHeight="1" s="35">
      <c r="A1022" s="8" t="inlineStr">
        <is>
          <t>2026-03-31_CNTN_at_WLTR</t>
        </is>
      </c>
      <c r="B1022" s="2" t="n">
        <v>46112</v>
      </c>
      <c r="C1022" s="8" t="inlineStr">
        <is>
          <t>Walter Johnson Varsity Wildcats</t>
        </is>
      </c>
      <c r="D1022" s="8" t="inlineStr">
        <is>
          <t>CNTN</t>
        </is>
      </c>
      <c r="E1022" s="8" t="inlineStr">
        <is>
          <t>B Corrao</t>
        </is>
      </c>
      <c r="F1022" s="8" t="n">
        <v>4</v>
      </c>
      <c r="G1022" s="8" t="n">
        <v>4</v>
      </c>
      <c r="H1022" s="8" t="n">
        <v>1</v>
      </c>
      <c r="I1022" s="8" t="n">
        <v>1</v>
      </c>
      <c r="J1022" s="8" t="n">
        <v>0</v>
      </c>
      <c r="K1022" s="8" t="n">
        <v>0</v>
      </c>
      <c r="L1022" s="8" t="n">
        <v>0</v>
      </c>
      <c r="M1022" s="8" t="n">
        <v>0</v>
      </c>
      <c r="N1022" s="8" t="n">
        <v>0</v>
      </c>
      <c r="O1022" s="8" t="n">
        <v>1</v>
      </c>
      <c r="P1022" s="8" t="n">
        <v>0</v>
      </c>
      <c r="Q1022" s="8" t="n">
        <v>1</v>
      </c>
      <c r="R1022" s="8" t="n">
        <v>1</v>
      </c>
      <c r="S1022" s="8" t="n">
        <v>0</v>
      </c>
      <c r="T1022" s="8" t="n">
        <v>0</v>
      </c>
      <c r="U1022" s="8" t="n">
        <v>0</v>
      </c>
      <c r="V1022" s="8" t="n">
        <v>0</v>
      </c>
      <c r="W1022" s="8" t="n">
        <v>0</v>
      </c>
      <c r="X1022" s="8" t="n">
        <v>0</v>
      </c>
      <c r="Y1022" s="8" t="inlineStr">
        <is>
          <t>1B play #11. K_S play #62. R: scores on A Gauthier walk play #15.</t>
        </is>
      </c>
    </row>
    <row r="1023" ht="15.75" customHeight="1" s="35">
      <c r="A1023" s="8" t="inlineStr">
        <is>
          <t>2026-03-31_CNTN_at_WLTR</t>
        </is>
      </c>
      <c r="B1023" s="2" t="n">
        <v>46112</v>
      </c>
      <c r="C1023" s="8" t="inlineStr">
        <is>
          <t>Walter Johnson Varsity Wildcats</t>
        </is>
      </c>
      <c r="D1023" s="8" t="inlineStr">
        <is>
          <t>CNTN</t>
        </is>
      </c>
      <c r="E1023" s="8" t="inlineStr">
        <is>
          <t>C Stachera</t>
        </is>
      </c>
      <c r="F1023" s="8" t="n">
        <v>3</v>
      </c>
      <c r="G1023" s="8" t="n">
        <v>3</v>
      </c>
      <c r="H1023" s="8" t="n">
        <v>0</v>
      </c>
      <c r="I1023" s="8" t="n">
        <v>0</v>
      </c>
      <c r="J1023" s="8" t="n">
        <v>0</v>
      </c>
      <c r="K1023" s="8" t="n">
        <v>0</v>
      </c>
      <c r="L1023" s="8" t="n">
        <v>0</v>
      </c>
      <c r="M1023" s="8" t="n">
        <v>0</v>
      </c>
      <c r="N1023" s="8" t="n">
        <v>0</v>
      </c>
      <c r="O1023" s="8" t="n">
        <v>2</v>
      </c>
      <c r="P1023" s="8" t="n">
        <v>0</v>
      </c>
      <c r="Q1023" s="8" t="n">
        <v>2</v>
      </c>
      <c r="R1023" s="8" t="n">
        <v>0</v>
      </c>
      <c r="S1023" s="8" t="n">
        <v>0</v>
      </c>
      <c r="T1023" s="8" t="n">
        <v>0</v>
      </c>
      <c r="U1023" s="8" t="n">
        <v>0</v>
      </c>
      <c r="V1023" s="8" t="n">
        <v>0</v>
      </c>
      <c r="W1023" s="8" t="n">
        <v>0</v>
      </c>
      <c r="X1023" s="8" t="n">
        <v>0</v>
      </c>
      <c r="Y1023" s="8" t="inlineStr">
        <is>
          <t>Reaches on error play #26 (WLTR E#3); CR C Proescher used (play #27). K_S×2 plays #12,#46. Phantom T8 entry (play #68) skipped — no outcome. Also CNTN pitcher B1-B3 — see Pitching sheet.</t>
        </is>
      </c>
    </row>
    <row r="1024" ht="15.75" customHeight="1" s="35">
      <c r="A1024" s="8" t="inlineStr">
        <is>
          <t>2026-03-31_CNTN_at_WLTR</t>
        </is>
      </c>
      <c r="B1024" s="2" t="n">
        <v>46112</v>
      </c>
      <c r="C1024" s="8" t="inlineStr">
        <is>
          <t>Walter Johnson Varsity Wildcats</t>
        </is>
      </c>
      <c r="D1024" s="8" t="inlineStr">
        <is>
          <t>CNTN</t>
        </is>
      </c>
      <c r="E1024" s="8" t="inlineStr">
        <is>
          <t>C Proescher</t>
        </is>
      </c>
      <c r="F1024" s="8" t="n">
        <v>0</v>
      </c>
      <c r="G1024" s="8" t="n">
        <v>0</v>
      </c>
      <c r="H1024" s="8" t="n">
        <v>0</v>
      </c>
      <c r="I1024" s="8" t="n">
        <v>0</v>
      </c>
      <c r="J1024" s="8" t="n">
        <v>0</v>
      </c>
      <c r="K1024" s="8" t="n">
        <v>0</v>
      </c>
      <c r="L1024" s="8" t="n">
        <v>0</v>
      </c>
      <c r="M1024" s="8" t="n">
        <v>0</v>
      </c>
      <c r="N1024" s="8" t="n">
        <v>0</v>
      </c>
      <c r="O1024" s="8" t="n">
        <v>0</v>
      </c>
      <c r="P1024" s="8" t="n">
        <v>0</v>
      </c>
      <c r="Q1024" s="8" t="n">
        <v>0</v>
      </c>
      <c r="R1024" s="8" t="n">
        <v>0</v>
      </c>
      <c r="S1024" s="8" t="n">
        <v>0</v>
      </c>
      <c r="T1024" s="8" t="n">
        <v>0</v>
      </c>
      <c r="U1024" s="8" t="n">
        <v>0</v>
      </c>
      <c r="V1024" s="8" t="n">
        <v>0</v>
      </c>
      <c r="W1024" s="8" t="n">
        <v>0</v>
      </c>
      <c r="X1024" s="8" t="n">
        <v>0</v>
      </c>
      <c r="Y1024" s="8" t="inlineStr">
        <is>
          <t>CR for C Stachera (T3, play #27). C Stachera reaches on error play #26; C Proescher runs. Stranded at 2nd (D Hill K play #27, L Choe K play #28). Zero batting PAs.</t>
        </is>
      </c>
    </row>
    <row r="1025" ht="15.75" customHeight="1" s="35">
      <c r="A1025" s="8" t="inlineStr">
        <is>
          <t>2026-03-31_CNTN_at_WLTR</t>
        </is>
      </c>
      <c r="B1025" s="2" t="n">
        <v>46112</v>
      </c>
      <c r="C1025" s="8" t="inlineStr">
        <is>
          <t>Walter Johnson Varsity Wildcats</t>
        </is>
      </c>
      <c r="D1025" s="8" t="inlineStr">
        <is>
          <t>CNTN</t>
        </is>
      </c>
      <c r="E1025" s="8" t="inlineStr">
        <is>
          <t>D Hill</t>
        </is>
      </c>
      <c r="F1025" s="8" t="n">
        <v>3</v>
      </c>
      <c r="G1025" s="8" t="n">
        <v>2</v>
      </c>
      <c r="H1025" s="8" t="n">
        <v>1</v>
      </c>
      <c r="I1025" s="8" t="n">
        <v>1</v>
      </c>
      <c r="J1025" s="8" t="n">
        <v>0</v>
      </c>
      <c r="K1025" s="8" t="n">
        <v>0</v>
      </c>
      <c r="L1025" s="8" t="n">
        <v>0</v>
      </c>
      <c r="M1025" s="8" t="n">
        <v>1</v>
      </c>
      <c r="N1025" s="8" t="n">
        <v>0</v>
      </c>
      <c r="O1025" s="8" t="n">
        <v>1</v>
      </c>
      <c r="P1025" s="8" t="n">
        <v>1</v>
      </c>
      <c r="Q1025" s="8" t="n">
        <v>0</v>
      </c>
      <c r="R1025" s="8" t="n">
        <v>1</v>
      </c>
      <c r="S1025" s="8" t="n">
        <v>1</v>
      </c>
      <c r="T1025" s="8" t="n">
        <v>0</v>
      </c>
      <c r="U1025" s="8" t="n">
        <v>0</v>
      </c>
      <c r="V1025" s="8" t="n">
        <v>0</v>
      </c>
      <c r="W1025" s="8" t="n">
        <v>0</v>
      </c>
      <c r="X1025" s="8" t="n">
        <v>0</v>
      </c>
      <c r="Y1025" s="8" t="inlineStr">
        <is>
          <t>1B play #13 (RBI+1: E Ogg/B Harris scores). K_L play #27. R: scores on E Rayne walk play #16. AB=PA(3)-BB(1)=2.</t>
        </is>
      </c>
    </row>
    <row r="1026" ht="15.75" customHeight="1" s="35">
      <c r="A1026" s="8" t="inlineStr">
        <is>
          <t>2026-03-31_CNTN_at_WLTR</t>
        </is>
      </c>
      <c r="B1026" s="2" t="n">
        <v>46112</v>
      </c>
      <c r="C1026" s="8" t="inlineStr">
        <is>
          <t>Walter Johnson Varsity Wildcats</t>
        </is>
      </c>
      <c r="D1026" s="8" t="inlineStr">
        <is>
          <t>CNTN</t>
        </is>
      </c>
      <c r="E1026" s="8" t="inlineStr">
        <is>
          <t>L Choe</t>
        </is>
      </c>
      <c r="F1026" s="8" t="n">
        <v>3</v>
      </c>
      <c r="G1026" s="8" t="n">
        <v>2</v>
      </c>
      <c r="H1026" s="8" t="n">
        <v>0</v>
      </c>
      <c r="I1026" s="8" t="n">
        <v>0</v>
      </c>
      <c r="J1026" s="8" t="n">
        <v>0</v>
      </c>
      <c r="K1026" s="8" t="n">
        <v>0</v>
      </c>
      <c r="L1026" s="8" t="n">
        <v>0</v>
      </c>
      <c r="M1026" s="8" t="n">
        <v>1</v>
      </c>
      <c r="N1026" s="8" t="n">
        <v>0</v>
      </c>
      <c r="O1026" s="8" t="n">
        <v>1</v>
      </c>
      <c r="P1026" s="8" t="n">
        <v>0</v>
      </c>
      <c r="Q1026" s="8" t="n">
        <v>1</v>
      </c>
      <c r="R1026" s="8" t="n">
        <v>0</v>
      </c>
      <c r="S1026" s="8" t="n">
        <v>0</v>
      </c>
      <c r="T1026" s="8" t="n">
        <v>0</v>
      </c>
      <c r="U1026" s="8" t="n">
        <v>1</v>
      </c>
      <c r="V1026" s="8" t="n">
        <v>0</v>
      </c>
      <c r="W1026" s="8" t="n">
        <v>0</v>
      </c>
      <c r="X1026" s="8" t="n">
        <v>0</v>
      </c>
      <c r="Y1026" s="8" t="inlineStr">
        <is>
          <t>K_S play #28. Reaches on error play #52 (WLTR E#4). CS play #53 (pickoff at 1st — catcher S Weston to 1B — embedded in A Gauthier Triple AB, T6, constitutes out #2). AB=PA(3)-BB(1)=2.</t>
        </is>
      </c>
    </row>
    <row r="1027" ht="15.75" customHeight="1" s="35">
      <c r="A1027" s="8" t="inlineStr">
        <is>
          <t>2026-03-31_CNTN_at_WLTR</t>
        </is>
      </c>
      <c r="B1027" s="2" t="n">
        <v>46112</v>
      </c>
      <c r="C1027" s="8" t="inlineStr">
        <is>
          <t>Centennial Varsity Eagles</t>
        </is>
      </c>
      <c r="D1027" s="8" t="inlineStr">
        <is>
          <t>WLTR</t>
        </is>
      </c>
      <c r="E1027" s="8" t="inlineStr">
        <is>
          <t>J Gilder</t>
        </is>
      </c>
      <c r="F1027" s="8" t="n">
        <v>4</v>
      </c>
      <c r="G1027" s="8" t="n">
        <v>3</v>
      </c>
      <c r="H1027" s="8" t="n">
        <v>1</v>
      </c>
      <c r="I1027" s="8" t="n">
        <v>1</v>
      </c>
      <c r="J1027" s="8" t="n">
        <v>0</v>
      </c>
      <c r="K1027" s="8" t="n">
        <v>0</v>
      </c>
      <c r="L1027" s="8" t="n">
        <v>0</v>
      </c>
      <c r="M1027" s="8" t="n">
        <v>0</v>
      </c>
      <c r="N1027" s="8" t="n">
        <v>0</v>
      </c>
      <c r="O1027" s="8" t="n">
        <v>2</v>
      </c>
      <c r="P1027" s="8" t="n">
        <v>0</v>
      </c>
      <c r="Q1027" s="8" t="n">
        <v>2</v>
      </c>
      <c r="R1027" s="8" t="n">
        <v>0</v>
      </c>
      <c r="S1027" s="8" t="n">
        <v>1</v>
      </c>
      <c r="T1027" s="8" t="n">
        <v>0</v>
      </c>
      <c r="U1027" s="8" t="n">
        <v>0</v>
      </c>
      <c r="V1027" s="8" t="n">
        <v>0</v>
      </c>
      <c r="W1027" s="8" t="n">
        <v>0</v>
      </c>
      <c r="X1027" s="8" t="n">
        <v>0</v>
      </c>
      <c r="Y1027" s="8" t="inlineStr">
        <is>
          <t>1B play #40. SacFly play #57 (RBI+1: H Bauer scores). K_S×2 plays #5,#23. AB=PA(4)-SacFly(1)=3. Also WLTR pitcher T7 — see Pitching sheet.</t>
        </is>
      </c>
    </row>
    <row r="1028" ht="15.75" customHeight="1" s="35">
      <c r="A1028" s="8" t="inlineStr">
        <is>
          <t>2026-03-31_CNTN_at_WLTR</t>
        </is>
      </c>
      <c r="B1028" s="2" t="n">
        <v>46112</v>
      </c>
      <c r="C1028" s="8" t="inlineStr">
        <is>
          <t>Centennial Varsity Eagles</t>
        </is>
      </c>
      <c r="D1028" s="8" t="inlineStr">
        <is>
          <t>WLTR</t>
        </is>
      </c>
      <c r="E1028" s="8" t="inlineStr">
        <is>
          <t>S Weston</t>
        </is>
      </c>
      <c r="F1028" s="8" t="n">
        <v>4</v>
      </c>
      <c r="G1028" s="8" t="n">
        <v>2</v>
      </c>
      <c r="H1028" s="8" t="n">
        <v>1</v>
      </c>
      <c r="I1028" s="8" t="n">
        <v>1</v>
      </c>
      <c r="J1028" s="8" t="n">
        <v>0</v>
      </c>
      <c r="K1028" s="8" t="n">
        <v>0</v>
      </c>
      <c r="L1028" s="8" t="n">
        <v>0</v>
      </c>
      <c r="M1028" s="8" t="n">
        <v>2</v>
      </c>
      <c r="N1028" s="8" t="n">
        <v>0</v>
      </c>
      <c r="O1028" s="8" t="n">
        <v>0</v>
      </c>
      <c r="P1028" s="8" t="n">
        <v>0</v>
      </c>
      <c r="Q1028" s="8" t="n">
        <v>0</v>
      </c>
      <c r="R1028" s="8" t="n">
        <v>1</v>
      </c>
      <c r="S1028" s="8" t="n">
        <v>0</v>
      </c>
      <c r="T1028" s="8" t="n">
        <v>1</v>
      </c>
      <c r="U1028" s="8" t="n">
        <v>0</v>
      </c>
      <c r="V1028" s="8" t="n">
        <v>0</v>
      </c>
      <c r="W1028" s="8" t="n">
        <v>0</v>
      </c>
      <c r="X1028" s="8" t="n">
        <v>0</v>
      </c>
      <c r="Y1028" s="8" t="inlineStr">
        <is>
          <t>1B play #6. BB×2 plays #29,#41. FO play #58. SB play #7: CR C Martin steals 2nd — credited to original player S Weston per courtesy runner rule. R: C Martin CR scores on WP play #9 — credited to S Weston. AB=PA(4)-BB(2)=2.</t>
        </is>
      </c>
    </row>
    <row r="1029" ht="15.75" customHeight="1" s="35">
      <c r="A1029" s="8" t="inlineStr">
        <is>
          <t>2026-03-31_CNTN_at_WLTR</t>
        </is>
      </c>
      <c r="B1029" s="2" t="n">
        <v>46112</v>
      </c>
      <c r="C1029" s="8" t="inlineStr">
        <is>
          <t>Centennial Varsity Eagles</t>
        </is>
      </c>
      <c r="D1029" s="8" t="inlineStr">
        <is>
          <t>WLTR</t>
        </is>
      </c>
      <c r="E1029" s="8" t="inlineStr">
        <is>
          <t>C Martin</t>
        </is>
      </c>
      <c r="F1029" s="8" t="n">
        <v>2</v>
      </c>
      <c r="G1029" s="8" t="n">
        <v>1</v>
      </c>
      <c r="H1029" s="8" t="n">
        <v>0</v>
      </c>
      <c r="I1029" s="8" t="n">
        <v>0</v>
      </c>
      <c r="J1029" s="8" t="n">
        <v>0</v>
      </c>
      <c r="K1029" s="8" t="n">
        <v>0</v>
      </c>
      <c r="L1029" s="8" t="n">
        <v>0</v>
      </c>
      <c r="M1029" s="8" t="n">
        <v>0</v>
      </c>
      <c r="N1029" s="8" t="n">
        <v>0</v>
      </c>
      <c r="O1029" s="8" t="n">
        <v>1</v>
      </c>
      <c r="P1029" s="8" t="n">
        <v>0</v>
      </c>
      <c r="Q1029" s="8" t="n">
        <v>1</v>
      </c>
      <c r="R1029" s="8" t="n">
        <v>0</v>
      </c>
      <c r="S1029" s="8" t="n">
        <v>0</v>
      </c>
      <c r="T1029" s="8" t="n">
        <v>0</v>
      </c>
      <c r="U1029" s="8" t="n">
        <v>0</v>
      </c>
      <c r="V1029" s="8" t="n">
        <v>0</v>
      </c>
      <c r="W1029" s="8" t="n">
        <v>1</v>
      </c>
      <c r="X1029" s="8" t="n">
        <v>0</v>
      </c>
      <c r="Y1029" s="8" t="inlineStr">
        <is>
          <t>CR for S Weston B1 play #7 (SB credited to S Weston; run credited to S Weston — zero PAs as CR). PH for E Retzlaff starting B4 play #39. K_S play #39. SAC play #56. AB=PA(2)-SAC(1)=1.</t>
        </is>
      </c>
    </row>
    <row r="1030" ht="15.75" customHeight="1" s="35">
      <c r="A1030" s="8" t="inlineStr">
        <is>
          <t>2026-03-31_CNTN_at_WLTR</t>
        </is>
      </c>
      <c r="B1030" s="2" t="n">
        <v>46112</v>
      </c>
      <c r="C1030" s="8" t="inlineStr">
        <is>
          <t>Centennial Varsity Eagles</t>
        </is>
      </c>
      <c r="D1030" s="8" t="inlineStr">
        <is>
          <t>WLTR</t>
        </is>
      </c>
      <c r="E1030" s="8" t="inlineStr">
        <is>
          <t>J Pena Simon</t>
        </is>
      </c>
      <c r="F1030" s="8" t="n">
        <v>4</v>
      </c>
      <c r="G1030" s="8" t="n">
        <v>3</v>
      </c>
      <c r="H1030" s="8" t="n">
        <v>1</v>
      </c>
      <c r="I1030" s="8" t="n">
        <v>1</v>
      </c>
      <c r="J1030" s="8" t="n">
        <v>0</v>
      </c>
      <c r="K1030" s="8" t="n">
        <v>0</v>
      </c>
      <c r="L1030" s="8" t="n">
        <v>0</v>
      </c>
      <c r="M1030" s="8" t="n">
        <v>1</v>
      </c>
      <c r="N1030" s="8" t="n">
        <v>0</v>
      </c>
      <c r="O1030" s="8" t="n">
        <v>1</v>
      </c>
      <c r="P1030" s="8" t="n">
        <v>0</v>
      </c>
      <c r="Q1030" s="8" t="n">
        <v>1</v>
      </c>
      <c r="R1030" s="8" t="n">
        <v>0</v>
      </c>
      <c r="S1030" s="8" t="n">
        <v>0</v>
      </c>
      <c r="T1030" s="8" t="n">
        <v>1</v>
      </c>
      <c r="U1030" s="8" t="n">
        <v>1</v>
      </c>
      <c r="V1030" s="8" t="n">
        <v>1</v>
      </c>
      <c r="W1030" s="8" t="n">
        <v>0</v>
      </c>
      <c r="X1030" s="8" t="n">
        <v>0</v>
      </c>
      <c r="Y1030" s="8" t="inlineStr">
        <is>
          <t>1B play #63. BB play #30. GDP play #42 (J Pena Simon out + H Bauer out, Flag #5). K_S play #7. SB play #64 (steals 2nd during G Matalia IBB AB, B7). CS play #66 (caught stealing home — B Harris to L Choe — embedded in S Gilcrest AB, B7, Flag #2). AB=PA(4)-BB(1)=3.</t>
        </is>
      </c>
    </row>
    <row r="1031" ht="15.75" customHeight="1" s="35">
      <c r="A1031" s="8" t="inlineStr">
        <is>
          <t>2026-03-31_CNTN_at_WLTR</t>
        </is>
      </c>
      <c r="B1031" s="2" t="n">
        <v>46112</v>
      </c>
      <c r="C1031" s="8" t="inlineStr">
        <is>
          <t>Centennial Varsity Eagles</t>
        </is>
      </c>
      <c r="D1031" s="8" t="inlineStr">
        <is>
          <t>WLTR</t>
        </is>
      </c>
      <c r="E1031" s="8" t="inlineStr">
        <is>
          <t>G Matalia</t>
        </is>
      </c>
      <c r="F1031" s="8" t="n">
        <v>4</v>
      </c>
      <c r="G1031" s="8" t="n">
        <v>3</v>
      </c>
      <c r="H1031" s="8" t="n">
        <v>1</v>
      </c>
      <c r="I1031" s="8" t="n">
        <v>1</v>
      </c>
      <c r="J1031" s="8" t="n">
        <v>0</v>
      </c>
      <c r="K1031" s="8" t="n">
        <v>0</v>
      </c>
      <c r="L1031" s="8" t="n">
        <v>0</v>
      </c>
      <c r="M1031" s="8" t="n">
        <v>1</v>
      </c>
      <c r="N1031" s="8" t="n">
        <v>0</v>
      </c>
      <c r="O1031" s="8" t="n">
        <v>2</v>
      </c>
      <c r="P1031" s="8" t="n">
        <v>1</v>
      </c>
      <c r="Q1031" s="8" t="n">
        <v>1</v>
      </c>
      <c r="R1031" s="8" t="n">
        <v>0</v>
      </c>
      <c r="S1031" s="8" t="n">
        <v>0</v>
      </c>
      <c r="T1031" s="8" t="n">
        <v>0</v>
      </c>
      <c r="U1031" s="8" t="n">
        <v>0</v>
      </c>
      <c r="V1031" s="8" t="n">
        <v>0</v>
      </c>
      <c r="W1031" s="8" t="n">
        <v>0</v>
      </c>
      <c r="X1031" s="8" t="n">
        <v>0</v>
      </c>
      <c r="Y1031" s="8" t="inlineStr">
        <is>
          <t>1B play #8 (swinging bunt). D3S out at 1st play #31 (K_S). K_L play #47. IBB play #64. AB=PA(4)-BB(1)=3.</t>
        </is>
      </c>
    </row>
    <row r="1032" ht="15.75" customHeight="1" s="35">
      <c r="A1032" s="8" t="inlineStr">
        <is>
          <t>2026-03-31_CNTN_at_WLTR</t>
        </is>
      </c>
      <c r="B1032" s="2" t="n">
        <v>46112</v>
      </c>
      <c r="C1032" s="8" t="inlineStr">
        <is>
          <t>Centennial Varsity Eagles</t>
        </is>
      </c>
      <c r="D1032" s="8" t="inlineStr">
        <is>
          <t>WLTR</t>
        </is>
      </c>
      <c r="E1032" s="8" t="inlineStr">
        <is>
          <t>L Rayment-Cruz</t>
        </is>
      </c>
      <c r="F1032" s="8" t="n">
        <v>4</v>
      </c>
      <c r="G1032" s="8" t="n">
        <v>3</v>
      </c>
      <c r="H1032" s="8" t="n">
        <v>1</v>
      </c>
      <c r="I1032" s="8" t="n">
        <v>1</v>
      </c>
      <c r="J1032" s="8" t="n">
        <v>0</v>
      </c>
      <c r="K1032" s="8" t="n">
        <v>0</v>
      </c>
      <c r="L1032" s="8" t="n">
        <v>0</v>
      </c>
      <c r="M1032" s="8" t="n">
        <v>1</v>
      </c>
      <c r="N1032" s="8" t="n">
        <v>0</v>
      </c>
      <c r="O1032" s="8" t="n">
        <v>1</v>
      </c>
      <c r="P1032" s="8" t="n">
        <v>0</v>
      </c>
      <c r="Q1032" s="8" t="n">
        <v>1</v>
      </c>
      <c r="R1032" s="8" t="n">
        <v>0</v>
      </c>
      <c r="S1032" s="8" t="n">
        <v>0</v>
      </c>
      <c r="T1032" s="8" t="n">
        <v>1</v>
      </c>
      <c r="U1032" s="8" t="n">
        <v>0</v>
      </c>
      <c r="V1032" s="8" t="n">
        <v>0</v>
      </c>
      <c r="W1032" s="8" t="n">
        <v>0</v>
      </c>
      <c r="X1032" s="8" t="n">
        <v>0</v>
      </c>
      <c r="Y1032" s="8" t="inlineStr">
        <is>
          <t>1B bunt play #32. Reaches on error play #48 (CNTN E#4). K_S play #9. IBB play #65. SB play #50 (steals 2nd during E Taylor K AB, B5). AB=PA(4)-BB(1)=3. Also WLTR opening pitcher — see Pitching sheet.</t>
        </is>
      </c>
    </row>
    <row r="1033" ht="15.75" customHeight="1" s="35">
      <c r="A1033" s="8" t="inlineStr">
        <is>
          <t>2026-03-31_CNTN_at_WLTR</t>
        </is>
      </c>
      <c r="B1033" s="2" t="n">
        <v>46112</v>
      </c>
      <c r="C1033" s="8" t="inlineStr">
        <is>
          <t>Centennial Varsity Eagles</t>
        </is>
      </c>
      <c r="D1033" s="8" t="inlineStr">
        <is>
          <t>WLTR</t>
        </is>
      </c>
      <c r="E1033" s="8" t="inlineStr">
        <is>
          <t>S Gilcrest</t>
        </is>
      </c>
      <c r="F1033" s="8" t="n">
        <v>4</v>
      </c>
      <c r="G1033" s="8" t="n">
        <v>4</v>
      </c>
      <c r="H1033" s="8" t="n">
        <v>0</v>
      </c>
      <c r="I1033" s="8" t="n">
        <v>0</v>
      </c>
      <c r="J1033" s="8" t="n">
        <v>0</v>
      </c>
      <c r="K1033" s="8" t="n">
        <v>0</v>
      </c>
      <c r="L1033" s="8" t="n">
        <v>0</v>
      </c>
      <c r="M1033" s="8" t="n">
        <v>0</v>
      </c>
      <c r="N1033" s="8" t="n">
        <v>0</v>
      </c>
      <c r="O1033" s="8" t="n">
        <v>2</v>
      </c>
      <c r="P1033" s="8" t="n">
        <v>1</v>
      </c>
      <c r="Q1033" s="8" t="n">
        <v>1</v>
      </c>
      <c r="R1033" s="8" t="n">
        <v>0</v>
      </c>
      <c r="S1033" s="8" t="n">
        <v>0</v>
      </c>
      <c r="T1033" s="8" t="n">
        <v>0</v>
      </c>
      <c r="U1033" s="8" t="n">
        <v>0</v>
      </c>
      <c r="V1033" s="8" t="n">
        <v>0</v>
      </c>
      <c r="W1033" s="8" t="n">
        <v>0</v>
      </c>
      <c r="X1033" s="8" t="n">
        <v>1</v>
      </c>
      <c r="Y1033" s="8" t="inlineStr">
        <is>
          <t>K_S play #19; K_L play #66. FC play #33. GO play #49.</t>
        </is>
      </c>
    </row>
    <row r="1034" ht="15.75" customHeight="1" s="35">
      <c r="A1034" s="8" t="inlineStr">
        <is>
          <t>2026-03-31_CNTN_at_WLTR</t>
        </is>
      </c>
      <c r="B1034" s="2" t="n">
        <v>46112</v>
      </c>
      <c r="C1034" s="8" t="inlineStr">
        <is>
          <t>Centennial Varsity Eagles</t>
        </is>
      </c>
      <c r="D1034" s="8" t="inlineStr">
        <is>
          <t>WLTR</t>
        </is>
      </c>
      <c r="E1034" s="8" t="inlineStr">
        <is>
          <t>E Taylor</t>
        </is>
      </c>
      <c r="F1034" s="8" t="n">
        <v>4</v>
      </c>
      <c r="G1034" s="8" t="n">
        <v>4</v>
      </c>
      <c r="H1034" s="8" t="n">
        <v>0</v>
      </c>
      <c r="I1034" s="8" t="n">
        <v>0</v>
      </c>
      <c r="J1034" s="8" t="n">
        <v>0</v>
      </c>
      <c r="K1034" s="8" t="n">
        <v>0</v>
      </c>
      <c r="L1034" s="8" t="n">
        <v>0</v>
      </c>
      <c r="M1034" s="8" t="n">
        <v>0</v>
      </c>
      <c r="N1034" s="8" t="n">
        <v>0</v>
      </c>
      <c r="O1034" s="8" t="n">
        <v>3</v>
      </c>
      <c r="P1034" s="8" t="n">
        <v>0</v>
      </c>
      <c r="Q1034" s="8" t="n">
        <v>3</v>
      </c>
      <c r="R1034" s="8" t="n">
        <v>0</v>
      </c>
      <c r="S1034" s="8" t="n">
        <v>0</v>
      </c>
      <c r="T1034" s="8" t="n">
        <v>0</v>
      </c>
      <c r="U1034" s="8" t="n">
        <v>0</v>
      </c>
      <c r="V1034" s="8" t="n">
        <v>0</v>
      </c>
      <c r="W1034" s="8" t="n">
        <v>0</v>
      </c>
      <c r="X1034" s="8" t="n">
        <v>0</v>
      </c>
      <c r="Y1034" s="8" t="inlineStr">
        <is>
          <t>K_S×3 plays #34,#50,#67. Reaches on error play #20 (CNTN E#1, error by C Stachera P).</t>
        </is>
      </c>
    </row>
    <row r="1035" ht="15.75" customHeight="1" s="35">
      <c r="A1035" s="8" t="inlineStr">
        <is>
          <t>2026-03-31_CNTN_at_WLTR</t>
        </is>
      </c>
      <c r="B1035" s="2" t="n">
        <v>46112</v>
      </c>
      <c r="C1035" s="8" t="inlineStr">
        <is>
          <t>Centennial Varsity Eagles</t>
        </is>
      </c>
      <c r="D1035" s="8" t="inlineStr">
        <is>
          <t>WLTR</t>
        </is>
      </c>
      <c r="E1035" s="8" t="inlineStr">
        <is>
          <t>T Alexander</t>
        </is>
      </c>
      <c r="F1035" s="8" t="n">
        <v>1</v>
      </c>
      <c r="G1035" s="8" t="n">
        <v>1</v>
      </c>
      <c r="H1035" s="8" t="n">
        <v>0</v>
      </c>
      <c r="I1035" s="8" t="n">
        <v>0</v>
      </c>
      <c r="J1035" s="8" t="n">
        <v>0</v>
      </c>
      <c r="K1035" s="8" t="n">
        <v>0</v>
      </c>
      <c r="L1035" s="8" t="n">
        <v>0</v>
      </c>
      <c r="M1035" s="8" t="n">
        <v>0</v>
      </c>
      <c r="N1035" s="8" t="n">
        <v>0</v>
      </c>
      <c r="O1035" s="8" t="n">
        <v>1</v>
      </c>
      <c r="P1035" s="8" t="n">
        <v>0</v>
      </c>
      <c r="Q1035" s="8" t="n">
        <v>1</v>
      </c>
      <c r="R1035" s="8" t="n">
        <v>0</v>
      </c>
      <c r="S1035" s="8" t="n">
        <v>0</v>
      </c>
      <c r="T1035" s="8" t="n">
        <v>0</v>
      </c>
      <c r="U1035" s="8" t="n">
        <v>0</v>
      </c>
      <c r="V1035" s="8" t="n">
        <v>0</v>
      </c>
      <c r="W1035" s="8" t="n">
        <v>0</v>
      </c>
      <c r="X1035" s="8" t="n">
        <v>0</v>
      </c>
      <c r="Y1035" s="8" t="inlineStr">
        <is>
          <t>K_S play #21 (B2). Replaced by PH H Bauer starting B4 play #38.</t>
        </is>
      </c>
    </row>
    <row r="1036" ht="15.75" customHeight="1" s="35">
      <c r="A1036" s="8" t="inlineStr">
        <is>
          <t>2026-03-31_CNTN_at_WLTR</t>
        </is>
      </c>
      <c r="B1036" s="2" t="n">
        <v>46112</v>
      </c>
      <c r="C1036" s="8" t="inlineStr">
        <is>
          <t>Centennial Varsity Eagles</t>
        </is>
      </c>
      <c r="D1036" s="8" t="inlineStr">
        <is>
          <t>WLTR</t>
        </is>
      </c>
      <c r="E1036" s="8" t="inlineStr">
        <is>
          <t>E Retzlaff</t>
        </is>
      </c>
      <c r="F1036" s="8" t="n">
        <v>1</v>
      </c>
      <c r="G1036" s="8" t="n">
        <v>1</v>
      </c>
      <c r="H1036" s="8" t="n">
        <v>0</v>
      </c>
      <c r="I1036" s="8" t="n">
        <v>0</v>
      </c>
      <c r="J1036" s="8" t="n">
        <v>0</v>
      </c>
      <c r="K1036" s="8" t="n">
        <v>0</v>
      </c>
      <c r="L1036" s="8" t="n">
        <v>0</v>
      </c>
      <c r="M1036" s="8" t="n">
        <v>0</v>
      </c>
      <c r="N1036" s="8" t="n">
        <v>0</v>
      </c>
      <c r="O1036" s="8" t="n">
        <v>1</v>
      </c>
      <c r="P1036" s="8" t="n">
        <v>1</v>
      </c>
      <c r="Q1036" s="8" t="n">
        <v>0</v>
      </c>
      <c r="R1036" s="8" t="n">
        <v>0</v>
      </c>
      <c r="S1036" s="8" t="n">
        <v>0</v>
      </c>
      <c r="T1036" s="8" t="n">
        <v>0</v>
      </c>
      <c r="U1036" s="8" t="n">
        <v>0</v>
      </c>
      <c r="V1036" s="8" t="n">
        <v>0</v>
      </c>
      <c r="W1036" s="8" t="n">
        <v>0</v>
      </c>
      <c r="X1036" s="8" t="n">
        <v>0</v>
      </c>
      <c r="Y1036" s="8" t="inlineStr">
        <is>
          <t>D3S play #22 (B2) — batter reached safely, not an out. K_L per Section 4 sequence (Strike 3 looking). Log notes passed ball as mechanism. Replaced by PH C Martin mid-AB at B4 play #39.</t>
        </is>
      </c>
    </row>
    <row r="1037" ht="15.75" customHeight="1" s="35">
      <c r="A1037" s="8" t="inlineStr">
        <is>
          <t>2026-03-31_CNTN_at_WLTR</t>
        </is>
      </c>
      <c r="B1037" s="2" t="n">
        <v>46112</v>
      </c>
      <c r="C1037" s="8" t="inlineStr">
        <is>
          <t>Centennial Varsity Eagles</t>
        </is>
      </c>
      <c r="D1037" s="8" t="inlineStr">
        <is>
          <t>WLTR</t>
        </is>
      </c>
      <c r="E1037" s="8" t="inlineStr">
        <is>
          <t>H Bauer</t>
        </is>
      </c>
      <c r="F1037" s="8" t="n">
        <v>2</v>
      </c>
      <c r="G1037" s="8" t="n">
        <v>2</v>
      </c>
      <c r="H1037" s="8" t="n">
        <v>1</v>
      </c>
      <c r="I1037" s="8" t="n">
        <v>1</v>
      </c>
      <c r="J1037" s="8" t="n">
        <v>0</v>
      </c>
      <c r="K1037" s="8" t="n">
        <v>0</v>
      </c>
      <c r="L1037" s="8" t="n">
        <v>0</v>
      </c>
      <c r="M1037" s="8" t="n">
        <v>0</v>
      </c>
      <c r="N1037" s="8" t="n">
        <v>0</v>
      </c>
      <c r="O1037" s="8" t="n">
        <v>0</v>
      </c>
      <c r="P1037" s="8" t="n">
        <v>0</v>
      </c>
      <c r="Q1037" s="8" t="n">
        <v>0</v>
      </c>
      <c r="R1037" s="8" t="n">
        <v>1</v>
      </c>
      <c r="S1037" s="8" t="n">
        <v>0</v>
      </c>
      <c r="T1037" s="8" t="n">
        <v>1</v>
      </c>
      <c r="U1037" s="8" t="n">
        <v>0</v>
      </c>
      <c r="V1037" s="8" t="n">
        <v>0</v>
      </c>
      <c r="W1037" s="8" t="n">
        <v>0</v>
      </c>
      <c r="X1037" s="8" t="n">
        <v>0</v>
      </c>
      <c r="Y1037" s="8" t="inlineStr">
        <is>
          <t>PH for T Alexander starting B4. 1B bunt play #38. Reaches on error play #55 (CNTN E#5). SB play #57 (steals 3rd during J Gilder SacFly AB, B6). R: scores on J Gilder SacFly play #57.</t>
        </is>
      </c>
    </row>
    <row r="1038" ht="15.75" customHeight="1" s="35">
      <c r="A1038" s="8" t="inlineStr">
        <is>
          <t>2026-03-21_SVRN_at_STHR</t>
        </is>
      </c>
      <c r="B1038" s="2" t="n">
        <v>46102</v>
      </c>
      <c r="C1038" s="8" t="inlineStr">
        <is>
          <t>SVRN</t>
        </is>
      </c>
      <c r="D1038" s="8" t="inlineStr">
        <is>
          <t>STHR</t>
        </is>
      </c>
      <c r="E1038" s="8" t="inlineStr">
        <is>
          <t>B Crandell</t>
        </is>
      </c>
      <c r="F1038" s="8" t="n">
        <v>4</v>
      </c>
      <c r="G1038" s="8" t="n">
        <v>1</v>
      </c>
      <c r="H1038" s="8" t="n">
        <v>0</v>
      </c>
      <c r="I1038" s="8" t="n">
        <v>0</v>
      </c>
      <c r="J1038" s="8" t="n">
        <v>0</v>
      </c>
      <c r="K1038" s="8" t="n">
        <v>0</v>
      </c>
      <c r="L1038" s="8" t="n">
        <v>0</v>
      </c>
      <c r="M1038" s="8" t="n">
        <v>3</v>
      </c>
      <c r="N1038" s="8" t="n">
        <v>0</v>
      </c>
      <c r="O1038" s="8" t="n">
        <v>0</v>
      </c>
      <c r="P1038" s="8" t="n">
        <v>0</v>
      </c>
      <c r="Q1038" s="8" t="n">
        <v>0</v>
      </c>
      <c r="R1038" s="8" t="n">
        <v>1</v>
      </c>
      <c r="S1038" s="8" t="n">
        <v>0</v>
      </c>
      <c r="T1038" s="8" t="n">
        <v>1</v>
      </c>
      <c r="U1038" s="8" t="n">
        <v>0</v>
      </c>
      <c r="V1038" s="8" t="n">
        <v>0</v>
      </c>
      <c r="W1038" s="8" t="n">
        <v>0</v>
      </c>
      <c r="X1038" s="8" t="n">
        <v>0</v>
      </c>
      <c r="Y1038" s="8" t="inlineStr">
        <is>
          <t>SB 2nd play #43 (embedded in C Parks AB); adv 3rd on WP same AB</t>
        </is>
      </c>
    </row>
    <row r="1039" ht="15.75" customHeight="1" s="35">
      <c r="A1039" s="8" t="inlineStr">
        <is>
          <t>2026-03-21_SVRN_at_STHR</t>
        </is>
      </c>
      <c r="B1039" s="2" t="n">
        <v>46102</v>
      </c>
      <c r="C1039" s="8" t="inlineStr">
        <is>
          <t>SVRN</t>
        </is>
      </c>
      <c r="D1039" s="8" t="inlineStr">
        <is>
          <t>STHR</t>
        </is>
      </c>
      <c r="E1039" s="8" t="inlineStr">
        <is>
          <t>C Parks</t>
        </is>
      </c>
      <c r="F1039" s="8" t="n">
        <v>4</v>
      </c>
      <c r="G1039" s="8" t="n">
        <v>4</v>
      </c>
      <c r="H1039" s="8" t="n">
        <v>1</v>
      </c>
      <c r="I1039" s="8" t="n">
        <v>1</v>
      </c>
      <c r="J1039" s="8" t="n">
        <v>0</v>
      </c>
      <c r="K1039" s="8" t="n">
        <v>0</v>
      </c>
      <c r="L1039" s="8" t="n">
        <v>0</v>
      </c>
      <c r="M1039" s="8" t="n">
        <v>0</v>
      </c>
      <c r="N1039" s="8" t="n">
        <v>0</v>
      </c>
      <c r="O1039" s="8" t="n">
        <v>2</v>
      </c>
      <c r="P1039" s="8" t="n">
        <v>1</v>
      </c>
      <c r="Q1039" s="8" t="n">
        <v>1</v>
      </c>
      <c r="R1039" s="8" t="n">
        <v>0</v>
      </c>
      <c r="S1039" s="8" t="n">
        <v>1</v>
      </c>
      <c r="T1039" s="8" t="n">
        <v>1</v>
      </c>
      <c r="U1039" s="8" t="n">
        <v>0</v>
      </c>
      <c r="V1039" s="8" t="n">
        <v>0</v>
      </c>
      <c r="W1039" s="8" t="n">
        <v>0</v>
      </c>
      <c r="X1039" s="8" t="n">
        <v>0</v>
      </c>
      <c r="Y1039" s="8" t="inlineStr">
        <is>
          <t>K_S play #6 dropped 3rd strike out at 1B; SB 3rd play #45 (embedded in J Colton IBW AB); RBI play #43</t>
        </is>
      </c>
    </row>
    <row r="1040" ht="15.75" customHeight="1" s="35">
      <c r="A1040" s="8" t="inlineStr">
        <is>
          <t>2026-03-21_SVRN_at_STHR</t>
        </is>
      </c>
      <c r="B1040" s="2" t="n">
        <v>46102</v>
      </c>
      <c r="C1040" s="8" t="inlineStr">
        <is>
          <t>SVRN</t>
        </is>
      </c>
      <c r="D1040" s="8" t="inlineStr">
        <is>
          <t>STHR</t>
        </is>
      </c>
      <c r="E1040" s="8" t="inlineStr">
        <is>
          <t>G Crandell</t>
        </is>
      </c>
      <c r="F1040" s="8" t="n">
        <v>4</v>
      </c>
      <c r="G1040" s="8" t="n">
        <v>4</v>
      </c>
      <c r="H1040" s="8" t="n">
        <v>1</v>
      </c>
      <c r="I1040" s="8" t="n">
        <v>1</v>
      </c>
      <c r="J1040" s="8" t="n">
        <v>0</v>
      </c>
      <c r="K1040" s="8" t="n">
        <v>0</v>
      </c>
      <c r="L1040" s="8" t="n">
        <v>0</v>
      </c>
      <c r="M1040" s="8" t="n">
        <v>0</v>
      </c>
      <c r="N1040" s="8" t="n">
        <v>0</v>
      </c>
      <c r="O1040" s="8" t="n">
        <v>0</v>
      </c>
      <c r="P1040" s="8" t="n">
        <v>0</v>
      </c>
      <c r="Q1040" s="8" t="n">
        <v>0</v>
      </c>
      <c r="R1040" s="8" t="n">
        <v>0</v>
      </c>
      <c r="S1040" s="8" t="n">
        <v>0</v>
      </c>
      <c r="T1040" s="8" t="n">
        <v>1</v>
      </c>
      <c r="U1040" s="8" t="n">
        <v>0</v>
      </c>
      <c r="V1040" s="8" t="n">
        <v>0</v>
      </c>
      <c r="W1040" s="8" t="n">
        <v>0</v>
      </c>
      <c r="X1040" s="8" t="n">
        <v>0</v>
      </c>
      <c r="Y1040" s="8" t="inlineStr">
        <is>
          <t>Starting pitcher (lineup note play #1); SB 2nd play #45 (embedded in J Colton IBW AB)</t>
        </is>
      </c>
    </row>
    <row r="1041" ht="15.75" customHeight="1" s="35">
      <c r="A1041" s="8" t="inlineStr">
        <is>
          <t>2026-03-21_SVRN_at_STHR</t>
        </is>
      </c>
      <c r="B1041" s="2" t="n">
        <v>46102</v>
      </c>
      <c r="C1041" s="8" t="inlineStr">
        <is>
          <t>SVRN</t>
        </is>
      </c>
      <c r="D1041" s="8" t="inlineStr">
        <is>
          <t>STHR</t>
        </is>
      </c>
      <c r="E1041" s="8" t="inlineStr">
        <is>
          <t>J Colton</t>
        </is>
      </c>
      <c r="F1041" s="8" t="n">
        <v>3</v>
      </c>
      <c r="G1041" s="8" t="n">
        <v>2</v>
      </c>
      <c r="H1041" s="8" t="n">
        <v>1</v>
      </c>
      <c r="I1041" s="8" t="n">
        <v>0</v>
      </c>
      <c r="J1041" s="8" t="n">
        <v>0</v>
      </c>
      <c r="K1041" s="8" t="n">
        <v>1</v>
      </c>
      <c r="L1041" s="8" t="n">
        <v>0</v>
      </c>
      <c r="M1041" s="8" t="n">
        <v>1</v>
      </c>
      <c r="N1041" s="8" t="n">
        <v>0</v>
      </c>
      <c r="O1041" s="8" t="n">
        <v>1</v>
      </c>
      <c r="P1041" s="8" t="n">
        <v>0</v>
      </c>
      <c r="Q1041" s="8" t="n">
        <v>1</v>
      </c>
      <c r="R1041" s="8" t="n">
        <v>1</v>
      </c>
      <c r="S1041" s="8" t="n">
        <v>0</v>
      </c>
      <c r="T1041" s="8" t="n">
        <v>0</v>
      </c>
      <c r="U1041" s="8" t="n">
        <v>0</v>
      </c>
      <c r="V1041" s="8" t="n">
        <v>0</v>
      </c>
      <c r="W1041" s="8" t="n">
        <v>0</v>
      </c>
      <c r="X1041" s="8" t="n">
        <v>0</v>
      </c>
      <c r="Y1041" s="8" t="inlineStr">
        <is>
          <t>3B play #12; K_S play #28; IBW play #45</t>
        </is>
      </c>
    </row>
    <row r="1042" ht="15.75" customHeight="1" s="35">
      <c r="A1042" s="8" t="inlineStr">
        <is>
          <t>2026-03-21_SVRN_at_STHR</t>
        </is>
      </c>
      <c r="B1042" s="2" t="n">
        <v>46102</v>
      </c>
      <c r="C1042" s="8" t="inlineStr">
        <is>
          <t>SVRN</t>
        </is>
      </c>
      <c r="D1042" s="8" t="inlineStr">
        <is>
          <t>STHR</t>
        </is>
      </c>
      <c r="E1042" s="8" t="inlineStr">
        <is>
          <t>N Youmans</t>
        </is>
      </c>
      <c r="F1042" s="8" t="n">
        <v>3</v>
      </c>
      <c r="G1042" s="8" t="n">
        <v>3</v>
      </c>
      <c r="H1042" s="8" t="n">
        <v>1</v>
      </c>
      <c r="I1042" s="8" t="n">
        <v>1</v>
      </c>
      <c r="J1042" s="8" t="n">
        <v>0</v>
      </c>
      <c r="K1042" s="8" t="n">
        <v>0</v>
      </c>
      <c r="L1042" s="8" t="n">
        <v>0</v>
      </c>
      <c r="M1042" s="8" t="n">
        <v>0</v>
      </c>
      <c r="N1042" s="8" t="n">
        <v>0</v>
      </c>
      <c r="O1042" s="8" t="n">
        <v>2</v>
      </c>
      <c r="P1042" s="8" t="n">
        <v>1</v>
      </c>
      <c r="Q1042" s="8" t="n">
        <v>1</v>
      </c>
      <c r="R1042" s="8" t="n">
        <v>1</v>
      </c>
      <c r="S1042" s="8" t="n">
        <v>1</v>
      </c>
      <c r="T1042" s="8" t="n">
        <v>0</v>
      </c>
      <c r="U1042" s="8" t="n">
        <v>0</v>
      </c>
      <c r="V1042" s="8" t="n">
        <v>0</v>
      </c>
      <c r="W1042" s="8" t="n">
        <v>0</v>
      </c>
      <c r="X1042" s="8" t="n">
        <v>0</v>
      </c>
      <c r="Y1042" s="8" t="inlineStr">
        <is>
          <t>RBI play #13 (J Colton scores); K_S play #29; K_L play #46</t>
        </is>
      </c>
    </row>
    <row r="1043" ht="15.75" customHeight="1" s="35">
      <c r="A1043" s="8" t="inlineStr">
        <is>
          <t>2026-03-21_SVRN_at_STHR</t>
        </is>
      </c>
      <c r="B1043" s="2" t="n">
        <v>46102</v>
      </c>
      <c r="C1043" s="8" t="inlineStr">
        <is>
          <t>SVRN</t>
        </is>
      </c>
      <c r="D1043" s="8" t="inlineStr">
        <is>
          <t>STHR</t>
        </is>
      </c>
      <c r="E1043" s="8" t="inlineStr">
        <is>
          <t>B Bowers</t>
        </is>
      </c>
      <c r="F1043" s="8" t="n">
        <v>3</v>
      </c>
      <c r="G1043" s="8" t="n">
        <v>3</v>
      </c>
      <c r="H1043" s="8" t="n">
        <v>1</v>
      </c>
      <c r="I1043" s="8" t="n">
        <v>1</v>
      </c>
      <c r="J1043" s="8" t="n">
        <v>0</v>
      </c>
      <c r="K1043" s="8" t="n">
        <v>0</v>
      </c>
      <c r="L1043" s="8" t="n">
        <v>0</v>
      </c>
      <c r="M1043" s="8" t="n">
        <v>0</v>
      </c>
      <c r="N1043" s="8" t="n">
        <v>0</v>
      </c>
      <c r="O1043" s="8" t="n">
        <v>2</v>
      </c>
      <c r="P1043" s="8" t="n">
        <v>1</v>
      </c>
      <c r="Q1043" s="8" t="n">
        <v>1</v>
      </c>
      <c r="R1043" s="8" t="n">
        <v>1</v>
      </c>
      <c r="S1043" s="8" t="n">
        <v>0</v>
      </c>
      <c r="T1043" s="8" t="n">
        <v>1</v>
      </c>
      <c r="U1043" s="8" t="n">
        <v>0</v>
      </c>
      <c r="V1043" s="8" t="n">
        <v>0</v>
      </c>
      <c r="W1043" s="8" t="n">
        <v>0</v>
      </c>
      <c r="X1043" s="8" t="n">
        <v>0</v>
      </c>
      <c r="Y1043" s="8" t="inlineStr">
        <is>
          <t>SB 2nd play #15 (embedded in W Thomas AB); K_L play #35; K_S play #47; R play #17 on C Perkins FC</t>
        </is>
      </c>
    </row>
    <row r="1044" ht="15.75" customHeight="1" s="35">
      <c r="A1044" s="8" t="inlineStr">
        <is>
          <t>2026-03-21_SVRN_at_STHR</t>
        </is>
      </c>
      <c r="B1044" s="2" t="n">
        <v>46102</v>
      </c>
      <c r="C1044" s="8" t="inlineStr">
        <is>
          <t>SVRN</t>
        </is>
      </c>
      <c r="D1044" s="8" t="inlineStr">
        <is>
          <t>STHR</t>
        </is>
      </c>
      <c r="E1044" s="8" t="inlineStr">
        <is>
          <t>W Thomas</t>
        </is>
      </c>
      <c r="F1044" s="8" t="n">
        <v>3</v>
      </c>
      <c r="G1044" s="8" t="n">
        <v>3</v>
      </c>
      <c r="H1044" s="8" t="n">
        <v>1</v>
      </c>
      <c r="I1044" s="8" t="n">
        <v>1</v>
      </c>
      <c r="J1044" s="8" t="n">
        <v>0</v>
      </c>
      <c r="K1044" s="8" t="n">
        <v>0</v>
      </c>
      <c r="L1044" s="8" t="n">
        <v>0</v>
      </c>
      <c r="M1044" s="8" t="n">
        <v>0</v>
      </c>
      <c r="N1044" s="8" t="n">
        <v>0</v>
      </c>
      <c r="O1044" s="8" t="n">
        <v>2</v>
      </c>
      <c r="P1044" s="8" t="n">
        <v>2</v>
      </c>
      <c r="Q1044" s="8" t="n">
        <v>0</v>
      </c>
      <c r="R1044" s="8" t="n">
        <v>0</v>
      </c>
      <c r="S1044" s="8" t="n">
        <v>0</v>
      </c>
      <c r="T1044" s="8" t="n">
        <v>0</v>
      </c>
      <c r="U1044" s="8" t="n">
        <v>0</v>
      </c>
      <c r="V1044" s="8" t="n">
        <v>0</v>
      </c>
      <c r="W1044" s="8" t="n">
        <v>0</v>
      </c>
      <c r="X1044" s="8" t="n">
        <v>0</v>
      </c>
      <c r="Y1044" s="8" t="inlineStr">
        <is>
          <t>K_L plays #15 #36</t>
        </is>
      </c>
    </row>
    <row r="1045" ht="15.75" customHeight="1" s="35">
      <c r="A1045" s="8" t="inlineStr">
        <is>
          <t>2026-03-21_SVRN_at_STHR</t>
        </is>
      </c>
      <c r="B1045" s="2" t="n">
        <v>46102</v>
      </c>
      <c r="C1045" s="8" t="inlineStr">
        <is>
          <t>SVRN</t>
        </is>
      </c>
      <c r="D1045" s="8" t="inlineStr">
        <is>
          <t>STHR</t>
        </is>
      </c>
      <c r="E1045" s="8" t="inlineStr">
        <is>
          <t>G Godfrey</t>
        </is>
      </c>
      <c r="F1045" s="8" t="n">
        <v>2</v>
      </c>
      <c r="G1045" s="8" t="n">
        <v>1</v>
      </c>
      <c r="H1045" s="8" t="n">
        <v>0</v>
      </c>
      <c r="I1045" s="8" t="n">
        <v>0</v>
      </c>
      <c r="J1045" s="8" t="n">
        <v>0</v>
      </c>
      <c r="K1045" s="8" t="n">
        <v>0</v>
      </c>
      <c r="L1045" s="8" t="n">
        <v>0</v>
      </c>
      <c r="M1045" s="8" t="n">
        <v>1</v>
      </c>
      <c r="N1045" s="8" t="n">
        <v>0</v>
      </c>
      <c r="O1045" s="8" t="n">
        <v>1</v>
      </c>
      <c r="P1045" s="8" t="n">
        <v>1</v>
      </c>
      <c r="Q1045" s="8" t="n">
        <v>0</v>
      </c>
      <c r="R1045" s="8" t="n">
        <v>0</v>
      </c>
      <c r="S1045" s="8" t="n">
        <v>0</v>
      </c>
      <c r="T1045" s="8" t="n">
        <v>0</v>
      </c>
      <c r="U1045" s="8" t="n">
        <v>0</v>
      </c>
      <c r="V1045" s="8" t="n">
        <v>0</v>
      </c>
      <c r="W1045" s="8" t="n">
        <v>0</v>
      </c>
      <c r="X1045" s="8" t="n">
        <v>0</v>
      </c>
      <c r="Y1045" s="8" t="inlineStr">
        <is>
          <t>K_L play #37; E-5 play #8 (O Duffy ROE off 3B G Godfrey)</t>
        </is>
      </c>
    </row>
    <row r="1046" ht="15.75" customHeight="1" s="35">
      <c r="A1046" s="8" t="inlineStr">
        <is>
          <t>2026-03-21_SVRN_at_STHR</t>
        </is>
      </c>
      <c r="B1046" s="2" t="n">
        <v>46102</v>
      </c>
      <c r="C1046" s="8" t="inlineStr">
        <is>
          <t>SVRN</t>
        </is>
      </c>
      <c r="D1046" s="8" t="inlineStr">
        <is>
          <t>STHR</t>
        </is>
      </c>
      <c r="E1046" s="8" t="inlineStr">
        <is>
          <t>C Perkins</t>
        </is>
      </c>
      <c r="F1046" s="8" t="n">
        <v>3</v>
      </c>
      <c r="G1046" s="8" t="n">
        <v>2</v>
      </c>
      <c r="H1046" s="8" t="n">
        <v>0</v>
      </c>
      <c r="I1046" s="8" t="n">
        <v>0</v>
      </c>
      <c r="J1046" s="8" t="n">
        <v>0</v>
      </c>
      <c r="K1046" s="8" t="n">
        <v>0</v>
      </c>
      <c r="L1046" s="8" t="n">
        <v>0</v>
      </c>
      <c r="M1046" s="8" t="n">
        <v>1</v>
      </c>
      <c r="N1046" s="8" t="n">
        <v>0</v>
      </c>
      <c r="O1046" s="8" t="n">
        <v>0</v>
      </c>
      <c r="P1046" s="8" t="n">
        <v>0</v>
      </c>
      <c r="Q1046" s="8" t="n">
        <v>0</v>
      </c>
      <c r="R1046" s="8" t="n">
        <v>0</v>
      </c>
      <c r="S1046" s="8" t="n">
        <v>2</v>
      </c>
      <c r="T1046" s="8" t="n">
        <v>0</v>
      </c>
      <c r="U1046" s="8" t="n">
        <v>0</v>
      </c>
      <c r="V1046" s="8" t="n">
        <v>0</v>
      </c>
      <c r="W1046" s="8" t="n">
        <v>0</v>
      </c>
      <c r="X1046" s="8" t="n">
        <v>1</v>
      </c>
      <c r="Y1046" s="8" t="inlineStr">
        <is>
          <t>FC play #17 — 2 RBI (B Bowers + N Youmans score); BB play #54</t>
        </is>
      </c>
    </row>
    <row r="1047" ht="15.75" customHeight="1" s="35">
      <c r="A1047" s="8" t="inlineStr">
        <is>
          <t>2026-03-21_SVRN_at_STHR</t>
        </is>
      </c>
      <c r="B1047" s="2" t="n">
        <v>46102</v>
      </c>
      <c r="C1047" s="8" t="inlineStr">
        <is>
          <t>SVRN</t>
        </is>
      </c>
      <c r="D1047" s="8" t="inlineStr">
        <is>
          <t>STHR</t>
        </is>
      </c>
      <c r="E1047" s="8" t="inlineStr">
        <is>
          <t>I Benson</t>
        </is>
      </c>
      <c r="F1047" s="8" t="n">
        <v>1</v>
      </c>
      <c r="G1047" s="8" t="n">
        <v>1</v>
      </c>
      <c r="H1047" s="8" t="n">
        <v>0</v>
      </c>
      <c r="I1047" s="8" t="n">
        <v>0</v>
      </c>
      <c r="J1047" s="8" t="n">
        <v>0</v>
      </c>
      <c r="K1047" s="8" t="n">
        <v>0</v>
      </c>
      <c r="L1047" s="8" t="n">
        <v>0</v>
      </c>
      <c r="M1047" s="8" t="n">
        <v>0</v>
      </c>
      <c r="N1047" s="8" t="n">
        <v>0</v>
      </c>
      <c r="O1047" s="8" t="n">
        <v>0</v>
      </c>
      <c r="P1047" s="8" t="n">
        <v>0</v>
      </c>
      <c r="Q1047" s="8" t="n">
        <v>0</v>
      </c>
      <c r="R1047" s="8" t="n">
        <v>0</v>
      </c>
      <c r="S1047" s="8" t="n">
        <v>0</v>
      </c>
      <c r="T1047" s="8" t="n">
        <v>0</v>
      </c>
      <c r="U1047" s="8" t="n">
        <v>0</v>
      </c>
      <c r="V1047" s="8" t="n">
        <v>0</v>
      </c>
      <c r="W1047" s="8" t="n">
        <v>0</v>
      </c>
      <c r="X1047" s="8" t="n">
        <v>0</v>
      </c>
      <c r="Y1047" s="8" t="inlineStr">
        <is>
          <t>Also STHR pitcher; entry inferred from play #39 (Flag #1)</t>
        </is>
      </c>
    </row>
    <row r="1048" ht="15.75" customHeight="1" s="35">
      <c r="A1048" s="8" t="inlineStr">
        <is>
          <t>2026-03-21_SVRN_at_STHR</t>
        </is>
      </c>
      <c r="B1048" s="2" t="n">
        <v>46102</v>
      </c>
      <c r="C1048" s="8" t="inlineStr">
        <is>
          <t>STHR</t>
        </is>
      </c>
      <c r="D1048" s="8" t="inlineStr">
        <is>
          <t>SVRN</t>
        </is>
      </c>
      <c r="E1048" s="8" t="inlineStr">
        <is>
          <t>I Howard</t>
        </is>
      </c>
      <c r="F1048" s="8" t="n">
        <v>4</v>
      </c>
      <c r="G1048" s="8" t="n">
        <v>2</v>
      </c>
      <c r="H1048" s="8" t="n">
        <v>2</v>
      </c>
      <c r="I1048" s="8" t="n">
        <v>2</v>
      </c>
      <c r="J1048" s="8" t="n">
        <v>0</v>
      </c>
      <c r="K1048" s="8" t="n">
        <v>0</v>
      </c>
      <c r="L1048" s="8" t="n">
        <v>0</v>
      </c>
      <c r="M1048" s="8" t="n">
        <v>2</v>
      </c>
      <c r="N1048" s="8" t="n">
        <v>0</v>
      </c>
      <c r="O1048" s="8" t="n">
        <v>0</v>
      </c>
      <c r="P1048" s="8" t="n">
        <v>0</v>
      </c>
      <c r="Q1048" s="8" t="n">
        <v>0</v>
      </c>
      <c r="R1048" s="8" t="n">
        <v>1</v>
      </c>
      <c r="S1048" s="8" t="n">
        <v>0</v>
      </c>
      <c r="T1048" s="8" t="n">
        <v>3</v>
      </c>
      <c r="U1048" s="8" t="n">
        <v>0</v>
      </c>
      <c r="V1048" s="8" t="n">
        <v>0</v>
      </c>
      <c r="W1048" s="8" t="n">
        <v>0</v>
      </c>
      <c r="X1048" s="8" t="n">
        <v>0</v>
      </c>
      <c r="Y1048" s="8" t="inlineStr">
        <is>
          <t>SB 2nd plays #22 #34 #59 (all embedded); R play #22 on B Lopez 1B</t>
        </is>
      </c>
    </row>
    <row r="1049" ht="15.75" customHeight="1" s="35">
      <c r="A1049" s="8" t="inlineStr">
        <is>
          <t>2026-03-21_SVRN_at_STHR</t>
        </is>
      </c>
      <c r="B1049" s="2" t="n">
        <v>46102</v>
      </c>
      <c r="C1049" s="8" t="inlineStr">
        <is>
          <t>STHR</t>
        </is>
      </c>
      <c r="D1049" s="8" t="inlineStr">
        <is>
          <t>SVRN</t>
        </is>
      </c>
      <c r="E1049" s="8" t="inlineStr">
        <is>
          <t>B Lopez</t>
        </is>
      </c>
      <c r="F1049" s="8" t="n">
        <v>4</v>
      </c>
      <c r="G1049" s="8" t="n">
        <v>4</v>
      </c>
      <c r="H1049" s="8" t="n">
        <v>2</v>
      </c>
      <c r="I1049" s="8" t="n">
        <v>2</v>
      </c>
      <c r="J1049" s="8" t="n">
        <v>0</v>
      </c>
      <c r="K1049" s="8" t="n">
        <v>0</v>
      </c>
      <c r="L1049" s="8" t="n">
        <v>0</v>
      </c>
      <c r="M1049" s="8" t="n">
        <v>0</v>
      </c>
      <c r="N1049" s="8" t="n">
        <v>0</v>
      </c>
      <c r="O1049" s="8" t="n">
        <v>1</v>
      </c>
      <c r="P1049" s="8" t="n">
        <v>0</v>
      </c>
      <c r="Q1049" s="8" t="n">
        <v>1</v>
      </c>
      <c r="R1049" s="8" t="n">
        <v>0</v>
      </c>
      <c r="S1049" s="8" t="n">
        <v>1</v>
      </c>
      <c r="T1049" s="8" t="n">
        <v>0</v>
      </c>
      <c r="U1049" s="8" t="n">
        <v>0</v>
      </c>
      <c r="V1049" s="8" t="n">
        <v>0</v>
      </c>
      <c r="W1049" s="8" t="n">
        <v>0</v>
      </c>
      <c r="X1049" s="8" t="n">
        <v>0</v>
      </c>
      <c r="Y1049" s="8" t="inlineStr">
        <is>
          <t>Out advancing to 2B after 1B play #2 (H credited); K_S play #59; RBI play #22 (I Howard scores)</t>
        </is>
      </c>
    </row>
    <row r="1050" ht="15.75" customHeight="1" s="35">
      <c r="A1050" s="8" t="inlineStr">
        <is>
          <t>2026-03-21_SVRN_at_STHR</t>
        </is>
      </c>
      <c r="B1050" s="2" t="n">
        <v>46102</v>
      </c>
      <c r="C1050" s="8" t="inlineStr">
        <is>
          <t>STHR</t>
        </is>
      </c>
      <c r="D1050" s="8" t="inlineStr">
        <is>
          <t>SVRN</t>
        </is>
      </c>
      <c r="E1050" s="8" t="inlineStr">
        <is>
          <t>Watkins</t>
        </is>
      </c>
      <c r="F1050" s="8" t="n">
        <v>4</v>
      </c>
      <c r="G1050" s="8" t="n">
        <v>4</v>
      </c>
      <c r="H1050" s="8" t="n">
        <v>1</v>
      </c>
      <c r="I1050" s="8" t="n">
        <v>1</v>
      </c>
      <c r="J1050" s="8" t="n">
        <v>0</v>
      </c>
      <c r="K1050" s="8" t="n">
        <v>0</v>
      </c>
      <c r="L1050" s="8" t="n">
        <v>0</v>
      </c>
      <c r="M1050" s="8" t="n">
        <v>0</v>
      </c>
      <c r="N1050" s="8" t="n">
        <v>0</v>
      </c>
      <c r="O1050" s="8" t="n">
        <v>1</v>
      </c>
      <c r="P1050" s="8" t="n">
        <v>0</v>
      </c>
      <c r="Q1050" s="8" t="n">
        <v>1</v>
      </c>
      <c r="R1050" s="8" t="n">
        <v>0</v>
      </c>
      <c r="S1050" s="8" t="n">
        <v>0</v>
      </c>
      <c r="T1050" s="8" t="n">
        <v>0</v>
      </c>
      <c r="U1050" s="8" t="n">
        <v>0</v>
      </c>
      <c r="V1050" s="8" t="n">
        <v>0</v>
      </c>
      <c r="W1050" s="8" t="n">
        <v>0</v>
      </c>
      <c r="X1050" s="8" t="n">
        <v>0</v>
      </c>
      <c r="Y1050" s="8" t="inlineStr">
        <is>
          <t>K_S play #3</t>
        </is>
      </c>
    </row>
    <row r="1051" ht="15.75" customHeight="1" s="35">
      <c r="A1051" s="8" t="inlineStr">
        <is>
          <t>2026-03-21_SVRN_at_STHR</t>
        </is>
      </c>
      <c r="B1051" s="2" t="n">
        <v>46102</v>
      </c>
      <c r="C1051" s="8" t="inlineStr">
        <is>
          <t>STHR</t>
        </is>
      </c>
      <c r="D1051" s="8" t="inlineStr">
        <is>
          <t>SVRN</t>
        </is>
      </c>
      <c r="E1051" s="8" t="inlineStr">
        <is>
          <t>A Heinrich</t>
        </is>
      </c>
      <c r="F1051" s="8" t="n">
        <v>3</v>
      </c>
      <c r="G1051" s="8" t="n">
        <v>2</v>
      </c>
      <c r="H1051" s="8" t="n">
        <v>0</v>
      </c>
      <c r="I1051" s="8" t="n">
        <v>0</v>
      </c>
      <c r="J1051" s="8" t="n">
        <v>0</v>
      </c>
      <c r="K1051" s="8" t="n">
        <v>0</v>
      </c>
      <c r="L1051" s="8" t="n">
        <v>0</v>
      </c>
      <c r="M1051" s="8" t="n">
        <v>1</v>
      </c>
      <c r="N1051" s="8" t="n">
        <v>0</v>
      </c>
      <c r="O1051" s="8" t="n">
        <v>0</v>
      </c>
      <c r="P1051" s="8" t="n">
        <v>0</v>
      </c>
      <c r="Q1051" s="8" t="n">
        <v>0</v>
      </c>
      <c r="R1051" s="8" t="n">
        <v>0</v>
      </c>
      <c r="S1051" s="8" t="n">
        <v>0</v>
      </c>
      <c r="T1051" s="8" t="n">
        <v>0</v>
      </c>
      <c r="U1051" s="8" t="n">
        <v>0</v>
      </c>
      <c r="V1051" s="8" t="n">
        <v>0</v>
      </c>
      <c r="W1051" s="8" t="n">
        <v>0</v>
      </c>
      <c r="X1051" s="8" t="n">
        <v>0</v>
      </c>
      <c r="Y1051" s="8" t="inlineStr">
        <is>
          <t>Starting pitcher (inferred, no lineup note; Flag #1); PH for SVRN_#19 T7 play #61</t>
        </is>
      </c>
    </row>
    <row r="1052" ht="15.75" customHeight="1" s="35">
      <c r="A1052" s="8" t="inlineStr">
        <is>
          <t>2026-03-21_SVRN_at_STHR</t>
        </is>
      </c>
      <c r="B1052" s="2" t="n">
        <v>46102</v>
      </c>
      <c r="C1052" s="8" t="inlineStr">
        <is>
          <t>STHR</t>
        </is>
      </c>
      <c r="D1052" s="8" t="inlineStr">
        <is>
          <t>SVRN</t>
        </is>
      </c>
      <c r="E1052" s="8" t="inlineStr">
        <is>
          <t>O Duffy</t>
        </is>
      </c>
      <c r="F1052" s="8" t="n">
        <v>3</v>
      </c>
      <c r="G1052" s="8" t="n">
        <v>3</v>
      </c>
      <c r="H1052" s="8" t="n">
        <v>0</v>
      </c>
      <c r="I1052" s="8" t="n">
        <v>0</v>
      </c>
      <c r="J1052" s="8" t="n">
        <v>0</v>
      </c>
      <c r="K1052" s="8" t="n">
        <v>0</v>
      </c>
      <c r="L1052" s="8" t="n">
        <v>0</v>
      </c>
      <c r="M1052" s="8" t="n">
        <v>0</v>
      </c>
      <c r="N1052" s="8" t="n">
        <v>0</v>
      </c>
      <c r="O1052" s="8" t="n">
        <v>2</v>
      </c>
      <c r="P1052" s="8" t="n">
        <v>1</v>
      </c>
      <c r="Q1052" s="8" t="n">
        <v>1</v>
      </c>
      <c r="R1052" s="8" t="n">
        <v>0</v>
      </c>
      <c r="S1052" s="8" t="n">
        <v>0</v>
      </c>
      <c r="T1052" s="8" t="n">
        <v>0</v>
      </c>
      <c r="U1052" s="8" t="n">
        <v>0</v>
      </c>
      <c r="V1052" s="8" t="n">
        <v>0</v>
      </c>
      <c r="W1052" s="8" t="n">
        <v>0</v>
      </c>
      <c r="X1052" s="8" t="n">
        <v>0</v>
      </c>
      <c r="Y1052" s="8" t="inlineStr">
        <is>
          <t>K_S play #25; K_L play #40; ROE play #8 (not H)</t>
        </is>
      </c>
    </row>
    <row r="1053" ht="15.75" customHeight="1" s="35">
      <c r="A1053" s="8" t="inlineStr">
        <is>
          <t>2026-03-21_SVRN_at_STHR</t>
        </is>
      </c>
      <c r="B1053" s="2" t="n">
        <v>46102</v>
      </c>
      <c r="C1053" s="8" t="inlineStr">
        <is>
          <t>STHR</t>
        </is>
      </c>
      <c r="D1053" s="8" t="inlineStr">
        <is>
          <t>SVRN</t>
        </is>
      </c>
      <c r="E1053" s="8" t="inlineStr">
        <is>
          <t>Howell</t>
        </is>
      </c>
      <c r="F1053" s="8" t="n">
        <v>3</v>
      </c>
      <c r="G1053" s="8" t="n">
        <v>3</v>
      </c>
      <c r="H1053" s="8" t="n">
        <v>0</v>
      </c>
      <c r="I1053" s="8" t="n">
        <v>0</v>
      </c>
      <c r="J1053" s="8" t="n">
        <v>0</v>
      </c>
      <c r="K1053" s="8" t="n">
        <v>0</v>
      </c>
      <c r="L1053" s="8" t="n">
        <v>0</v>
      </c>
      <c r="M1053" s="8" t="n">
        <v>0</v>
      </c>
      <c r="N1053" s="8" t="n">
        <v>0</v>
      </c>
      <c r="O1053" s="8" t="n">
        <v>1</v>
      </c>
      <c r="P1053" s="8" t="n">
        <v>0</v>
      </c>
      <c r="Q1053" s="8" t="n">
        <v>1</v>
      </c>
      <c r="R1053" s="8" t="n">
        <v>0</v>
      </c>
      <c r="S1053" s="8" t="n">
        <v>0</v>
      </c>
      <c r="T1053" s="8" t="n">
        <v>0</v>
      </c>
      <c r="U1053" s="8" t="n">
        <v>0</v>
      </c>
      <c r="V1053" s="8" t="n">
        <v>0</v>
      </c>
      <c r="W1053" s="8" t="n">
        <v>0</v>
      </c>
      <c r="X1053" s="8" t="n">
        <v>0</v>
      </c>
      <c r="Y1053" s="8" t="inlineStr">
        <is>
          <t>K_S play #9; bunt out play #48 (GO, not SAC)</t>
        </is>
      </c>
    </row>
    <row r="1054" ht="15.75" customHeight="1" s="35">
      <c r="A1054" s="8" t="inlineStr">
        <is>
          <t>2026-03-21_SVRN_at_STHR</t>
        </is>
      </c>
      <c r="B1054" s="2" t="n">
        <v>46102</v>
      </c>
      <c r="C1054" s="8" t="inlineStr">
        <is>
          <t>STHR</t>
        </is>
      </c>
      <c r="D1054" s="8" t="inlineStr">
        <is>
          <t>SVRN</t>
        </is>
      </c>
      <c r="E1054" s="8" t="inlineStr">
        <is>
          <t>K Shankovich</t>
        </is>
      </c>
      <c r="F1054" s="8" t="n">
        <v>3</v>
      </c>
      <c r="G1054" s="8" t="n">
        <v>2</v>
      </c>
      <c r="H1054" s="8" t="n">
        <v>0</v>
      </c>
      <c r="I1054" s="8" t="n">
        <v>0</v>
      </c>
      <c r="J1054" s="8" t="n">
        <v>0</v>
      </c>
      <c r="K1054" s="8" t="n">
        <v>0</v>
      </c>
      <c r="L1054" s="8" t="n">
        <v>0</v>
      </c>
      <c r="M1054" s="8" t="n">
        <v>1</v>
      </c>
      <c r="N1054" s="8" t="n">
        <v>0</v>
      </c>
      <c r="O1054" s="8" t="n">
        <v>2</v>
      </c>
      <c r="P1054" s="8" t="n">
        <v>1</v>
      </c>
      <c r="Q1054" s="8" t="n">
        <v>1</v>
      </c>
      <c r="R1054" s="8" t="n">
        <v>1</v>
      </c>
      <c r="S1054" s="8" t="n">
        <v>0</v>
      </c>
      <c r="T1054" s="8" t="n">
        <v>2</v>
      </c>
      <c r="U1054" s="8" t="n">
        <v>0</v>
      </c>
      <c r="V1054" s="8" t="n">
        <v>0</v>
      </c>
      <c r="W1054" s="8" t="n">
        <v>0</v>
      </c>
      <c r="X1054" s="8" t="n">
        <v>0</v>
      </c>
      <c r="Y1054" s="8" t="inlineStr">
        <is>
          <t>SB 2nd play #31; steal of home play #34 (Flag #3); K_S play #10; K_L play #49</t>
        </is>
      </c>
    </row>
    <row r="1055" ht="15.75" customHeight="1" s="35">
      <c r="A1055" s="8" t="inlineStr">
        <is>
          <t>2026-03-21_SVRN_at_STHR</t>
        </is>
      </c>
      <c r="B1055" s="2" t="n">
        <v>46102</v>
      </c>
      <c r="C1055" s="8" t="inlineStr">
        <is>
          <t>STHR</t>
        </is>
      </c>
      <c r="D1055" s="8" t="inlineStr">
        <is>
          <t>SVRN</t>
        </is>
      </c>
      <c r="E1055" s="8" t="inlineStr">
        <is>
          <t>R Watkins</t>
        </is>
      </c>
      <c r="F1055" s="8" t="n">
        <v>3</v>
      </c>
      <c r="G1055" s="8" t="n">
        <v>2</v>
      </c>
      <c r="H1055" s="8" t="n">
        <v>0</v>
      </c>
      <c r="I1055" s="8" t="n">
        <v>0</v>
      </c>
      <c r="J1055" s="8" t="n">
        <v>0</v>
      </c>
      <c r="K1055" s="8" t="n">
        <v>0</v>
      </c>
      <c r="L1055" s="8" t="n">
        <v>0</v>
      </c>
      <c r="M1055" s="8" t="n">
        <v>1</v>
      </c>
      <c r="N1055" s="8" t="n">
        <v>0</v>
      </c>
      <c r="O1055" s="8" t="n">
        <v>0</v>
      </c>
      <c r="P1055" s="8" t="n">
        <v>0</v>
      </c>
      <c r="Q1055" s="8" t="n">
        <v>0</v>
      </c>
      <c r="R1055" s="8" t="n">
        <v>0</v>
      </c>
      <c r="S1055" s="8" t="n">
        <v>0</v>
      </c>
      <c r="T1055" s="8" t="n">
        <v>0</v>
      </c>
      <c r="U1055" s="8" t="n">
        <v>0</v>
      </c>
      <c r="V1055" s="8" t="n">
        <v>0</v>
      </c>
      <c r="W1055" s="8" t="n">
        <v>0</v>
      </c>
      <c r="X1055" s="8" t="n">
        <v>0</v>
      </c>
      <c r="Y1055" s="8" t="inlineStr">
        <is>
          <t>BB play #50</t>
        </is>
      </c>
    </row>
    <row r="1056" ht="15.75" customHeight="1" s="35">
      <c r="A1056" s="8" t="inlineStr">
        <is>
          <t>2026-03-21_SVRN_at_STHR</t>
        </is>
      </c>
      <c r="B1056" s="2" t="n">
        <v>46102</v>
      </c>
      <c r="C1056" s="8" t="inlineStr">
        <is>
          <t>STHR</t>
        </is>
      </c>
      <c r="D1056" s="8" t="inlineStr">
        <is>
          <t>SVRN</t>
        </is>
      </c>
      <c r="E1056" s="8" t="inlineStr">
        <is>
          <t>J Kokosinski</t>
        </is>
      </c>
      <c r="F1056" s="8" t="n">
        <v>3</v>
      </c>
      <c r="G1056" s="8" t="n">
        <v>3</v>
      </c>
      <c r="H1056" s="8" t="n">
        <v>0</v>
      </c>
      <c r="I1056" s="8" t="n">
        <v>0</v>
      </c>
      <c r="J1056" s="8" t="n">
        <v>0</v>
      </c>
      <c r="K1056" s="8" t="n">
        <v>0</v>
      </c>
      <c r="L1056" s="8" t="n">
        <v>0</v>
      </c>
      <c r="M1056" s="8" t="n">
        <v>0</v>
      </c>
      <c r="N1056" s="8" t="n">
        <v>0</v>
      </c>
      <c r="O1056" s="8" t="n">
        <v>2</v>
      </c>
      <c r="P1056" s="8" t="n">
        <v>1</v>
      </c>
      <c r="Q1056" s="8" t="n">
        <v>1</v>
      </c>
      <c r="R1056" s="8" t="n">
        <v>0</v>
      </c>
      <c r="S1056" s="8" t="n">
        <v>0</v>
      </c>
      <c r="T1056" s="8" t="n">
        <v>0</v>
      </c>
      <c r="U1056" s="8" t="n">
        <v>0</v>
      </c>
      <c r="V1056" s="8" t="n">
        <v>0</v>
      </c>
      <c r="W1056" s="8" t="n">
        <v>0</v>
      </c>
      <c r="X1056" s="8" t="n">
        <v>0</v>
      </c>
      <c r="Y1056" s="8" t="inlineStr">
        <is>
          <t>K_S play #51 dropped 3rd strike out at 1B; K_L play #32</t>
        </is>
      </c>
    </row>
    <row r="1057" ht="15.75" customHeight="1" s="35">
      <c r="A1057" s="8" t="inlineStr">
        <is>
          <t>2026-03-21_SVRN_at_STHR</t>
        </is>
      </c>
      <c r="B1057" s="2" t="n">
        <v>46102</v>
      </c>
      <c r="C1057" s="8" t="inlineStr">
        <is>
          <t>STHR</t>
        </is>
      </c>
      <c r="D1057" s="8" t="inlineStr">
        <is>
          <t>SVRN</t>
        </is>
      </c>
      <c r="E1057" s="8" t="inlineStr">
        <is>
          <t>SVRN_#19</t>
        </is>
      </c>
      <c r="F1057" s="8" t="n">
        <v>1</v>
      </c>
      <c r="G1057" s="8" t="n">
        <v>1</v>
      </c>
      <c r="H1057" s="8" t="n">
        <v>0</v>
      </c>
      <c r="I1057" s="8" t="n">
        <v>0</v>
      </c>
      <c r="J1057" s="8" t="n">
        <v>0</v>
      </c>
      <c r="K1057" s="8" t="n">
        <v>0</v>
      </c>
      <c r="L1057" s="8" t="n">
        <v>0</v>
      </c>
      <c r="M1057" s="8" t="n">
        <v>0</v>
      </c>
      <c r="N1057" s="8" t="n">
        <v>0</v>
      </c>
      <c r="O1057" s="8" t="n">
        <v>1</v>
      </c>
      <c r="P1057" s="8" t="n">
        <v>1</v>
      </c>
      <c r="Q1057" s="8" t="n">
        <v>0</v>
      </c>
      <c r="R1057" s="8" t="n">
        <v>0</v>
      </c>
      <c r="S1057" s="8" t="n">
        <v>0</v>
      </c>
      <c r="T1057" s="8" t="n">
        <v>0</v>
      </c>
      <c r="U1057" s="8" t="n">
        <v>0</v>
      </c>
      <c r="V1057" s="8" t="n">
        <v>0</v>
      </c>
      <c r="W1057" s="8" t="n">
        <v>0</v>
      </c>
      <c r="X1057" s="8" t="n">
        <v>0</v>
      </c>
      <c r="Y1057" s="8" t="inlineStr">
        <is>
          <t>Also SVRN pitcher (lineup note play #27); replaced by A Heinrich PH T7</t>
        </is>
      </c>
    </row>
    <row r="1058" ht="15.75" customHeight="1" s="35">
      <c r="A1058" s="8" t="inlineStr">
        <is>
          <t>2026-03-23_STHR_at_SRVR</t>
        </is>
      </c>
      <c r="B1058" s="2" t="n">
        <v>46104</v>
      </c>
      <c r="C1058" s="8" t="inlineStr">
        <is>
          <t>SRVR</t>
        </is>
      </c>
      <c r="D1058" s="8" t="inlineStr">
        <is>
          <t>STHR</t>
        </is>
      </c>
      <c r="E1058" s="8" t="inlineStr">
        <is>
          <t>B Crandell</t>
        </is>
      </c>
      <c r="F1058" s="8" t="n">
        <v>5</v>
      </c>
      <c r="G1058" s="8" t="n">
        <v>3</v>
      </c>
      <c r="H1058" s="8" t="n">
        <v>2</v>
      </c>
      <c r="I1058" s="8" t="n">
        <v>1</v>
      </c>
      <c r="J1058" s="8" t="n">
        <v>1</v>
      </c>
      <c r="K1058" s="8" t="n">
        <v>0</v>
      </c>
      <c r="L1058" s="8" t="n">
        <v>0</v>
      </c>
      <c r="M1058" s="8" t="n">
        <v>2</v>
      </c>
      <c r="N1058" s="8" t="n">
        <v>0</v>
      </c>
      <c r="O1058" s="8" t="n">
        <v>0</v>
      </c>
      <c r="P1058" s="8" t="n">
        <v>0</v>
      </c>
      <c r="Q1058" s="8" t="n">
        <v>0</v>
      </c>
      <c r="R1058" s="8" t="n">
        <v>2</v>
      </c>
      <c r="S1058" s="8" t="n">
        <v>3</v>
      </c>
      <c r="T1058" s="8" t="n">
        <v>3</v>
      </c>
      <c r="U1058" s="8" t="n">
        <v>0</v>
      </c>
      <c r="V1058" s="8" t="n">
        <v>0</v>
      </c>
      <c r="W1058" s="8" t="n">
        <v>0</v>
      </c>
      <c r="X1058" s="8" t="n">
        <v>0</v>
      </c>
      <c r="Y1058" s="8" t="inlineStr">
        <is>
          <t>SB 3rd play #33; SB 2nd+3rd play #53 (2 SB embedded); RBI: W Thomas scores #17 GO, G Godfrey scores #32 2B, B Bowers scores #65 bases-loaded BB</t>
        </is>
      </c>
    </row>
    <row r="1059" ht="15.75" customHeight="1" s="35">
      <c r="A1059" s="8" t="inlineStr">
        <is>
          <t>2026-03-23_STHR_at_SRVR</t>
        </is>
      </c>
      <c r="B1059" s="2" t="n">
        <v>46104</v>
      </c>
      <c r="C1059" s="8" t="inlineStr">
        <is>
          <t>SRVR</t>
        </is>
      </c>
      <c r="D1059" s="8" t="inlineStr">
        <is>
          <t>STHR</t>
        </is>
      </c>
      <c r="E1059" s="8" t="inlineStr">
        <is>
          <t>C Parks</t>
        </is>
      </c>
      <c r="F1059" s="8" t="n">
        <v>5</v>
      </c>
      <c r="G1059" s="8" t="n">
        <v>4</v>
      </c>
      <c r="H1059" s="8" t="n">
        <v>2</v>
      </c>
      <c r="I1059" s="8" t="n">
        <v>2</v>
      </c>
      <c r="J1059" s="8" t="n">
        <v>0</v>
      </c>
      <c r="K1059" s="8" t="n">
        <v>0</v>
      </c>
      <c r="L1059" s="8" t="n">
        <v>0</v>
      </c>
      <c r="M1059" s="8" t="n">
        <v>1</v>
      </c>
      <c r="N1059" s="8" t="n">
        <v>0</v>
      </c>
      <c r="O1059" s="8" t="n">
        <v>0</v>
      </c>
      <c r="P1059" s="8" t="n">
        <v>0</v>
      </c>
      <c r="Q1059" s="8" t="n">
        <v>0</v>
      </c>
      <c r="R1059" s="8" t="n">
        <v>1</v>
      </c>
      <c r="S1059" s="8" t="n">
        <v>4</v>
      </c>
      <c r="T1059" s="8" t="n">
        <v>2</v>
      </c>
      <c r="U1059" s="8" t="n">
        <v>0</v>
      </c>
      <c r="V1059" s="8" t="n">
        <v>0</v>
      </c>
      <c r="W1059" s="8" t="n">
        <v>0</v>
      </c>
      <c r="X1059" s="8" t="n">
        <v>0</v>
      </c>
      <c r="Y1059" s="8" t="inlineStr">
        <is>
          <t>SB 2nd plays #34, #67; RBI: G Godfrey scores #18 GO, B Crandell scores #33 1B, C Perkins+G Bowen score #66 1B (2 RBI); R play #36 (G Crandell+C Parks score on N Youmans 2B)</t>
        </is>
      </c>
    </row>
    <row r="1060" ht="15.75" customHeight="1" s="35">
      <c r="A1060" s="8" t="inlineStr">
        <is>
          <t>2026-03-23_STHR_at_SRVR</t>
        </is>
      </c>
      <c r="B1060" s="2" t="n">
        <v>46104</v>
      </c>
      <c r="C1060" s="8" t="inlineStr">
        <is>
          <t>SRVR</t>
        </is>
      </c>
      <c r="D1060" s="8" t="inlineStr">
        <is>
          <t>STHR</t>
        </is>
      </c>
      <c r="E1060" s="8" t="inlineStr">
        <is>
          <t>G Crandell</t>
        </is>
      </c>
      <c r="F1060" s="8" t="n">
        <v>5</v>
      </c>
      <c r="G1060" s="8" t="n">
        <v>4</v>
      </c>
      <c r="H1060" s="8" t="n">
        <v>2</v>
      </c>
      <c r="I1060" s="8" t="n">
        <v>2</v>
      </c>
      <c r="J1060" s="8" t="n">
        <v>0</v>
      </c>
      <c r="K1060" s="8" t="n">
        <v>0</v>
      </c>
      <c r="L1060" s="8" t="n">
        <v>0</v>
      </c>
      <c r="M1060" s="8" t="n">
        <v>0</v>
      </c>
      <c r="N1060" s="8" t="n">
        <v>1</v>
      </c>
      <c r="O1060" s="8" t="n">
        <v>0</v>
      </c>
      <c r="P1060" s="8" t="n">
        <v>0</v>
      </c>
      <c r="Q1060" s="8" t="n">
        <v>0</v>
      </c>
      <c r="R1060" s="8" t="n">
        <v>2</v>
      </c>
      <c r="S1060" s="8" t="n">
        <v>2</v>
      </c>
      <c r="T1060" s="8" t="n">
        <v>2</v>
      </c>
      <c r="U1060" s="8" t="n">
        <v>0</v>
      </c>
      <c r="V1060" s="8" t="n">
        <v>0</v>
      </c>
      <c r="W1060" s="8" t="n">
        <v>0</v>
      </c>
      <c r="X1060" s="8" t="n">
        <v>1</v>
      </c>
      <c r="Y1060" s="8" t="inlineStr">
        <is>
          <t>HBP play #34; FC play #3 (1 RBI B Crandell scores); SB 2nd plays #4, #60; R plays #36, #60</t>
        </is>
      </c>
    </row>
    <row r="1061" ht="15.75" customHeight="1" s="35">
      <c r="A1061" s="8" t="inlineStr">
        <is>
          <t>2026-03-23_STHR_at_SRVR</t>
        </is>
      </c>
      <c r="B1061" s="2" t="n">
        <v>46104</v>
      </c>
      <c r="C1061" s="8" t="inlineStr">
        <is>
          <t>SRVR</t>
        </is>
      </c>
      <c r="D1061" s="8" t="inlineStr">
        <is>
          <t>STHR</t>
        </is>
      </c>
      <c r="E1061" s="8" t="inlineStr">
        <is>
          <t>J Colton</t>
        </is>
      </c>
      <c r="F1061" s="8" t="n">
        <v>4</v>
      </c>
      <c r="G1061" s="8" t="n">
        <v>4</v>
      </c>
      <c r="H1061" s="8" t="n">
        <v>0</v>
      </c>
      <c r="I1061" s="8" t="n">
        <v>0</v>
      </c>
      <c r="J1061" s="8" t="n">
        <v>0</v>
      </c>
      <c r="K1061" s="8" t="n">
        <v>0</v>
      </c>
      <c r="L1061" s="8" t="n">
        <v>0</v>
      </c>
      <c r="M1061" s="8" t="n">
        <v>0</v>
      </c>
      <c r="N1061" s="8" t="n">
        <v>0</v>
      </c>
      <c r="O1061" s="8" t="n">
        <v>2</v>
      </c>
      <c r="P1061" s="8" t="n">
        <v>0</v>
      </c>
      <c r="Q1061" s="8" t="n">
        <v>2</v>
      </c>
      <c r="R1061" s="8" t="n">
        <v>0</v>
      </c>
      <c r="S1061" s="8" t="n">
        <v>0</v>
      </c>
      <c r="T1061" s="8" t="n">
        <v>0</v>
      </c>
      <c r="U1061" s="8" t="n">
        <v>0</v>
      </c>
      <c r="V1061" s="8" t="n">
        <v>0</v>
      </c>
      <c r="W1061" s="8" t="n">
        <v>0</v>
      </c>
      <c r="X1061" s="8" t="n">
        <v>0</v>
      </c>
      <c r="Y1061" s="8" t="inlineStr">
        <is>
          <t>K_S plays #4, #59</t>
        </is>
      </c>
    </row>
    <row r="1062" ht="15.75" customHeight="1" s="35">
      <c r="A1062" s="8" t="inlineStr">
        <is>
          <t>2026-03-23_STHR_at_SRVR</t>
        </is>
      </c>
      <c r="B1062" s="2" t="n">
        <v>46104</v>
      </c>
      <c r="C1062" s="8" t="inlineStr">
        <is>
          <t>SRVR</t>
        </is>
      </c>
      <c r="D1062" s="8" t="inlineStr">
        <is>
          <t>STHR</t>
        </is>
      </c>
      <c r="E1062" s="8" t="inlineStr">
        <is>
          <t>N Youmans</t>
        </is>
      </c>
      <c r="F1062" s="8" t="n">
        <v>4</v>
      </c>
      <c r="G1062" s="8" t="n">
        <v>4</v>
      </c>
      <c r="H1062" s="8" t="n">
        <v>3</v>
      </c>
      <c r="I1062" s="8" t="n">
        <v>2</v>
      </c>
      <c r="J1062" s="8" t="n">
        <v>1</v>
      </c>
      <c r="K1062" s="8" t="n">
        <v>0</v>
      </c>
      <c r="L1062" s="8" t="n">
        <v>0</v>
      </c>
      <c r="M1062" s="8" t="n">
        <v>0</v>
      </c>
      <c r="N1062" s="8" t="n">
        <v>0</v>
      </c>
      <c r="O1062" s="8" t="n">
        <v>0</v>
      </c>
      <c r="P1062" s="8" t="n">
        <v>0</v>
      </c>
      <c r="Q1062" s="8" t="n">
        <v>0</v>
      </c>
      <c r="R1062" s="8" t="n">
        <v>3</v>
      </c>
      <c r="S1062" s="8" t="n">
        <v>3</v>
      </c>
      <c r="T1062" s="8" t="n">
        <v>0</v>
      </c>
      <c r="U1062" s="8" t="n">
        <v>0</v>
      </c>
      <c r="V1062" s="8" t="n">
        <v>0</v>
      </c>
      <c r="W1062" s="8" t="n">
        <v>0</v>
      </c>
      <c r="X1062" s="8" t="n">
        <v>0</v>
      </c>
      <c r="Y1062" s="8" t="inlineStr">
        <is>
          <t>1B play #27; 2B play #36 (2 RBI: G Crandell+C Parks score); 1B play #60 (1 RBI: G Crandell scores); also STHR starter pitcher (inferred, Flag #3)</t>
        </is>
      </c>
    </row>
    <row r="1063" ht="15.75" customHeight="1" s="35">
      <c r="A1063" s="8" t="inlineStr">
        <is>
          <t>2026-03-23_STHR_at_SRVR</t>
        </is>
      </c>
      <c r="B1063" s="2" t="n">
        <v>46104</v>
      </c>
      <c r="C1063" s="8" t="inlineStr">
        <is>
          <t>SRVR</t>
        </is>
      </c>
      <c r="D1063" s="8" t="inlineStr">
        <is>
          <t>STHR</t>
        </is>
      </c>
      <c r="E1063" s="8" t="inlineStr">
        <is>
          <t>B Bowers</t>
        </is>
      </c>
      <c r="F1063" s="8" t="n">
        <v>4</v>
      </c>
      <c r="G1063" s="8" t="n">
        <v>1</v>
      </c>
      <c r="H1063" s="8" t="n">
        <v>1</v>
      </c>
      <c r="I1063" s="8" t="n">
        <v>1</v>
      </c>
      <c r="J1063" s="8" t="n">
        <v>0</v>
      </c>
      <c r="K1063" s="8" t="n">
        <v>0</v>
      </c>
      <c r="L1063" s="8" t="n">
        <v>0</v>
      </c>
      <c r="M1063" s="8" t="n">
        <v>1</v>
      </c>
      <c r="N1063" s="8" t="n">
        <v>2</v>
      </c>
      <c r="O1063" s="8" t="n">
        <v>0</v>
      </c>
      <c r="P1063" s="8" t="n">
        <v>0</v>
      </c>
      <c r="Q1063" s="8" t="n">
        <v>0</v>
      </c>
      <c r="R1063" s="8" t="n">
        <v>3</v>
      </c>
      <c r="S1063" s="8" t="n">
        <v>1</v>
      </c>
      <c r="T1063" s="8" t="n">
        <v>2</v>
      </c>
      <c r="U1063" s="8" t="n">
        <v>0</v>
      </c>
      <c r="V1063" s="8" t="n">
        <v>0</v>
      </c>
      <c r="W1063" s="8" t="n">
        <v>0</v>
      </c>
      <c r="X1063" s="8" t="n">
        <v>0</v>
      </c>
      <c r="Y1063" s="8" t="inlineStr">
        <is>
          <t>HBP plays #28, #61; BB play #13; SB 2nd plays #14, #38; R: T2 #16 (C Perkins BB), T3 #30 (WP), T5 #65 (B Crandell BB); 1B play #37 (1 RBI N Youmans scores)</t>
        </is>
      </c>
    </row>
    <row r="1064" ht="15.75" customHeight="1" s="35">
      <c r="A1064" s="8" t="inlineStr">
        <is>
          <t>2026-03-23_STHR_at_SRVR</t>
        </is>
      </c>
      <c r="B1064" s="2" t="n">
        <v>46104</v>
      </c>
      <c r="C1064" s="8" t="inlineStr">
        <is>
          <t>SRVR</t>
        </is>
      </c>
      <c r="D1064" s="8" t="inlineStr">
        <is>
          <t>STHR</t>
        </is>
      </c>
      <c r="E1064" s="8" t="inlineStr">
        <is>
          <t>W Thomas</t>
        </is>
      </c>
      <c r="F1064" s="8" t="n">
        <v>4</v>
      </c>
      <c r="G1064" s="8" t="n">
        <v>4</v>
      </c>
      <c r="H1064" s="8" t="n">
        <v>2</v>
      </c>
      <c r="I1064" s="8" t="n">
        <v>2</v>
      </c>
      <c r="J1064" s="8" t="n">
        <v>0</v>
      </c>
      <c r="K1064" s="8" t="n">
        <v>0</v>
      </c>
      <c r="L1064" s="8" t="n">
        <v>0</v>
      </c>
      <c r="M1064" s="8" t="n">
        <v>0</v>
      </c>
      <c r="N1064" s="8" t="n">
        <v>0</v>
      </c>
      <c r="O1064" s="8" t="n">
        <v>0</v>
      </c>
      <c r="P1064" s="8" t="n">
        <v>0</v>
      </c>
      <c r="Q1064" s="8" t="n">
        <v>0</v>
      </c>
      <c r="R1064" s="8" t="n">
        <v>2</v>
      </c>
      <c r="S1064" s="8" t="n">
        <v>1</v>
      </c>
      <c r="T1064" s="8" t="n">
        <v>2</v>
      </c>
      <c r="U1064" s="8" t="n">
        <v>0</v>
      </c>
      <c r="V1064" s="8" t="n">
        <v>0</v>
      </c>
      <c r="W1064" s="8" t="n">
        <v>0</v>
      </c>
      <c r="X1064" s="8" t="n">
        <v>0</v>
      </c>
      <c r="Y1064" s="8" t="inlineStr">
        <is>
          <t>1B plays #14 (bunt), #29; SB 2nd plays #15, #30; 1B play #29 (1 RBI N Youmans scores); R: T2 #17, T3 #31</t>
        </is>
      </c>
    </row>
    <row r="1065" ht="15.75" customHeight="1" s="35">
      <c r="A1065" s="8" t="inlineStr">
        <is>
          <t>2026-03-23_STHR_at_SRVR</t>
        </is>
      </c>
      <c r="B1065" s="2" t="n">
        <v>46104</v>
      </c>
      <c r="C1065" s="8" t="inlineStr">
        <is>
          <t>SRVR</t>
        </is>
      </c>
      <c r="D1065" s="8" t="inlineStr">
        <is>
          <t>STHR</t>
        </is>
      </c>
      <c r="E1065" s="8" t="inlineStr">
        <is>
          <t>G Godfrey</t>
        </is>
      </c>
      <c r="F1065" s="8" t="n">
        <v>3</v>
      </c>
      <c r="G1065" s="8" t="n">
        <v>1</v>
      </c>
      <c r="H1065" s="8" t="n">
        <v>0</v>
      </c>
      <c r="I1065" s="8" t="n">
        <v>0</v>
      </c>
      <c r="J1065" s="8" t="n">
        <v>0</v>
      </c>
      <c r="K1065" s="8" t="n">
        <v>0</v>
      </c>
      <c r="L1065" s="8" t="n">
        <v>0</v>
      </c>
      <c r="M1065" s="8" t="n">
        <v>2</v>
      </c>
      <c r="N1065" s="8" t="n">
        <v>0</v>
      </c>
      <c r="O1065" s="8" t="n">
        <v>1</v>
      </c>
      <c r="P1065" s="8" t="n">
        <v>1</v>
      </c>
      <c r="Q1065" s="8" t="n">
        <v>0</v>
      </c>
      <c r="R1065" s="8" t="n">
        <v>2</v>
      </c>
      <c r="S1065" s="8" t="n">
        <v>0</v>
      </c>
      <c r="T1065" s="8" t="n">
        <v>1</v>
      </c>
      <c r="U1065" s="8" t="n">
        <v>0</v>
      </c>
      <c r="V1065" s="8" t="n">
        <v>0</v>
      </c>
      <c r="W1065" s="8" t="n">
        <v>0</v>
      </c>
      <c r="X1065" s="8" t="n">
        <v>0</v>
      </c>
      <c r="Y1065" s="8" t="inlineStr">
        <is>
          <t>BB plays #15, #30; K_L play #50; SB 2nd play #31 (embedded in C Perkins AB); R: T2 #18, T3 #32</t>
        </is>
      </c>
    </row>
    <row r="1066" ht="15.75" customHeight="1" s="35">
      <c r="A1066" s="8" t="inlineStr">
        <is>
          <t>2026-03-23_STHR_at_SRVR</t>
        </is>
      </c>
      <c r="B1066" s="2" t="n">
        <v>46104</v>
      </c>
      <c r="C1066" s="8" t="inlineStr">
        <is>
          <t>SRVR</t>
        </is>
      </c>
      <c r="D1066" s="8" t="inlineStr">
        <is>
          <t>STHR</t>
        </is>
      </c>
      <c r="E1066" s="8" t="inlineStr">
        <is>
          <t>C Perkins</t>
        </is>
      </c>
      <c r="F1066" s="8" t="n">
        <v>4</v>
      </c>
      <c r="G1066" s="8" t="n">
        <v>2</v>
      </c>
      <c r="H1066" s="8" t="n">
        <v>0</v>
      </c>
      <c r="I1066" s="8" t="n">
        <v>0</v>
      </c>
      <c r="J1066" s="8" t="n">
        <v>0</v>
      </c>
      <c r="K1066" s="8" t="n">
        <v>0</v>
      </c>
      <c r="L1066" s="8" t="n">
        <v>0</v>
      </c>
      <c r="M1066" s="8" t="n">
        <v>2</v>
      </c>
      <c r="N1066" s="8" t="n">
        <v>0</v>
      </c>
      <c r="O1066" s="8" t="n">
        <v>0</v>
      </c>
      <c r="P1066" s="8" t="n">
        <v>0</v>
      </c>
      <c r="Q1066" s="8" t="n">
        <v>0</v>
      </c>
      <c r="R1066" s="8" t="n">
        <v>2</v>
      </c>
      <c r="S1066" s="8" t="n">
        <v>3</v>
      </c>
      <c r="T1066" s="8" t="n">
        <v>0</v>
      </c>
      <c r="U1066" s="8" t="n">
        <v>0</v>
      </c>
      <c r="V1066" s="8" t="n">
        <v>0</v>
      </c>
      <c r="W1066" s="8" t="n">
        <v>0</v>
      </c>
      <c r="X1066" s="8" t="n">
        <v>0</v>
      </c>
      <c r="Y1066" s="8" t="inlineStr">
        <is>
          <t>BB plays #16, #64; RBI: B Bowers scores #16 BB (bases-loaded), W Thomas scores #31 GO, N Youmans scores #64 BB (bases-loaded); R: T2 #19, T5 #66</t>
        </is>
      </c>
    </row>
    <row r="1067" ht="15.75" customHeight="1" s="35">
      <c r="A1067" s="8" t="inlineStr">
        <is>
          <t>2026-03-23_STHR_at_SRVR</t>
        </is>
      </c>
      <c r="B1067" s="2" t="n">
        <v>46104</v>
      </c>
      <c r="C1067" s="8" t="inlineStr">
        <is>
          <t>SRVR</t>
        </is>
      </c>
      <c r="D1067" s="8" t="inlineStr">
        <is>
          <t>STHR</t>
        </is>
      </c>
      <c r="E1067" s="8" t="inlineStr">
        <is>
          <t>G Bowen</t>
        </is>
      </c>
      <c r="F1067" s="8" t="n">
        <v>1</v>
      </c>
      <c r="G1067" s="8" t="n">
        <v>0</v>
      </c>
      <c r="H1067" s="8" t="n">
        <v>0</v>
      </c>
      <c r="I1067" s="8" t="n">
        <v>0</v>
      </c>
      <c r="J1067" s="8" t="n">
        <v>0</v>
      </c>
      <c r="K1067" s="8" t="n">
        <v>0</v>
      </c>
      <c r="L1067" s="8" t="n">
        <v>0</v>
      </c>
      <c r="M1067" s="8" t="n">
        <v>1</v>
      </c>
      <c r="N1067" s="8" t="n">
        <v>0</v>
      </c>
      <c r="O1067" s="8" t="n">
        <v>0</v>
      </c>
      <c r="P1067" s="8" t="n">
        <v>0</v>
      </c>
      <c r="Q1067" s="8" t="n">
        <v>0</v>
      </c>
      <c r="R1067" s="8" t="n">
        <v>1</v>
      </c>
      <c r="S1067" s="8" t="n">
        <v>0</v>
      </c>
      <c r="T1067" s="8" t="n">
        <v>0</v>
      </c>
      <c r="U1067" s="8" t="n">
        <v>0</v>
      </c>
      <c r="V1067" s="8" t="n">
        <v>0</v>
      </c>
      <c r="W1067" s="8" t="n">
        <v>0</v>
      </c>
      <c r="X1067" s="8" t="n">
        <v>0</v>
      </c>
      <c r="Y1067" s="8" t="inlineStr">
        <is>
          <t>Entered T5 without lineup note; BB play #63; R play #66 (C Parks 1B)</t>
        </is>
      </c>
    </row>
    <row r="1068" ht="15.75" customHeight="1" s="35">
      <c r="A1068" s="8" t="inlineStr">
        <is>
          <t>2026-03-23_STHR_at_SRVR</t>
        </is>
      </c>
      <c r="B1068" s="2" t="n">
        <v>46104</v>
      </c>
      <c r="C1068" s="8" t="inlineStr">
        <is>
          <t>STHR</t>
        </is>
      </c>
      <c r="D1068" s="8" t="inlineStr">
        <is>
          <t>SRVR</t>
        </is>
      </c>
      <c r="E1068" s="8" t="inlineStr">
        <is>
          <t>G Kunst</t>
        </is>
      </c>
      <c r="F1068" s="8" t="n">
        <v>4</v>
      </c>
      <c r="G1068" s="8" t="n">
        <v>2</v>
      </c>
      <c r="H1068" s="8" t="n">
        <v>1</v>
      </c>
      <c r="I1068" s="8" t="n">
        <v>1</v>
      </c>
      <c r="J1068" s="8" t="n">
        <v>0</v>
      </c>
      <c r="K1068" s="8" t="n">
        <v>0</v>
      </c>
      <c r="L1068" s="8" t="n">
        <v>0</v>
      </c>
      <c r="M1068" s="8" t="n">
        <v>2</v>
      </c>
      <c r="N1068" s="8" t="n">
        <v>0</v>
      </c>
      <c r="O1068" s="8" t="n">
        <v>0</v>
      </c>
      <c r="P1068" s="8" t="n">
        <v>0</v>
      </c>
      <c r="Q1068" s="8" t="n">
        <v>0</v>
      </c>
      <c r="R1068" s="8" t="n">
        <v>2</v>
      </c>
      <c r="S1068" s="8" t="n">
        <v>0</v>
      </c>
      <c r="T1068" s="8" t="n">
        <v>0</v>
      </c>
      <c r="U1068" s="8" t="n">
        <v>0</v>
      </c>
      <c r="V1068" s="8" t="n">
        <v>1</v>
      </c>
      <c r="W1068" s="8" t="n">
        <v>0</v>
      </c>
      <c r="X1068" s="8" t="n">
        <v>0</v>
      </c>
      <c r="Y1068" s="8" t="inlineStr">
        <is>
          <t>BB plays #6, #44; 1B play #23; GDP play #57; R: B2 WP play #25, B3 P Box 1B play #47</t>
        </is>
      </c>
    </row>
    <row r="1069" ht="15.75" customHeight="1" s="35">
      <c r="A1069" s="8" t="inlineStr">
        <is>
          <t>2026-03-23_STHR_at_SRVR</t>
        </is>
      </c>
      <c r="B1069" s="2" t="n">
        <v>46104</v>
      </c>
      <c r="C1069" s="8" t="inlineStr">
        <is>
          <t>STHR</t>
        </is>
      </c>
      <c r="D1069" s="8" t="inlineStr">
        <is>
          <t>SRVR</t>
        </is>
      </c>
      <c r="E1069" s="8" t="inlineStr">
        <is>
          <t>C Lutterbie</t>
        </is>
      </c>
      <c r="F1069" s="8" t="n">
        <v>4</v>
      </c>
      <c r="G1069" s="8" t="n">
        <v>4</v>
      </c>
      <c r="H1069" s="8" t="n">
        <v>1</v>
      </c>
      <c r="I1069" s="8" t="n">
        <v>1</v>
      </c>
      <c r="J1069" s="8" t="n">
        <v>0</v>
      </c>
      <c r="K1069" s="8" t="n">
        <v>0</v>
      </c>
      <c r="L1069" s="8" t="n">
        <v>0</v>
      </c>
      <c r="M1069" s="8" t="n">
        <v>0</v>
      </c>
      <c r="N1069" s="8" t="n">
        <v>0</v>
      </c>
      <c r="O1069" s="8" t="n">
        <v>0</v>
      </c>
      <c r="P1069" s="8" t="n">
        <v>0</v>
      </c>
      <c r="Q1069" s="8" t="n">
        <v>0</v>
      </c>
      <c r="R1069" s="8" t="n">
        <v>2</v>
      </c>
      <c r="S1069" s="8" t="n">
        <v>2</v>
      </c>
      <c r="T1069" s="8" t="n">
        <v>0</v>
      </c>
      <c r="U1069" s="8" t="n">
        <v>0</v>
      </c>
      <c r="V1069" s="8" t="n">
        <v>0</v>
      </c>
      <c r="W1069" s="8" t="n">
        <v>0</v>
      </c>
      <c r="X1069" s="8" t="n">
        <v>1</v>
      </c>
      <c r="Y1069" s="8" t="inlineStr">
        <is>
          <t>FC play #7 (G Kunst runner out); 1B play #45; RBI: Gunderson scores #24 GO, D Drain scores #45 1B; R: B1 E Schreier BB, B3 E Schreier BB</t>
        </is>
      </c>
    </row>
    <row r="1070" ht="15.75" customHeight="1" s="35">
      <c r="A1070" s="8" t="inlineStr">
        <is>
          <t>2026-03-23_STHR_at_SRVR</t>
        </is>
      </c>
      <c r="B1070" s="2" t="n">
        <v>46104</v>
      </c>
      <c r="C1070" s="8" t="inlineStr">
        <is>
          <t>STHR</t>
        </is>
      </c>
      <c r="D1070" s="8" t="inlineStr">
        <is>
          <t>SRVR</t>
        </is>
      </c>
      <c r="E1070" s="8" t="inlineStr">
        <is>
          <t>N Hooker</t>
        </is>
      </c>
      <c r="F1070" s="8" t="n">
        <v>4</v>
      </c>
      <c r="G1070" s="8" t="n">
        <v>3</v>
      </c>
      <c r="H1070" s="8" t="n">
        <v>2</v>
      </c>
      <c r="I1070" s="8" t="n">
        <v>2</v>
      </c>
      <c r="J1070" s="8" t="n">
        <v>0</v>
      </c>
      <c r="K1070" s="8" t="n">
        <v>0</v>
      </c>
      <c r="L1070" s="8" t="n">
        <v>0</v>
      </c>
      <c r="M1070" s="8" t="n">
        <v>1</v>
      </c>
      <c r="N1070" s="8" t="n">
        <v>0</v>
      </c>
      <c r="O1070" s="8" t="n">
        <v>0</v>
      </c>
      <c r="P1070" s="8" t="n">
        <v>0</v>
      </c>
      <c r="Q1070" s="8" t="n">
        <v>0</v>
      </c>
      <c r="R1070" s="8" t="n">
        <v>0</v>
      </c>
      <c r="S1070" s="8" t="n">
        <v>1</v>
      </c>
      <c r="T1070" s="8" t="n">
        <v>0</v>
      </c>
      <c r="U1070" s="8" t="n">
        <v>0</v>
      </c>
      <c r="V1070" s="8" t="n">
        <v>0</v>
      </c>
      <c r="W1070" s="8" t="n">
        <v>0</v>
      </c>
      <c r="X1070" s="8" t="n">
        <v>0</v>
      </c>
      <c r="Y1070" s="8" t="inlineStr">
        <is>
          <t>1B plays #8, #25; BB play #46 (1 RBI J Hall/Decker CR scores)</t>
        </is>
      </c>
    </row>
    <row r="1071" ht="15.75" customHeight="1" s="35">
      <c r="A1071" s="8" t="inlineStr">
        <is>
          <t>2026-03-23_STHR_at_SRVR</t>
        </is>
      </c>
      <c r="B1071" s="2" t="n">
        <v>46104</v>
      </c>
      <c r="C1071" s="8" t="inlineStr">
        <is>
          <t>STHR</t>
        </is>
      </c>
      <c r="D1071" s="8" t="inlineStr">
        <is>
          <t>SRVR</t>
        </is>
      </c>
      <c r="E1071" s="8" t="inlineStr">
        <is>
          <t>P Box</t>
        </is>
      </c>
      <c r="F1071" s="8" t="n">
        <v>4</v>
      </c>
      <c r="G1071" s="8" t="n">
        <v>3</v>
      </c>
      <c r="H1071" s="8" t="n">
        <v>1</v>
      </c>
      <c r="I1071" s="8" t="n">
        <v>1</v>
      </c>
      <c r="J1071" s="8" t="n">
        <v>0</v>
      </c>
      <c r="K1071" s="8" t="n">
        <v>0</v>
      </c>
      <c r="L1071" s="8" t="n">
        <v>0</v>
      </c>
      <c r="M1071" s="8" t="n">
        <v>1</v>
      </c>
      <c r="N1071" s="8" t="n">
        <v>0</v>
      </c>
      <c r="O1071" s="8" t="n">
        <v>0</v>
      </c>
      <c r="P1071" s="8" t="n">
        <v>0</v>
      </c>
      <c r="Q1071" s="8" t="n">
        <v>0</v>
      </c>
      <c r="R1071" s="8" t="n">
        <v>0</v>
      </c>
      <c r="S1071" s="8" t="n">
        <v>1</v>
      </c>
      <c r="T1071" s="8" t="n">
        <v>0</v>
      </c>
      <c r="U1071" s="8" t="n">
        <v>0</v>
      </c>
      <c r="V1071" s="8" t="n">
        <v>0</v>
      </c>
      <c r="W1071" s="8" t="n">
        <v>0</v>
      </c>
      <c r="X1071" s="8" t="n">
        <v>0</v>
      </c>
      <c r="Y1071" s="8" t="inlineStr">
        <is>
          <t>BB play #9; 1B play #47 (1 RBI G Kunst scores)</t>
        </is>
      </c>
    </row>
    <row r="1072" ht="15.75" customHeight="1" s="35">
      <c r="A1072" s="8" t="inlineStr">
        <is>
          <t>2026-03-23_STHR_at_SRVR</t>
        </is>
      </c>
      <c r="B1072" s="2" t="n">
        <v>46104</v>
      </c>
      <c r="C1072" s="8" t="inlineStr">
        <is>
          <t>STHR</t>
        </is>
      </c>
      <c r="D1072" s="8" t="inlineStr">
        <is>
          <t>SRVR</t>
        </is>
      </c>
      <c r="E1072" s="8" t="inlineStr">
        <is>
          <t>E Schreier</t>
        </is>
      </c>
      <c r="F1072" s="8" t="n">
        <v>3</v>
      </c>
      <c r="G1072" s="8" t="n">
        <v>0</v>
      </c>
      <c r="H1072" s="8" t="n">
        <v>0</v>
      </c>
      <c r="I1072" s="8" t="n">
        <v>0</v>
      </c>
      <c r="J1072" s="8" t="n">
        <v>0</v>
      </c>
      <c r="K1072" s="8" t="n">
        <v>0</v>
      </c>
      <c r="L1072" s="8" t="n">
        <v>0</v>
      </c>
      <c r="M1072" s="8" t="n">
        <v>2</v>
      </c>
      <c r="N1072" s="8" t="n">
        <v>1</v>
      </c>
      <c r="O1072" s="8" t="n">
        <v>0</v>
      </c>
      <c r="P1072" s="8" t="n">
        <v>0</v>
      </c>
      <c r="Q1072" s="8" t="n">
        <v>0</v>
      </c>
      <c r="R1072" s="8" t="n">
        <v>1</v>
      </c>
      <c r="S1072" s="8" t="n">
        <v>2</v>
      </c>
      <c r="T1072" s="8" t="n">
        <v>0</v>
      </c>
      <c r="U1072" s="8" t="n">
        <v>0</v>
      </c>
      <c r="V1072" s="8" t="n">
        <v>0</v>
      </c>
      <c r="W1072" s="8" t="n">
        <v>0</v>
      </c>
      <c r="X1072" s="8" t="n">
        <v>0</v>
      </c>
      <c r="Y1072" s="8" t="inlineStr">
        <is>
          <t>HBP play #39; BB plays #10, #48; RBI: C Lutterbie scores #10 (bases-loaded BB), C Lutterbie scores #48 (bases-loaded BB); R play #43 (R Rotondo GO)</t>
        </is>
      </c>
    </row>
    <row r="1073" ht="15.75" customHeight="1" s="35">
      <c r="A1073" s="8" t="inlineStr">
        <is>
          <t>2026-03-23_STHR_at_SRVR</t>
        </is>
      </c>
      <c r="B1073" s="2" t="n">
        <v>46104</v>
      </c>
      <c r="C1073" s="8" t="inlineStr">
        <is>
          <t>STHR</t>
        </is>
      </c>
      <c r="D1073" s="8" t="inlineStr">
        <is>
          <t>SRVR</t>
        </is>
      </c>
      <c r="E1073" s="8" t="inlineStr">
        <is>
          <t>D Drain</t>
        </is>
      </c>
      <c r="F1073" s="8" t="n">
        <v>3</v>
      </c>
      <c r="G1073" s="8" t="n">
        <v>2</v>
      </c>
      <c r="H1073" s="8" t="n">
        <v>0</v>
      </c>
      <c r="I1073" s="8" t="n">
        <v>0</v>
      </c>
      <c r="J1073" s="8" t="n">
        <v>0</v>
      </c>
      <c r="K1073" s="8" t="n">
        <v>0</v>
      </c>
      <c r="L1073" s="8" t="n">
        <v>0</v>
      </c>
      <c r="M1073" s="8" t="n">
        <v>1</v>
      </c>
      <c r="N1073" s="8" t="n">
        <v>0</v>
      </c>
      <c r="O1073" s="8" t="n">
        <v>1</v>
      </c>
      <c r="P1073" s="8" t="n">
        <v>1</v>
      </c>
      <c r="Q1073" s="8" t="n">
        <v>0</v>
      </c>
      <c r="R1073" s="8" t="n">
        <v>1</v>
      </c>
      <c r="S1073" s="8" t="n">
        <v>0</v>
      </c>
      <c r="T1073" s="8" t="n">
        <v>0</v>
      </c>
      <c r="U1073" s="8" t="n">
        <v>0</v>
      </c>
      <c r="V1073" s="8" t="n">
        <v>0</v>
      </c>
      <c r="W1073" s="8" t="n">
        <v>0</v>
      </c>
      <c r="X1073" s="8" t="n">
        <v>0</v>
      </c>
      <c r="Y1073" s="8" t="inlineStr">
        <is>
          <t>K_L play #11; BB play #40; R play #45 (C Lutterbie 1B)</t>
        </is>
      </c>
    </row>
    <row r="1074" ht="15.75" customHeight="1" s="35">
      <c r="A1074" s="8" t="inlineStr">
        <is>
          <t>2026-03-23_STHR_at_SRVR</t>
        </is>
      </c>
      <c r="B1074" s="2" t="n">
        <v>46104</v>
      </c>
      <c r="C1074" s="8" t="inlineStr">
        <is>
          <t>STHR</t>
        </is>
      </c>
      <c r="D1074" s="8" t="inlineStr">
        <is>
          <t>SRVR</t>
        </is>
      </c>
      <c r="E1074" s="8" t="inlineStr">
        <is>
          <t>Decker</t>
        </is>
      </c>
      <c r="F1074" s="8" t="n">
        <v>3</v>
      </c>
      <c r="G1074" s="8" t="n">
        <v>2</v>
      </c>
      <c r="H1074" s="8" t="n">
        <v>0</v>
      </c>
      <c r="I1074" s="8" t="n">
        <v>0</v>
      </c>
      <c r="J1074" s="8" t="n">
        <v>0</v>
      </c>
      <c r="K1074" s="8" t="n">
        <v>0</v>
      </c>
      <c r="L1074" s="8" t="n">
        <v>0</v>
      </c>
      <c r="M1074" s="8" t="n">
        <v>1</v>
      </c>
      <c r="N1074" s="8" t="n">
        <v>0</v>
      </c>
      <c r="O1074" s="8" t="n">
        <v>0</v>
      </c>
      <c r="P1074" s="8" t="n">
        <v>0</v>
      </c>
      <c r="Q1074" s="8" t="n">
        <v>0</v>
      </c>
      <c r="R1074" s="8" t="n">
        <v>1</v>
      </c>
      <c r="S1074" s="8" t="n">
        <v>0</v>
      </c>
      <c r="T1074" s="8" t="n">
        <v>0</v>
      </c>
      <c r="U1074" s="8" t="n">
        <v>0</v>
      </c>
      <c r="V1074" s="8" t="n">
        <v>0</v>
      </c>
      <c r="W1074" s="8" t="n">
        <v>0</v>
      </c>
      <c r="X1074" s="8" t="n">
        <v>0</v>
      </c>
      <c r="Y1074" s="8" t="inlineStr">
        <is>
          <t>BB play #41; CR J Hall subbed in play #42 (embedded); R credited to Decker (J Hall scores play #46 on N Hooker BB); B4 GO play #54</t>
        </is>
      </c>
    </row>
    <row r="1075" ht="15.75" customHeight="1" s="35">
      <c r="A1075" s="8" t="inlineStr">
        <is>
          <t>2026-03-23_STHR_at_SRVR</t>
        </is>
      </c>
      <c r="B1075" s="2" t="n">
        <v>46104</v>
      </c>
      <c r="C1075" s="8" t="inlineStr">
        <is>
          <t>STHR</t>
        </is>
      </c>
      <c r="D1075" s="8" t="inlineStr">
        <is>
          <t>SRVR</t>
        </is>
      </c>
      <c r="E1075" s="8" t="inlineStr">
        <is>
          <t>Gunderson</t>
        </is>
      </c>
      <c r="F1075" s="8" t="n">
        <v>3</v>
      </c>
      <c r="G1075" s="8" t="n">
        <v>3</v>
      </c>
      <c r="H1075" s="8" t="n">
        <v>1</v>
      </c>
      <c r="I1075" s="8" t="n">
        <v>1</v>
      </c>
      <c r="J1075" s="8" t="n">
        <v>0</v>
      </c>
      <c r="K1075" s="8" t="n">
        <v>0</v>
      </c>
      <c r="L1075" s="8" t="n">
        <v>0</v>
      </c>
      <c r="M1075" s="8" t="n">
        <v>0</v>
      </c>
      <c r="N1075" s="8" t="n">
        <v>0</v>
      </c>
      <c r="O1075" s="8" t="n">
        <v>0</v>
      </c>
      <c r="P1075" s="8" t="n">
        <v>0</v>
      </c>
      <c r="Q1075" s="8" t="n">
        <v>0</v>
      </c>
      <c r="R1075" s="8" t="n">
        <v>1</v>
      </c>
      <c r="S1075" s="8" t="n">
        <v>0</v>
      </c>
      <c r="T1075" s="8" t="n">
        <v>0</v>
      </c>
      <c r="U1075" s="8" t="n">
        <v>0</v>
      </c>
      <c r="V1075" s="8" t="n">
        <v>0</v>
      </c>
      <c r="W1075" s="8" t="n">
        <v>0</v>
      </c>
      <c r="X1075" s="8" t="n">
        <v>0</v>
      </c>
      <c r="Y1075" s="8" t="inlineStr">
        <is>
          <t>1B play #21 (adv 2nd on STHR E by P N Youmans play #21); ROE play #55 (E by 2B G Bowen, not H); R play #24 (C Lutterbie GO)</t>
        </is>
      </c>
    </row>
    <row r="1076" ht="15.75" customHeight="1" s="35">
      <c r="A1076" s="8" t="inlineStr">
        <is>
          <t>2026-03-23_STHR_at_SRVR</t>
        </is>
      </c>
      <c r="B1076" s="2" t="n">
        <v>46104</v>
      </c>
      <c r="C1076" s="8" t="inlineStr">
        <is>
          <t>STHR</t>
        </is>
      </c>
      <c r="D1076" s="8" t="inlineStr">
        <is>
          <t>SRVR</t>
        </is>
      </c>
      <c r="E1076" s="8" t="inlineStr">
        <is>
          <t>R Rotondo</t>
        </is>
      </c>
      <c r="F1076" s="8" t="n">
        <v>3</v>
      </c>
      <c r="G1076" s="8" t="n">
        <v>3</v>
      </c>
      <c r="H1076" s="8" t="n">
        <v>1</v>
      </c>
      <c r="I1076" s="8" t="n">
        <v>1</v>
      </c>
      <c r="J1076" s="8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8" t="n">
        <v>0</v>
      </c>
      <c r="P1076" s="8" t="n">
        <v>0</v>
      </c>
      <c r="Q1076" s="8" t="n">
        <v>0</v>
      </c>
      <c r="R1076" s="8" t="n">
        <v>0</v>
      </c>
      <c r="S1076" s="8" t="n">
        <v>1</v>
      </c>
      <c r="T1076" s="8" t="n">
        <v>0</v>
      </c>
      <c r="U1076" s="8" t="n">
        <v>0</v>
      </c>
      <c r="V1076" s="8" t="n">
        <v>0</v>
      </c>
      <c r="W1076" s="8" t="n">
        <v>0</v>
      </c>
      <c r="X1076" s="8" t="n">
        <v>0</v>
      </c>
      <c r="Y1076" s="8" t="inlineStr">
        <is>
          <t>1B play #56; RBI play #43 GO (E Schreier scores); out on bases after 1B play #57 DP</t>
        </is>
      </c>
    </row>
    <row r="1077" ht="15.75" customHeight="1" s="35">
      <c r="A1077" s="8" t="inlineStr">
        <is>
          <t>2026-03-25_MDVR_at_STHR</t>
        </is>
      </c>
      <c r="B1077" s="2" t="n">
        <v>46106</v>
      </c>
      <c r="C1077" s="8" t="inlineStr">
        <is>
          <t>MDVR</t>
        </is>
      </c>
      <c r="D1077" s="8" t="inlineStr">
        <is>
          <t>STHR</t>
        </is>
      </c>
      <c r="E1077" s="8" t="inlineStr">
        <is>
          <t>B Crandell</t>
        </is>
      </c>
      <c r="F1077" s="8" t="n">
        <v>2</v>
      </c>
      <c r="G1077" s="8" t="n">
        <v>1</v>
      </c>
      <c r="H1077" s="8" t="n">
        <v>1</v>
      </c>
      <c r="I1077" s="8" t="n">
        <v>0</v>
      </c>
      <c r="J1077" s="8" t="n">
        <v>1</v>
      </c>
      <c r="K1077" s="8" t="n">
        <v>0</v>
      </c>
      <c r="L1077" s="8" t="n">
        <v>0</v>
      </c>
      <c r="M1077" s="8" t="n">
        <v>0</v>
      </c>
      <c r="N1077" s="8" t="n">
        <v>1</v>
      </c>
      <c r="O1077" s="8" t="n">
        <v>0</v>
      </c>
      <c r="P1077" s="8" t="n">
        <v>0</v>
      </c>
      <c r="Q1077" s="8" t="n">
        <v>0</v>
      </c>
      <c r="R1077" s="8" t="n">
        <v>2</v>
      </c>
      <c r="S1077" s="8" t="n">
        <v>0</v>
      </c>
      <c r="T1077" s="8" t="n">
        <v>1</v>
      </c>
      <c r="U1077" s="8" t="n">
        <v>0</v>
      </c>
      <c r="V1077" s="8" t="n">
        <v>0</v>
      </c>
      <c r="W1077" s="8" t="n">
        <v>0</v>
      </c>
      <c r="X1077" s="8" t="n">
        <v>0</v>
      </c>
      <c r="Y1077" s="8" t="inlineStr">
        <is>
          <t>2B play #17; HBP play #5; SB 3rd play #8 (embedded in N Youmans AB); R: B1 #9 B Michaud BB, B2 #20 PB; removed play #26 (J Dunkerly PH)</t>
        </is>
      </c>
    </row>
    <row r="1078" ht="15.75" customHeight="1" s="35">
      <c r="A1078" s="8" t="inlineStr">
        <is>
          <t>2026-03-25_MDVR_at_STHR</t>
        </is>
      </c>
      <c r="B1078" s="2" t="n">
        <v>46106</v>
      </c>
      <c r="C1078" s="8" t="inlineStr">
        <is>
          <t>MDVR</t>
        </is>
      </c>
      <c r="D1078" s="8" t="inlineStr">
        <is>
          <t>STHR</t>
        </is>
      </c>
      <c r="E1078" s="8" t="inlineStr">
        <is>
          <t>C Parks</t>
        </is>
      </c>
      <c r="F1078" s="8" t="n">
        <v>6</v>
      </c>
      <c r="G1078" s="8" t="n">
        <v>5</v>
      </c>
      <c r="H1078" s="8" t="n">
        <v>1</v>
      </c>
      <c r="I1078" s="8" t="n">
        <v>1</v>
      </c>
      <c r="J1078" s="8" t="n">
        <v>0</v>
      </c>
      <c r="K1078" s="8" t="n">
        <v>0</v>
      </c>
      <c r="L1078" s="8" t="n">
        <v>0</v>
      </c>
      <c r="M1078" s="8" t="n">
        <v>0</v>
      </c>
      <c r="N1078" s="8" t="n">
        <v>1</v>
      </c>
      <c r="O1078" s="8" t="n">
        <v>0</v>
      </c>
      <c r="P1078" s="8" t="n">
        <v>0</v>
      </c>
      <c r="Q1078" s="8" t="n">
        <v>0</v>
      </c>
      <c r="R1078" s="8" t="n">
        <v>4</v>
      </c>
      <c r="S1078" s="8" t="n">
        <v>1</v>
      </c>
      <c r="T1078" s="8" t="n">
        <v>0</v>
      </c>
      <c r="U1078" s="8" t="n">
        <v>0</v>
      </c>
      <c r="V1078" s="8" t="n">
        <v>0</v>
      </c>
      <c r="W1078" s="8" t="n">
        <v>0</v>
      </c>
      <c r="X1078" s="8" t="n">
        <v>0</v>
      </c>
      <c r="Y1078" s="8" t="inlineStr">
        <is>
          <t>HBP play #18; ROE plays #27, #36, #54 (no H); 1B play #63 (1 RBI J Dunkerly scores); R: #20 N Youmans 1B, #31 S Lopez 1B, #57 T Veith ROE, #65 WP</t>
        </is>
      </c>
    </row>
    <row r="1079" ht="15.75" customHeight="1" s="35">
      <c r="A1079" s="8" t="inlineStr">
        <is>
          <t>2026-03-25_MDVR_at_STHR</t>
        </is>
      </c>
      <c r="B1079" s="2" t="n">
        <v>46106</v>
      </c>
      <c r="C1079" s="8" t="inlineStr">
        <is>
          <t>MDVR</t>
        </is>
      </c>
      <c r="D1079" s="8" t="inlineStr">
        <is>
          <t>STHR</t>
        </is>
      </c>
      <c r="E1079" s="8" t="inlineStr">
        <is>
          <t>G Crandell</t>
        </is>
      </c>
      <c r="F1079" s="8" t="n">
        <v>2</v>
      </c>
      <c r="G1079" s="8" t="n">
        <v>1</v>
      </c>
      <c r="H1079" s="8" t="n">
        <v>0</v>
      </c>
      <c r="I1079" s="8" t="n">
        <v>0</v>
      </c>
      <c r="J1079" s="8" t="n">
        <v>0</v>
      </c>
      <c r="K1079" s="8" t="n">
        <v>0</v>
      </c>
      <c r="L1079" s="8" t="n">
        <v>0</v>
      </c>
      <c r="M1079" s="8" t="n">
        <v>0</v>
      </c>
      <c r="N1079" s="8" t="n">
        <v>1</v>
      </c>
      <c r="O1079" s="8" t="n">
        <v>0</v>
      </c>
      <c r="P1079" s="8" t="n">
        <v>0</v>
      </c>
      <c r="Q1079" s="8" t="n">
        <v>0</v>
      </c>
      <c r="R1079" s="8" t="n">
        <v>2</v>
      </c>
      <c r="S1079" s="8" t="n">
        <v>0</v>
      </c>
      <c r="T1079" s="8" t="n">
        <v>1</v>
      </c>
      <c r="U1079" s="8" t="n">
        <v>0</v>
      </c>
      <c r="V1079" s="8" t="n">
        <v>0</v>
      </c>
      <c r="W1079" s="8" t="n">
        <v>0</v>
      </c>
      <c r="X1079" s="8" t="n">
        <v>0</v>
      </c>
      <c r="Y1079" s="8" t="inlineStr">
        <is>
          <t>ROE play #7 (no H); HBP play #19; SB 2nd play #8 (embedded in N Youmans AB); R: B1 #10 S Lopez ROE, B2 #20 N Youmans 1B; removed play #28 (N Simmons PH)</t>
        </is>
      </c>
    </row>
    <row r="1080" ht="15.75" customHeight="1" s="35">
      <c r="A1080" s="8" t="inlineStr">
        <is>
          <t>2026-03-25_MDVR_at_STHR</t>
        </is>
      </c>
      <c r="B1080" s="2" t="n">
        <v>46106</v>
      </c>
      <c r="C1080" s="8" t="inlineStr">
        <is>
          <t>MDVR</t>
        </is>
      </c>
      <c r="D1080" s="8" t="inlineStr">
        <is>
          <t>STHR</t>
        </is>
      </c>
      <c r="E1080" s="8" t="inlineStr">
        <is>
          <t>N Youmans</t>
        </is>
      </c>
      <c r="F1080" s="8" t="n">
        <v>2</v>
      </c>
      <c r="G1080" s="8" t="n">
        <v>1</v>
      </c>
      <c r="H1080" s="8" t="n">
        <v>1</v>
      </c>
      <c r="I1080" s="8" t="n">
        <v>1</v>
      </c>
      <c r="J1080" s="8" t="n">
        <v>0</v>
      </c>
      <c r="K1080" s="8" t="n">
        <v>0</v>
      </c>
      <c r="L1080" s="8" t="n">
        <v>0</v>
      </c>
      <c r="M1080" s="8" t="n">
        <v>1</v>
      </c>
      <c r="N1080" s="8" t="n">
        <v>0</v>
      </c>
      <c r="O1080" s="8" t="n">
        <v>0</v>
      </c>
      <c r="P1080" s="8" t="n">
        <v>0</v>
      </c>
      <c r="Q1080" s="8" t="n">
        <v>0</v>
      </c>
      <c r="R1080" s="8" t="n">
        <v>2</v>
      </c>
      <c r="S1080" s="8" t="n">
        <v>2</v>
      </c>
      <c r="T1080" s="8" t="n">
        <v>1</v>
      </c>
      <c r="U1080" s="8" t="n">
        <v>0</v>
      </c>
      <c r="V1080" s="8" t="n">
        <v>0</v>
      </c>
      <c r="W1080" s="8" t="n">
        <v>0</v>
      </c>
      <c r="X1080" s="8" t="n">
        <v>0</v>
      </c>
      <c r="Y1080" s="8" t="inlineStr">
        <is>
          <t>BB play #8; 1B play #20 (2 RBI: G Crandell+C Parks score); SB 2nd play #21 (embedded in B Michaud AB); R: B1 #12 G Colhoun BB, B2 #23 WP; removed play #29 (T Evan PH)</t>
        </is>
      </c>
    </row>
    <row r="1081" ht="15.75" customHeight="1" s="35">
      <c r="A1081" s="8" t="inlineStr">
        <is>
          <t>2026-03-25_MDVR_at_STHR</t>
        </is>
      </c>
      <c r="B1081" s="2" t="n">
        <v>46106</v>
      </c>
      <c r="C1081" s="8" t="inlineStr">
        <is>
          <t>MDVR</t>
        </is>
      </c>
      <c r="D1081" s="8" t="inlineStr">
        <is>
          <t>STHR</t>
        </is>
      </c>
      <c r="E1081" s="8" t="inlineStr">
        <is>
          <t>B Michaud</t>
        </is>
      </c>
      <c r="F1081" s="8" t="n">
        <v>3</v>
      </c>
      <c r="G1081" s="8" t="n">
        <v>1</v>
      </c>
      <c r="H1081" s="8" t="n">
        <v>0</v>
      </c>
      <c r="I1081" s="8" t="n">
        <v>0</v>
      </c>
      <c r="J1081" s="8" t="n">
        <v>0</v>
      </c>
      <c r="K1081" s="8" t="n">
        <v>0</v>
      </c>
      <c r="L1081" s="8" t="n">
        <v>0</v>
      </c>
      <c r="M1081" s="8" t="n">
        <v>2</v>
      </c>
      <c r="N1081" s="8" t="n">
        <v>0</v>
      </c>
      <c r="O1081" s="8" t="n">
        <v>1</v>
      </c>
      <c r="P1081" s="8" t="n">
        <v>1</v>
      </c>
      <c r="Q1081" s="8" t="n">
        <v>0</v>
      </c>
      <c r="R1081" s="8" t="n">
        <v>1</v>
      </c>
      <c r="S1081" s="8" t="n">
        <v>1</v>
      </c>
      <c r="T1081" s="8" t="n">
        <v>0</v>
      </c>
      <c r="U1081" s="8" t="n">
        <v>0</v>
      </c>
      <c r="V1081" s="8" t="n">
        <v>0</v>
      </c>
      <c r="W1081" s="8" t="n">
        <v>0</v>
      </c>
      <c r="X1081" s="8" t="n">
        <v>0</v>
      </c>
      <c r="Y1081" s="8" t="inlineStr">
        <is>
          <t>BB plays #9 (1 RBI B Crandell scores), #21; K_L play #30; R: B2 #23 catcher E by A Kund; note: PH T Veith took B Michaud slot in B3 (no lineup note)</t>
        </is>
      </c>
    </row>
    <row r="1082" ht="15.75" customHeight="1" s="35">
      <c r="A1082" s="8" t="inlineStr">
        <is>
          <t>2026-03-25_MDVR_at_STHR</t>
        </is>
      </c>
      <c r="B1082" s="2" t="n">
        <v>46106</v>
      </c>
      <c r="C1082" s="8" t="inlineStr">
        <is>
          <t>MDVR</t>
        </is>
      </c>
      <c r="D1082" s="8" t="inlineStr">
        <is>
          <t>STHR</t>
        </is>
      </c>
      <c r="E1082" s="8" t="inlineStr">
        <is>
          <t>S Lopez</t>
        </is>
      </c>
      <c r="F1082" s="8" t="n">
        <v>5</v>
      </c>
      <c r="G1082" s="8" t="n">
        <v>4</v>
      </c>
      <c r="H1082" s="8" t="n">
        <v>2</v>
      </c>
      <c r="I1082" s="8" t="n">
        <v>2</v>
      </c>
      <c r="J1082" s="8" t="n">
        <v>0</v>
      </c>
      <c r="K1082" s="8" t="n">
        <v>0</v>
      </c>
      <c r="L1082" s="8" t="n">
        <v>0</v>
      </c>
      <c r="M1082" s="8" t="n">
        <v>1</v>
      </c>
      <c r="N1082" s="8" t="n">
        <v>0</v>
      </c>
      <c r="O1082" s="8" t="n">
        <v>1</v>
      </c>
      <c r="P1082" s="8" t="n">
        <v>0</v>
      </c>
      <c r="Q1082" s="8" t="n">
        <v>1</v>
      </c>
      <c r="R1082" s="8" t="n">
        <v>3</v>
      </c>
      <c r="S1082" s="8" t="n">
        <v>3</v>
      </c>
      <c r="T1082" s="8" t="n">
        <v>0</v>
      </c>
      <c r="U1082" s="8" t="n">
        <v>0</v>
      </c>
      <c r="V1082" s="8" t="n">
        <v>0</v>
      </c>
      <c r="W1082" s="8" t="n">
        <v>0</v>
      </c>
      <c r="X1082" s="8" t="n">
        <v>0</v>
      </c>
      <c r="Y1082" s="8" t="inlineStr">
        <is>
          <t>ROE play #10 (no H); BB play #22; 1B plays #31 (1 RBI C Parks scores), #58 (2 RBI T Veith+T Evan score); K_S play #44; R: B2 #25 WP, B2 #34 G Perkins SAC fly, B4 #61 G Perkins 1B</t>
        </is>
      </c>
    </row>
    <row r="1083" ht="15.75" customHeight="1" s="35">
      <c r="A1083" s="8" t="inlineStr">
        <is>
          <t>2026-03-25_MDVR_at_STHR</t>
        </is>
      </c>
      <c r="B1083" s="2" t="n">
        <v>46106</v>
      </c>
      <c r="C1083" s="8" t="inlineStr">
        <is>
          <t>MDVR</t>
        </is>
      </c>
      <c r="D1083" s="8" t="inlineStr">
        <is>
          <t>STHR</t>
        </is>
      </c>
      <c r="E1083" s="8" t="inlineStr">
        <is>
          <t>G Bowen</t>
        </is>
      </c>
      <c r="F1083" s="8" t="n">
        <v>4</v>
      </c>
      <c r="G1083" s="8" t="n">
        <v>2</v>
      </c>
      <c r="H1083" s="8" t="n">
        <v>1</v>
      </c>
      <c r="I1083" s="8" t="n">
        <v>1</v>
      </c>
      <c r="J1083" s="8" t="n">
        <v>0</v>
      </c>
      <c r="K1083" s="8" t="n">
        <v>0</v>
      </c>
      <c r="L1083" s="8" t="n">
        <v>0</v>
      </c>
      <c r="M1083" s="8" t="n">
        <v>1</v>
      </c>
      <c r="N1083" s="8" t="n">
        <v>1</v>
      </c>
      <c r="O1083" s="8" t="n">
        <v>1</v>
      </c>
      <c r="P1083" s="8" t="n">
        <v>1</v>
      </c>
      <c r="Q1083" s="8" t="n">
        <v>0</v>
      </c>
      <c r="R1083" s="8" t="n">
        <v>2</v>
      </c>
      <c r="S1083" s="8" t="n">
        <v>1</v>
      </c>
      <c r="T1083" s="8" t="n">
        <v>0</v>
      </c>
      <c r="U1083" s="8" t="n">
        <v>0</v>
      </c>
      <c r="V1083" s="8" t="n">
        <v>0</v>
      </c>
      <c r="W1083" s="8" t="n">
        <v>0</v>
      </c>
      <c r="X1083" s="8" t="n">
        <v>0</v>
      </c>
      <c r="Y1083" s="8" t="inlineStr">
        <is>
          <t>BB play #23; HBP play #45; K_L play #11; 1B play #32 (1 RBI N Simmons scores); R: B2 #26 J Dunkerly BB, B2 #35 J Dunkerly 1B; note: G Godfrey took G Bowen slot in B4 (no lineup note)</t>
        </is>
      </c>
    </row>
    <row r="1084" ht="15.75" customHeight="1" s="35">
      <c r="A1084" s="8" t="inlineStr">
        <is>
          <t>2026-03-25_MDVR_at_STHR</t>
        </is>
      </c>
      <c r="B1084" s="2" t="n">
        <v>46106</v>
      </c>
      <c r="C1084" s="8" t="inlineStr">
        <is>
          <t>MDVR</t>
        </is>
      </c>
      <c r="D1084" s="8" t="inlineStr">
        <is>
          <t>STHR</t>
        </is>
      </c>
      <c r="E1084" s="8" t="inlineStr">
        <is>
          <t>G Colhoun</t>
        </is>
      </c>
      <c r="F1084" s="8" t="n">
        <v>5</v>
      </c>
      <c r="G1084" s="8" t="n">
        <v>3</v>
      </c>
      <c r="H1084" s="8" t="n">
        <v>1</v>
      </c>
      <c r="I1084" s="8" t="n">
        <v>1</v>
      </c>
      <c r="J1084" s="8" t="n">
        <v>0</v>
      </c>
      <c r="K1084" s="8" t="n">
        <v>0</v>
      </c>
      <c r="L1084" s="8" t="n">
        <v>0</v>
      </c>
      <c r="M1084" s="8" t="n">
        <v>1</v>
      </c>
      <c r="N1084" s="8" t="n">
        <v>1</v>
      </c>
      <c r="O1084" s="8" t="n">
        <v>1</v>
      </c>
      <c r="P1084" s="8" t="n">
        <v>0</v>
      </c>
      <c r="Q1084" s="8" t="n">
        <v>1</v>
      </c>
      <c r="R1084" s="8" t="n">
        <v>2</v>
      </c>
      <c r="S1084" s="8" t="n">
        <v>2</v>
      </c>
      <c r="T1084" s="8" t="n">
        <v>0</v>
      </c>
      <c r="U1084" s="8" t="n">
        <v>0</v>
      </c>
      <c r="V1084" s="8" t="n">
        <v>0</v>
      </c>
      <c r="W1084" s="8" t="n">
        <v>0</v>
      </c>
      <c r="X1084" s="8" t="n">
        <v>0</v>
      </c>
      <c r="Y1084" s="8" t="inlineStr">
        <is>
          <t>BB play #12 (1 RBI N Youmans scores); HBP play #24; 1B play #33 (1 RBI T Evan scores); K_S play #60; R: B2 #27 C Parks ROE, B2 #37 WP</t>
        </is>
      </c>
    </row>
    <row r="1085" ht="15.75" customHeight="1" s="35">
      <c r="A1085" s="8" t="inlineStr">
        <is>
          <t>2026-03-25_MDVR_at_STHR</t>
        </is>
      </c>
      <c r="B1085" s="2" t="n">
        <v>46106</v>
      </c>
      <c r="C1085" s="8" t="inlineStr">
        <is>
          <t>MDVR</t>
        </is>
      </c>
      <c r="D1085" s="8" t="inlineStr">
        <is>
          <t>STHR</t>
        </is>
      </c>
      <c r="E1085" s="8" t="inlineStr">
        <is>
          <t>C Perkins</t>
        </is>
      </c>
      <c r="F1085" s="8" t="n">
        <v>2</v>
      </c>
      <c r="G1085" s="8" t="n">
        <v>1</v>
      </c>
      <c r="H1085" s="8" t="n">
        <v>0</v>
      </c>
      <c r="I1085" s="8" t="n">
        <v>0</v>
      </c>
      <c r="J1085" s="8" t="n">
        <v>0</v>
      </c>
      <c r="K1085" s="8" t="n">
        <v>0</v>
      </c>
      <c r="L1085" s="8" t="n">
        <v>0</v>
      </c>
      <c r="M1085" s="8" t="n">
        <v>1</v>
      </c>
      <c r="N1085" s="8" t="n">
        <v>0</v>
      </c>
      <c r="O1085" s="8" t="n">
        <v>0</v>
      </c>
      <c r="P1085" s="8" t="n">
        <v>0</v>
      </c>
      <c r="Q1085" s="8" t="n">
        <v>0</v>
      </c>
      <c r="R1085" s="8" t="n">
        <v>1</v>
      </c>
      <c r="S1085" s="8" t="n">
        <v>0</v>
      </c>
      <c r="T1085" s="8" t="n">
        <v>0</v>
      </c>
      <c r="U1085" s="8" t="n">
        <v>0</v>
      </c>
      <c r="V1085" s="8" t="n">
        <v>0</v>
      </c>
      <c r="W1085" s="8" t="n">
        <v>0</v>
      </c>
      <c r="X1085" s="8" t="n">
        <v>0</v>
      </c>
      <c r="Y1085" s="8" t="inlineStr">
        <is>
          <t>FO play #13; BB play #25; R: B2 #28 N Simmons BB; removed play #34 (G Perkins PH)</t>
        </is>
      </c>
    </row>
    <row r="1086" ht="15.75" customHeight="1" s="35">
      <c r="A1086" s="8" t="inlineStr">
        <is>
          <t>2026-03-25_MDVR_at_STHR</t>
        </is>
      </c>
      <c r="B1086" s="2" t="n">
        <v>46106</v>
      </c>
      <c r="C1086" s="8" t="inlineStr">
        <is>
          <t>MDVR</t>
        </is>
      </c>
      <c r="D1086" s="8" t="inlineStr">
        <is>
          <t>STHR</t>
        </is>
      </c>
      <c r="E1086" s="8" t="inlineStr">
        <is>
          <t>J Dunkerly</t>
        </is>
      </c>
      <c r="F1086" s="8" t="n">
        <v>4</v>
      </c>
      <c r="G1086" s="8" t="n">
        <v>3</v>
      </c>
      <c r="H1086" s="8" t="n">
        <v>3</v>
      </c>
      <c r="I1086" s="8" t="n">
        <v>3</v>
      </c>
      <c r="J1086" s="8" t="n">
        <v>0</v>
      </c>
      <c r="K1086" s="8" t="n">
        <v>0</v>
      </c>
      <c r="L1086" s="8" t="n">
        <v>0</v>
      </c>
      <c r="M1086" s="8" t="n">
        <v>1</v>
      </c>
      <c r="N1086" s="8" t="n">
        <v>0</v>
      </c>
      <c r="O1086" s="8" t="n">
        <v>0</v>
      </c>
      <c r="P1086" s="8" t="n">
        <v>0</v>
      </c>
      <c r="Q1086" s="8" t="n">
        <v>0</v>
      </c>
      <c r="R1086" s="8" t="n">
        <v>3</v>
      </c>
      <c r="S1086" s="8" t="n">
        <v>3</v>
      </c>
      <c r="T1086" s="8" t="n">
        <v>0</v>
      </c>
      <c r="U1086" s="8" t="n">
        <v>0</v>
      </c>
      <c r="V1086" s="8" t="n">
        <v>0</v>
      </c>
      <c r="W1086" s="8" t="n">
        <v>0</v>
      </c>
      <c r="X1086" s="8" t="n">
        <v>0</v>
      </c>
      <c r="Y1086" s="8" t="inlineStr">
        <is>
          <t>PH for B Crandell (play #26 lineup note); BB play #26 (1 RBI G Bowen scores); 1B plays #35 (1 RBI G Bowen scores), #53, #62 (1 RBI G Perkins scores); R: B2 #29 WP, B4 #57 T Veith ROE, B4 #63 C Parks 1B</t>
        </is>
      </c>
    </row>
    <row r="1087" ht="15.75" customHeight="1" s="35">
      <c r="A1087" s="8" t="inlineStr">
        <is>
          <t>2026-03-25_MDVR_at_STHR</t>
        </is>
      </c>
      <c r="B1087" s="2" t="n">
        <v>46106</v>
      </c>
      <c r="C1087" s="8" t="inlineStr">
        <is>
          <t>MDVR</t>
        </is>
      </c>
      <c r="D1087" s="8" t="inlineStr">
        <is>
          <t>STHR</t>
        </is>
      </c>
      <c r="E1087" s="8" t="inlineStr">
        <is>
          <t>N Simmons</t>
        </is>
      </c>
      <c r="F1087" s="8" t="n">
        <v>4</v>
      </c>
      <c r="G1087" s="8" t="n">
        <v>2</v>
      </c>
      <c r="H1087" s="8" t="n">
        <v>0</v>
      </c>
      <c r="I1087" s="8" t="n">
        <v>0</v>
      </c>
      <c r="J1087" s="8" t="n">
        <v>0</v>
      </c>
      <c r="K1087" s="8" t="n">
        <v>0</v>
      </c>
      <c r="L1087" s="8" t="n">
        <v>0</v>
      </c>
      <c r="M1087" s="8" t="n">
        <v>2</v>
      </c>
      <c r="N1087" s="8" t="n">
        <v>0</v>
      </c>
      <c r="O1087" s="8" t="n">
        <v>1</v>
      </c>
      <c r="P1087" s="8" t="n">
        <v>0</v>
      </c>
      <c r="Q1087" s="8" t="n">
        <v>1</v>
      </c>
      <c r="R1087" s="8" t="n">
        <v>2</v>
      </c>
      <c r="S1087" s="8" t="n">
        <v>1</v>
      </c>
      <c r="T1087" s="8" t="n">
        <v>0</v>
      </c>
      <c r="U1087" s="8" t="n">
        <v>0</v>
      </c>
      <c r="V1087" s="8" t="n">
        <v>0</v>
      </c>
      <c r="W1087" s="8" t="n">
        <v>0</v>
      </c>
      <c r="X1087" s="8" t="n">
        <v>0</v>
      </c>
      <c r="Y1087" s="8" t="inlineStr">
        <is>
          <t>PH for G Crandell (play #28 lineup note); BB plays #28 (1 RBI C Perkins scores), #37; K_S play #55; ROE play #64 (no H); R: B2 #32 G Bowen 1B, B4 #66 WP</t>
        </is>
      </c>
    </row>
    <row r="1088" ht="15.75" customHeight="1" s="35">
      <c r="A1088" s="8" t="inlineStr">
        <is>
          <t>2026-03-25_MDVR_at_STHR</t>
        </is>
      </c>
      <c r="B1088" s="2" t="n">
        <v>46106</v>
      </c>
      <c r="C1088" s="8" t="inlineStr">
        <is>
          <t>MDVR</t>
        </is>
      </c>
      <c r="D1088" s="8" t="inlineStr">
        <is>
          <t>STHR</t>
        </is>
      </c>
      <c r="E1088" s="8" t="inlineStr">
        <is>
          <t>T Evan</t>
        </is>
      </c>
      <c r="F1088" s="8" t="n">
        <v>4</v>
      </c>
      <c r="G1088" s="8" t="n">
        <v>1</v>
      </c>
      <c r="H1088" s="8" t="n">
        <v>0</v>
      </c>
      <c r="I1088" s="8" t="n">
        <v>0</v>
      </c>
      <c r="J1088" s="8" t="n">
        <v>0</v>
      </c>
      <c r="K1088" s="8" t="n">
        <v>0</v>
      </c>
      <c r="L1088" s="8" t="n">
        <v>0</v>
      </c>
      <c r="M1088" s="8" t="n">
        <v>3</v>
      </c>
      <c r="N1088" s="8" t="n">
        <v>0</v>
      </c>
      <c r="O1088" s="8" t="n">
        <v>1</v>
      </c>
      <c r="P1088" s="8" t="n">
        <v>0</v>
      </c>
      <c r="Q1088" s="8" t="n">
        <v>1</v>
      </c>
      <c r="R1088" s="8" t="n">
        <v>2</v>
      </c>
      <c r="S1088" s="8" t="n">
        <v>0</v>
      </c>
      <c r="T1088" s="8" t="n">
        <v>0</v>
      </c>
      <c r="U1088" s="8" t="n">
        <v>0</v>
      </c>
      <c r="V1088" s="8" t="n">
        <v>0</v>
      </c>
      <c r="W1088" s="8" t="n">
        <v>0</v>
      </c>
      <c r="X1088" s="8" t="n">
        <v>0</v>
      </c>
      <c r="Y1088" s="8" t="inlineStr">
        <is>
          <t>PH for N Youmans (play #29 lineup note); BB plays #29, #56, #65; K_S play #38; R: B2 #33 G Colhoun 1B, B4 #58 S Lopez 1B; also STHR pitcher T5 (inferred, Flag #2)</t>
        </is>
      </c>
    </row>
    <row r="1089" ht="15.75" customHeight="1" s="35">
      <c r="A1089" s="8" t="inlineStr">
        <is>
          <t>2026-03-25_MDVR_at_STHR</t>
        </is>
      </c>
      <c r="B1089" s="2" t="n">
        <v>46106</v>
      </c>
      <c r="C1089" s="8" t="inlineStr">
        <is>
          <t>MDVR</t>
        </is>
      </c>
      <c r="D1089" s="8" t="inlineStr">
        <is>
          <t>STHR</t>
        </is>
      </c>
      <c r="E1089" s="8" t="inlineStr">
        <is>
          <t>T Veith</t>
        </is>
      </c>
      <c r="F1089" s="8" t="n">
        <v>3</v>
      </c>
      <c r="G1089" s="8" t="n">
        <v>3</v>
      </c>
      <c r="H1089" s="8" t="n">
        <v>0</v>
      </c>
      <c r="I1089" s="8" t="n">
        <v>0</v>
      </c>
      <c r="J1089" s="8" t="n">
        <v>0</v>
      </c>
      <c r="K1089" s="8" t="n">
        <v>0</v>
      </c>
      <c r="L1089" s="8" t="n">
        <v>0</v>
      </c>
      <c r="M1089" s="8" t="n">
        <v>0</v>
      </c>
      <c r="N1089" s="8" t="n">
        <v>0</v>
      </c>
      <c r="O1089" s="8" t="n">
        <v>2</v>
      </c>
      <c r="P1089" s="8" t="n">
        <v>1</v>
      </c>
      <c r="Q1089" s="8" t="n">
        <v>1</v>
      </c>
      <c r="R1089" s="8" t="n">
        <v>1</v>
      </c>
      <c r="S1089" s="8" t="n">
        <v>0</v>
      </c>
      <c r="T1089" s="8" t="n">
        <v>0</v>
      </c>
      <c r="U1089" s="8" t="n">
        <v>0</v>
      </c>
      <c r="V1089" s="8" t="n">
        <v>0</v>
      </c>
      <c r="W1089" s="8" t="n">
        <v>0</v>
      </c>
      <c r="X1089" s="8" t="n">
        <v>0</v>
      </c>
      <c r="Y1089" s="8" t="inlineStr">
        <is>
          <t>Entered B3 without lineup note; K_S play #43; ROE play #57 (no H; C Parks+J Dunkerly score on E — no RBI); K_L play #66; R: B4 #58 S Lopez 1B</t>
        </is>
      </c>
    </row>
    <row r="1090" ht="15.75" customHeight="1" s="35">
      <c r="A1090" s="8" t="inlineStr">
        <is>
          <t>2026-03-25_MDVR_at_STHR</t>
        </is>
      </c>
      <c r="B1090" s="2" t="n">
        <v>46106</v>
      </c>
      <c r="C1090" s="8" t="inlineStr">
        <is>
          <t>MDVR</t>
        </is>
      </c>
      <c r="D1090" s="8" t="inlineStr">
        <is>
          <t>STHR</t>
        </is>
      </c>
      <c r="E1090" s="8" t="inlineStr">
        <is>
          <t>G Perkins</t>
        </is>
      </c>
      <c r="F1090" s="8" t="n">
        <v>3</v>
      </c>
      <c r="G1090" s="8" t="n">
        <v>1</v>
      </c>
      <c r="H1090" s="8" t="n">
        <v>1</v>
      </c>
      <c r="I1090" s="8" t="n">
        <v>1</v>
      </c>
      <c r="J1090" s="8" t="n">
        <v>0</v>
      </c>
      <c r="K1090" s="8" t="n">
        <v>0</v>
      </c>
      <c r="L1090" s="8" t="n">
        <v>0</v>
      </c>
      <c r="M1090" s="8" t="n">
        <v>1</v>
      </c>
      <c r="N1090" s="8" t="n">
        <v>0</v>
      </c>
      <c r="O1090" s="8" t="n">
        <v>0</v>
      </c>
      <c r="P1090" s="8" t="n">
        <v>0</v>
      </c>
      <c r="Q1090" s="8" t="n">
        <v>0</v>
      </c>
      <c r="R1090" s="8" t="n">
        <v>2</v>
      </c>
      <c r="S1090" s="8" t="n">
        <v>3</v>
      </c>
      <c r="T1090" s="8" t="n">
        <v>0</v>
      </c>
      <c r="U1090" s="8" t="n">
        <v>0</v>
      </c>
      <c r="V1090" s="8" t="n">
        <v>0</v>
      </c>
      <c r="W1090" s="8" t="n">
        <v>0</v>
      </c>
      <c r="X1090" s="8" t="n">
        <v>0</v>
      </c>
      <c r="Y1090" s="8" t="inlineStr">
        <is>
          <t>PH for C Perkins (play #34 lineup note); SAC fly play #34 (1 RBI S Lopez scores; AB=0); BB play #52; 1B play #61 (2 RBI S Lopez+G Godfrey score); R: B4 #54 C Parks ROE, B4 #62 J Dunkerly 1B</t>
        </is>
      </c>
    </row>
    <row r="1091" ht="15.75" customHeight="1" s="35">
      <c r="A1091" s="8" t="inlineStr">
        <is>
          <t>2026-03-25_MDVR_at_STHR</t>
        </is>
      </c>
      <c r="B1091" s="2" t="n">
        <v>46106</v>
      </c>
      <c r="C1091" s="8" t="inlineStr">
        <is>
          <t>MDVR</t>
        </is>
      </c>
      <c r="D1091" s="8" t="inlineStr">
        <is>
          <t>STHR</t>
        </is>
      </c>
      <c r="E1091" s="8" t="inlineStr">
        <is>
          <t>G Godfrey</t>
        </is>
      </c>
      <c r="F1091" s="8" t="n">
        <v>1</v>
      </c>
      <c r="G1091" s="8" t="n">
        <v>0</v>
      </c>
      <c r="H1091" s="8" t="n">
        <v>0</v>
      </c>
      <c r="I1091" s="8" t="n">
        <v>0</v>
      </c>
      <c r="J1091" s="8" t="n">
        <v>0</v>
      </c>
      <c r="K1091" s="8" t="n">
        <v>0</v>
      </c>
      <c r="L1091" s="8" t="n">
        <v>0</v>
      </c>
      <c r="M1091" s="8" t="n">
        <v>1</v>
      </c>
      <c r="N1091" s="8" t="n">
        <v>0</v>
      </c>
      <c r="O1091" s="8" t="n">
        <v>0</v>
      </c>
      <c r="P1091" s="8" t="n">
        <v>0</v>
      </c>
      <c r="Q1091" s="8" t="n">
        <v>0</v>
      </c>
      <c r="R1091" s="8" t="n">
        <v>1</v>
      </c>
      <c r="S1091" s="8" t="n">
        <v>0</v>
      </c>
      <c r="T1091" s="8" t="n">
        <v>0</v>
      </c>
      <c r="U1091" s="8" t="n">
        <v>0</v>
      </c>
      <c r="V1091" s="8" t="n">
        <v>0</v>
      </c>
      <c r="W1091" s="8" t="n">
        <v>0</v>
      </c>
      <c r="X1091" s="8" t="n">
        <v>0</v>
      </c>
      <c r="Y1091" s="8" t="inlineStr">
        <is>
          <t>Entered B4 without lineup note (replaced G Bowen slot); BB play #59; R: B4 #61 G Perkins 1B</t>
        </is>
      </c>
    </row>
    <row r="1092" ht="15.75" customHeight="1" s="35">
      <c r="A1092" s="8" t="inlineStr">
        <is>
          <t>2026-03-25_MDVR_at_STHR</t>
        </is>
      </c>
      <c r="B1092" s="2" t="n">
        <v>46106</v>
      </c>
      <c r="C1092" s="8" t="inlineStr">
        <is>
          <t>STHR</t>
        </is>
      </c>
      <c r="D1092" s="8" t="inlineStr">
        <is>
          <t>MDVR</t>
        </is>
      </c>
      <c r="E1092" s="8" t="inlineStr">
        <is>
          <t>K Chan</t>
        </is>
      </c>
      <c r="F1092" s="8" t="n">
        <v>3</v>
      </c>
      <c r="G1092" s="8" t="n">
        <v>3</v>
      </c>
      <c r="H1092" s="8" t="n">
        <v>0</v>
      </c>
      <c r="I1092" s="8" t="n">
        <v>0</v>
      </c>
      <c r="J1092" s="8" t="n">
        <v>0</v>
      </c>
      <c r="K1092" s="8" t="n">
        <v>0</v>
      </c>
      <c r="L1092" s="8" t="n">
        <v>0</v>
      </c>
      <c r="M1092" s="8" t="n">
        <v>0</v>
      </c>
      <c r="N1092" s="8" t="n">
        <v>0</v>
      </c>
      <c r="O1092" s="8" t="n">
        <v>3</v>
      </c>
      <c r="P1092" s="8" t="n">
        <v>3</v>
      </c>
      <c r="Q1092" s="8" t="n">
        <v>0</v>
      </c>
      <c r="R1092" s="8" t="n">
        <v>0</v>
      </c>
      <c r="S1092" s="8" t="n">
        <v>0</v>
      </c>
      <c r="T1092" s="8" t="n">
        <v>0</v>
      </c>
      <c r="U1092" s="8" t="n">
        <v>0</v>
      </c>
      <c r="V1092" s="8" t="n">
        <v>0</v>
      </c>
      <c r="W1092" s="8" t="n">
        <v>0</v>
      </c>
      <c r="X1092" s="8" t="n">
        <v>0</v>
      </c>
      <c r="Y1092" s="8" t="inlineStr">
        <is>
          <t>K_L plays #1 (T1), #41 (T3), #69 (T5); also MDVR 2B/SS (errors plays #10, #64)</t>
        </is>
      </c>
    </row>
    <row r="1093" ht="15.75" customHeight="1" s="35">
      <c r="A1093" s="8" t="inlineStr">
        <is>
          <t>2026-03-25_MDVR_at_STHR</t>
        </is>
      </c>
      <c r="B1093" s="2" t="n">
        <v>46106</v>
      </c>
      <c r="C1093" s="8" t="inlineStr">
        <is>
          <t>STHR</t>
        </is>
      </c>
      <c r="D1093" s="8" t="inlineStr">
        <is>
          <t>MDVR</t>
        </is>
      </c>
      <c r="E1093" s="8" t="inlineStr">
        <is>
          <t>A Kund</t>
        </is>
      </c>
      <c r="F1093" s="8" t="n">
        <v>2</v>
      </c>
      <c r="G1093" s="8" t="n">
        <v>2</v>
      </c>
      <c r="H1093" s="8" t="n">
        <v>0</v>
      </c>
      <c r="I1093" s="8" t="n">
        <v>0</v>
      </c>
      <c r="J1093" s="8" t="n">
        <v>0</v>
      </c>
      <c r="K1093" s="8" t="n">
        <v>0</v>
      </c>
      <c r="L1093" s="8" t="n">
        <v>0</v>
      </c>
      <c r="M1093" s="8" t="n">
        <v>0</v>
      </c>
      <c r="N1093" s="8" t="n">
        <v>0</v>
      </c>
      <c r="O1093" s="8" t="n">
        <v>2</v>
      </c>
      <c r="P1093" s="8" t="n">
        <v>0</v>
      </c>
      <c r="Q1093" s="8" t="n">
        <v>2</v>
      </c>
      <c r="R1093" s="8" t="n">
        <v>0</v>
      </c>
      <c r="S1093" s="8" t="n">
        <v>0</v>
      </c>
      <c r="T1093" s="8" t="n">
        <v>0</v>
      </c>
      <c r="U1093" s="8" t="n">
        <v>0</v>
      </c>
      <c r="V1093" s="8" t="n">
        <v>0</v>
      </c>
      <c r="W1093" s="8" t="n">
        <v>0</v>
      </c>
      <c r="X1093" s="8" t="n">
        <v>0</v>
      </c>
      <c r="Y1093" s="8" t="inlineStr">
        <is>
          <t>K_S plays #2 (T1), #42 (T3); also MDVR catcher (E-2 play #23)</t>
        </is>
      </c>
    </row>
    <row r="1094" ht="15.75" customHeight="1" s="35">
      <c r="A1094" s="8" t="inlineStr">
        <is>
          <t>2026-03-25_MDVR_at_STHR</t>
        </is>
      </c>
      <c r="B1094" s="2" t="n">
        <v>46106</v>
      </c>
      <c r="C1094" s="8" t="inlineStr">
        <is>
          <t>STHR</t>
        </is>
      </c>
      <c r="D1094" s="8" t="inlineStr">
        <is>
          <t>MDVR</t>
        </is>
      </c>
      <c r="E1094" s="8" t="inlineStr">
        <is>
          <t>J Ahumada-Murillo</t>
        </is>
      </c>
      <c r="F1094" s="8" t="n">
        <v>2</v>
      </c>
      <c r="G1094" s="8" t="n">
        <v>1</v>
      </c>
      <c r="H1094" s="8" t="n">
        <v>0</v>
      </c>
      <c r="I1094" s="8" t="n">
        <v>0</v>
      </c>
      <c r="J1094" s="8" t="n">
        <v>0</v>
      </c>
      <c r="K1094" s="8" t="n">
        <v>0</v>
      </c>
      <c r="L1094" s="8" t="n">
        <v>0</v>
      </c>
      <c r="M1094" s="8" t="n">
        <v>0</v>
      </c>
      <c r="N1094" s="8" t="n">
        <v>1</v>
      </c>
      <c r="O1094" s="8" t="n">
        <v>1</v>
      </c>
      <c r="P1094" s="8" t="n">
        <v>0</v>
      </c>
      <c r="Q1094" s="8" t="n">
        <v>1</v>
      </c>
      <c r="R1094" s="8" t="n">
        <v>0</v>
      </c>
      <c r="S1094" s="8" t="n">
        <v>0</v>
      </c>
      <c r="T1094" s="8" t="n">
        <v>0</v>
      </c>
      <c r="U1094" s="8" t="n">
        <v>0</v>
      </c>
      <c r="V1094" s="8" t="n">
        <v>0</v>
      </c>
      <c r="W1094" s="8" t="n">
        <v>0</v>
      </c>
      <c r="X1094" s="8" t="n">
        <v>0</v>
      </c>
      <c r="Y1094" s="8" t="inlineStr">
        <is>
          <t>HBP play #3 (T1, runner out on S Roque FC #4); K_S play #47 (T4)</t>
        </is>
      </c>
    </row>
    <row r="1095" ht="15.75" customHeight="1" s="35">
      <c r="A1095" s="8" t="inlineStr">
        <is>
          <t>2026-03-25_MDVR_at_STHR</t>
        </is>
      </c>
      <c r="B1095" s="2" t="n">
        <v>46106</v>
      </c>
      <c r="C1095" s="8" t="inlineStr">
        <is>
          <t>STHR</t>
        </is>
      </c>
      <c r="D1095" s="8" t="inlineStr">
        <is>
          <t>MDVR</t>
        </is>
      </c>
      <c r="E1095" s="8" t="inlineStr">
        <is>
          <t>S Roque</t>
        </is>
      </c>
      <c r="F1095" s="8" t="n">
        <v>2</v>
      </c>
      <c r="G1095" s="8" t="n">
        <v>2</v>
      </c>
      <c r="H1095" s="8" t="n">
        <v>0</v>
      </c>
      <c r="I1095" s="8" t="n">
        <v>0</v>
      </c>
      <c r="J1095" s="8" t="n">
        <v>0</v>
      </c>
      <c r="K1095" s="8" t="n">
        <v>0</v>
      </c>
      <c r="L1095" s="8" t="n">
        <v>0</v>
      </c>
      <c r="M1095" s="8" t="n">
        <v>0</v>
      </c>
      <c r="N1095" s="8" t="n">
        <v>0</v>
      </c>
      <c r="O1095" s="8" t="n">
        <v>1</v>
      </c>
      <c r="P1095" s="8" t="n">
        <v>1</v>
      </c>
      <c r="Q1095" s="8" t="n">
        <v>0</v>
      </c>
      <c r="R1095" s="8" t="n">
        <v>0</v>
      </c>
      <c r="S1095" s="8" t="n">
        <v>0</v>
      </c>
      <c r="T1095" s="8" t="n">
        <v>0</v>
      </c>
      <c r="U1095" s="8" t="n">
        <v>0</v>
      </c>
      <c r="V1095" s="8" t="n">
        <v>0</v>
      </c>
      <c r="W1095" s="8" t="n">
        <v>0</v>
      </c>
      <c r="X1095" s="8" t="n">
        <v>1</v>
      </c>
      <c r="Y1095" s="8" t="inlineStr">
        <is>
          <t>FC play #4 (J Ahumada-Murillo runner out); K_L play #48 (T4); also MDVR starting pitcher (inferred, Flag #2)</t>
        </is>
      </c>
    </row>
    <row r="1096" ht="15.75" customHeight="1" s="35">
      <c r="A1096" s="8" t="inlineStr">
        <is>
          <t>2026-03-25_MDVR_at_STHR</t>
        </is>
      </c>
      <c r="B1096" s="2" t="n">
        <v>46106</v>
      </c>
      <c r="C1096" s="8" t="inlineStr">
        <is>
          <t>STHR</t>
        </is>
      </c>
      <c r="D1096" s="8" t="inlineStr">
        <is>
          <t>MDVR</t>
        </is>
      </c>
      <c r="E1096" s="8" t="inlineStr">
        <is>
          <t>R Austin</t>
        </is>
      </c>
      <c r="F1096" s="8" t="n">
        <v>2</v>
      </c>
      <c r="G1096" s="8" t="n">
        <v>2</v>
      </c>
      <c r="H1096" s="8" t="n">
        <v>0</v>
      </c>
      <c r="I1096" s="8" t="n">
        <v>0</v>
      </c>
      <c r="J1096" s="8" t="n">
        <v>0</v>
      </c>
      <c r="K1096" s="8" t="n">
        <v>0</v>
      </c>
      <c r="L1096" s="8" t="n">
        <v>0</v>
      </c>
      <c r="M1096" s="8" t="n">
        <v>0</v>
      </c>
      <c r="N1096" s="8" t="n">
        <v>0</v>
      </c>
      <c r="O1096" s="8" t="n">
        <v>2</v>
      </c>
      <c r="P1096" s="8" t="n">
        <v>0</v>
      </c>
      <c r="Q1096" s="8" t="n">
        <v>2</v>
      </c>
      <c r="R1096" s="8" t="n">
        <v>0</v>
      </c>
      <c r="S1096" s="8" t="n">
        <v>0</v>
      </c>
      <c r="T1096" s="8" t="n">
        <v>0</v>
      </c>
      <c r="U1096" s="8" t="n">
        <v>0</v>
      </c>
      <c r="V1096" s="8" t="n">
        <v>0</v>
      </c>
      <c r="W1096" s="8" t="n">
        <v>0</v>
      </c>
      <c r="X1096" s="8" t="n">
        <v>0</v>
      </c>
      <c r="Y1096" s="8" t="inlineStr">
        <is>
          <t>K_S play #14 (T2); K_S play #49 (T4, dropped 3rd strike — reaches on WP, K counted)</t>
        </is>
      </c>
    </row>
    <row r="1097" ht="15.75" customHeight="1" s="35">
      <c r="A1097" s="8" t="inlineStr">
        <is>
          <t>2026-03-25_MDVR_at_STHR</t>
        </is>
      </c>
      <c r="B1097" s="2" t="n">
        <v>46106</v>
      </c>
      <c r="C1097" s="8" t="inlineStr">
        <is>
          <t>STHR</t>
        </is>
      </c>
      <c r="D1097" s="8" t="inlineStr">
        <is>
          <t>MDVR</t>
        </is>
      </c>
      <c r="E1097" s="8" t="inlineStr">
        <is>
          <t>E Mundo</t>
        </is>
      </c>
      <c r="F1097" s="8" t="n">
        <v>2</v>
      </c>
      <c r="G1097" s="8" t="n">
        <v>1</v>
      </c>
      <c r="H1097" s="8" t="n">
        <v>0</v>
      </c>
      <c r="I1097" s="8" t="n">
        <v>0</v>
      </c>
      <c r="J1097" s="8" t="n">
        <v>0</v>
      </c>
      <c r="K1097" s="8" t="n">
        <v>0</v>
      </c>
      <c r="L1097" s="8" t="n">
        <v>0</v>
      </c>
      <c r="M1097" s="8" t="n">
        <v>1</v>
      </c>
      <c r="N1097" s="8" t="n">
        <v>0</v>
      </c>
      <c r="O1097" s="8" t="n">
        <v>0</v>
      </c>
      <c r="P1097" s="8" t="n">
        <v>0</v>
      </c>
      <c r="Q1097" s="8" t="n">
        <v>0</v>
      </c>
      <c r="R1097" s="8" t="n">
        <v>0</v>
      </c>
      <c r="S1097" s="8" t="n">
        <v>0</v>
      </c>
      <c r="T1097" s="8" t="n">
        <v>0</v>
      </c>
      <c r="U1097" s="8" t="n">
        <v>0</v>
      </c>
      <c r="V1097" s="8" t="n">
        <v>0</v>
      </c>
      <c r="W1097" s="8" t="n">
        <v>0</v>
      </c>
      <c r="X1097" s="8" t="n">
        <v>0</v>
      </c>
      <c r="Y1097" s="8" t="inlineStr">
        <is>
          <t>GO play #15 (T2); BB play #50 (T4); also MDVR pitcher (inferred, Flag #2; errors #7, #57)</t>
        </is>
      </c>
    </row>
    <row r="1098" ht="15.75" customHeight="1" s="35">
      <c r="A1098" s="8" t="inlineStr">
        <is>
          <t>2026-03-25_MDVR_at_STHR</t>
        </is>
      </c>
      <c r="B1098" s="2" t="n">
        <v>46106</v>
      </c>
      <c r="C1098" s="8" t="inlineStr">
        <is>
          <t>STHR</t>
        </is>
      </c>
      <c r="D1098" s="8" t="inlineStr">
        <is>
          <t>MDVR</t>
        </is>
      </c>
      <c r="E1098" s="8" t="inlineStr">
        <is>
          <t>L Dejesus</t>
        </is>
      </c>
      <c r="F1098" s="8" t="n">
        <v>2</v>
      </c>
      <c r="G1098" s="8" t="n">
        <v>2</v>
      </c>
      <c r="H1098" s="8" t="n">
        <v>0</v>
      </c>
      <c r="I1098" s="8" t="n">
        <v>0</v>
      </c>
      <c r="J1098" s="8" t="n">
        <v>0</v>
      </c>
      <c r="K1098" s="8" t="n">
        <v>0</v>
      </c>
      <c r="L1098" s="8" t="n">
        <v>0</v>
      </c>
      <c r="M1098" s="8" t="n">
        <v>0</v>
      </c>
      <c r="N1098" s="8" t="n">
        <v>0</v>
      </c>
      <c r="O1098" s="8" t="n">
        <v>2</v>
      </c>
      <c r="P1098" s="8" t="n">
        <v>0</v>
      </c>
      <c r="Q1098" s="8" t="n">
        <v>2</v>
      </c>
      <c r="R1098" s="8" t="n">
        <v>0</v>
      </c>
      <c r="S1098" s="8" t="n">
        <v>0</v>
      </c>
      <c r="T1098" s="8" t="n">
        <v>0</v>
      </c>
      <c r="U1098" s="8" t="n">
        <v>0</v>
      </c>
      <c r="V1098" s="8" t="n">
        <v>0</v>
      </c>
      <c r="W1098" s="8" t="n">
        <v>0</v>
      </c>
      <c r="X1098" s="8" t="n">
        <v>0</v>
      </c>
      <c r="Y1098" s="8" t="inlineStr">
        <is>
          <t>K_S plays #16 (T2), #51 (T4); also MDVR pitcher (inferred, Flag #2)</t>
        </is>
      </c>
    </row>
    <row r="1099" ht="15.75" customHeight="1" s="35">
      <c r="A1099" s="8" t="inlineStr">
        <is>
          <t>2026-03-25_MDVR_at_STHR</t>
        </is>
      </c>
      <c r="B1099" s="2" t="n">
        <v>46106</v>
      </c>
      <c r="C1099" s="8" t="inlineStr">
        <is>
          <t>STHR</t>
        </is>
      </c>
      <c r="D1099" s="8" t="inlineStr">
        <is>
          <t>MDVR</t>
        </is>
      </c>
      <c r="E1099" s="8" t="inlineStr">
        <is>
          <t>L Groff</t>
        </is>
      </c>
      <c r="F1099" s="8" t="n">
        <v>1</v>
      </c>
      <c r="G1099" s="8" t="n">
        <v>1</v>
      </c>
      <c r="H1099" s="8" t="n">
        <v>0</v>
      </c>
      <c r="I1099" s="8" t="n">
        <v>0</v>
      </c>
      <c r="J1099" s="8" t="n">
        <v>0</v>
      </c>
      <c r="K1099" s="8" t="n">
        <v>0</v>
      </c>
      <c r="L1099" s="8" t="n">
        <v>0</v>
      </c>
      <c r="M1099" s="8" t="n">
        <v>0</v>
      </c>
      <c r="N1099" s="8" t="n">
        <v>0</v>
      </c>
      <c r="O1099" s="8" t="n">
        <v>1</v>
      </c>
      <c r="P1099" s="8" t="n">
        <v>0</v>
      </c>
      <c r="Q1099" s="8" t="n">
        <v>1</v>
      </c>
      <c r="R1099" s="8" t="n">
        <v>0</v>
      </c>
      <c r="S1099" s="8" t="n">
        <v>0</v>
      </c>
      <c r="T1099" s="8" t="n">
        <v>0</v>
      </c>
      <c r="U1099" s="8" t="n">
        <v>0</v>
      </c>
      <c r="V1099" s="8" t="n">
        <v>0</v>
      </c>
      <c r="W1099" s="8" t="n">
        <v>0</v>
      </c>
      <c r="X1099" s="8" t="n">
        <v>0</v>
      </c>
      <c r="Y1099" s="8" t="inlineStr">
        <is>
          <t>K_S play #39 (T3) dropped 3rd strike — reaches on WP (K counted); replaced by L Mateso T5</t>
        </is>
      </c>
    </row>
    <row r="1100" ht="15.75" customHeight="1" s="35">
      <c r="A1100" s="8" t="inlineStr">
        <is>
          <t>2026-03-25_MDVR_at_STHR</t>
        </is>
      </c>
      <c r="B1100" s="2" t="n">
        <v>46106</v>
      </c>
      <c r="C1100" s="8" t="inlineStr">
        <is>
          <t>STHR</t>
        </is>
      </c>
      <c r="D1100" s="8" t="inlineStr">
        <is>
          <t>MDVR</t>
        </is>
      </c>
      <c r="E1100" s="8" t="inlineStr">
        <is>
          <t>C Campbell</t>
        </is>
      </c>
      <c r="F1100" s="8" t="n">
        <v>2</v>
      </c>
      <c r="G1100" s="8" t="n">
        <v>2</v>
      </c>
      <c r="H1100" s="8" t="n">
        <v>0</v>
      </c>
      <c r="I1100" s="8" t="n">
        <v>0</v>
      </c>
      <c r="J1100" s="8" t="n">
        <v>0</v>
      </c>
      <c r="K1100" s="8" t="n">
        <v>0</v>
      </c>
      <c r="L1100" s="8" t="n">
        <v>0</v>
      </c>
      <c r="M1100" s="8" t="n">
        <v>0</v>
      </c>
      <c r="N1100" s="8" t="n">
        <v>0</v>
      </c>
      <c r="O1100" s="8" t="n">
        <v>1</v>
      </c>
      <c r="P1100" s="8" t="n">
        <v>0</v>
      </c>
      <c r="Q1100" s="8" t="n">
        <v>1</v>
      </c>
      <c r="R1100" s="8" t="n">
        <v>0</v>
      </c>
      <c r="S1100" s="8" t="n">
        <v>0</v>
      </c>
      <c r="T1100" s="8" t="n">
        <v>0</v>
      </c>
      <c r="U1100" s="8" t="n">
        <v>0</v>
      </c>
      <c r="V1100" s="8" t="n">
        <v>0</v>
      </c>
      <c r="W1100" s="8" t="n">
        <v>0</v>
      </c>
      <c r="X1100" s="8" t="n">
        <v>0</v>
      </c>
      <c r="Y1100" s="8" t="inlineStr">
        <is>
          <t>K_S play #40 (T3); GO play #68 (T5, grounds out to 1B S Lopez)</t>
        </is>
      </c>
    </row>
    <row r="1101" ht="15.75" customHeight="1" s="35">
      <c r="A1101" s="8" t="inlineStr">
        <is>
          <t>2026-03-25_MDVR_at_STHR</t>
        </is>
      </c>
      <c r="B1101" s="2" t="n">
        <v>46106</v>
      </c>
      <c r="C1101" s="8" t="inlineStr">
        <is>
          <t>STHR</t>
        </is>
      </c>
      <c r="D1101" s="8" t="inlineStr">
        <is>
          <t>MDVR</t>
        </is>
      </c>
      <c r="E1101" s="8" t="inlineStr">
        <is>
          <t>L Mateso</t>
        </is>
      </c>
      <c r="F1101" s="8" t="n">
        <v>1</v>
      </c>
      <c r="G1101" s="8" t="n">
        <v>1</v>
      </c>
      <c r="H1101" s="8" t="n">
        <v>0</v>
      </c>
      <c r="I1101" s="8" t="n">
        <v>0</v>
      </c>
      <c r="J1101" s="8" t="n">
        <v>0</v>
      </c>
      <c r="K1101" s="8" t="n">
        <v>0</v>
      </c>
      <c r="L1101" s="8" t="n">
        <v>0</v>
      </c>
      <c r="M1101" s="8" t="n">
        <v>0</v>
      </c>
      <c r="N1101" s="8" t="n">
        <v>0</v>
      </c>
      <c r="O1101" s="8" t="n">
        <v>1</v>
      </c>
      <c r="P1101" s="8" t="n">
        <v>0</v>
      </c>
      <c r="Q1101" s="8" t="n">
        <v>1</v>
      </c>
      <c r="R1101" s="8" t="n">
        <v>0</v>
      </c>
      <c r="S1101" s="8" t="n">
        <v>0</v>
      </c>
      <c r="T1101" s="8" t="n">
        <v>0</v>
      </c>
      <c r="U1101" s="8" t="n">
        <v>0</v>
      </c>
      <c r="V1101" s="8" t="n">
        <v>0</v>
      </c>
      <c r="W1101" s="8" t="n">
        <v>0</v>
      </c>
      <c r="X1101" s="8" t="n">
        <v>0</v>
      </c>
      <c r="Y1101" s="8" t="inlineStr">
        <is>
          <t>PH for L Groff (lineup note play #67); K_S play #67</t>
        </is>
      </c>
    </row>
    <row r="1102" ht="15.75" customHeight="1" s="35">
      <c r="A1102" s="8" t="inlineStr">
        <is>
          <t>2026-03-14_NRTH_at_STHR</t>
        </is>
      </c>
      <c r="B1102" s="3" t="n">
        <v>46095</v>
      </c>
      <c r="C1102" s="8" t="inlineStr">
        <is>
          <t>Southern Varsity Bulldogs</t>
        </is>
      </c>
      <c r="D1102" s="8" t="inlineStr">
        <is>
          <t>NRTH</t>
        </is>
      </c>
      <c r="E1102" s="8" t="inlineStr">
        <is>
          <t>T Holson</t>
        </is>
      </c>
      <c r="F1102" s="8" t="n">
        <v>4</v>
      </c>
      <c r="G1102" s="8" t="n">
        <v>3</v>
      </c>
      <c r="H1102" s="8" t="n">
        <v>2</v>
      </c>
      <c r="I1102" s="8" t="n">
        <v>1</v>
      </c>
      <c r="J1102" s="8" t="n">
        <v>1</v>
      </c>
      <c r="K1102" s="8" t="n">
        <v>0</v>
      </c>
      <c r="L1102" s="8" t="n">
        <v>0</v>
      </c>
      <c r="M1102" s="8" t="n">
        <v>1</v>
      </c>
      <c r="N1102" s="8" t="n">
        <v>0</v>
      </c>
      <c r="O1102" s="8" t="n">
        <v>0</v>
      </c>
      <c r="P1102" s="8" t="n">
        <v>0</v>
      </c>
      <c r="Q1102" s="8" t="n">
        <v>0</v>
      </c>
      <c r="R1102" s="8" t="n">
        <v>4</v>
      </c>
      <c r="S1102" s="8" t="n">
        <v>2</v>
      </c>
      <c r="T1102" s="8" t="n">
        <v>1</v>
      </c>
      <c r="U1102" s="8" t="n">
        <v>0</v>
      </c>
      <c r="V1102" s="8" t="n">
        <v>0</v>
      </c>
      <c r="W1102" s="8" t="n">
        <v>0</v>
      </c>
      <c r="X1102" s="8" t="n">
        <v>0</v>
      </c>
      <c r="Y1102" s="8" t="inlineStr">
        <is>
          <t>R plays #5 #17 #36 #58; RBI plays #16 (2B) and #34 (1B — #3 scores); SB play #35</t>
        </is>
      </c>
    </row>
    <row r="1103" ht="15.75" customHeight="1" s="35">
      <c r="A1103" s="8" t="inlineStr">
        <is>
          <t>2026-03-14_NRTH_at_STHR</t>
        </is>
      </c>
      <c r="B1103" s="3" t="n">
        <v>46095</v>
      </c>
      <c r="C1103" s="8" t="inlineStr">
        <is>
          <t>Southern Varsity Bulldogs</t>
        </is>
      </c>
      <c r="D1103" s="8" t="inlineStr">
        <is>
          <t>NRTH</t>
        </is>
      </c>
      <c r="E1103" s="8" t="inlineStr">
        <is>
          <t>J Holson</t>
        </is>
      </c>
      <c r="F1103" s="8" t="n">
        <v>4</v>
      </c>
      <c r="G1103" s="8" t="n">
        <v>3</v>
      </c>
      <c r="H1103" s="8" t="n">
        <v>1</v>
      </c>
      <c r="I1103" s="8" t="n">
        <v>1</v>
      </c>
      <c r="J1103" s="8" t="n">
        <v>0</v>
      </c>
      <c r="K1103" s="8" t="n">
        <v>0</v>
      </c>
      <c r="L1103" s="8" t="n">
        <v>0</v>
      </c>
      <c r="M1103" s="8" t="n">
        <v>0</v>
      </c>
      <c r="N1103" s="8" t="n">
        <v>1</v>
      </c>
      <c r="O1103" s="8" t="n">
        <v>1</v>
      </c>
      <c r="P1103" s="8" t="n">
        <v>1</v>
      </c>
      <c r="Q1103" s="8" t="n">
        <v>0</v>
      </c>
      <c r="R1103" s="8" t="n">
        <v>0</v>
      </c>
      <c r="S1103" s="8" t="n">
        <v>1</v>
      </c>
      <c r="T1103" s="8" t="n">
        <v>1</v>
      </c>
      <c r="U1103" s="8" t="n">
        <v>0</v>
      </c>
      <c r="V1103" s="8" t="n">
        <v>0</v>
      </c>
      <c r="W1103" s="8" t="n">
        <v>0</v>
      </c>
      <c r="X1103" s="8" t="n">
        <v>0</v>
      </c>
      <c r="Y1103" s="8" t="inlineStr">
        <is>
          <t>HBP play #35; K_L play #56; SB play #18; RBI play #17 (T Holson scores)</t>
        </is>
      </c>
    </row>
    <row r="1104" ht="15.75" customHeight="1" s="35">
      <c r="A1104" s="8" t="inlineStr">
        <is>
          <t>2026-03-14_NRTH_at_STHR</t>
        </is>
      </c>
      <c r="B1104" s="3" t="n">
        <v>46095</v>
      </c>
      <c r="C1104" s="8" t="inlineStr">
        <is>
          <t>Southern Varsity Bulldogs</t>
        </is>
      </c>
      <c r="D1104" s="8" t="inlineStr">
        <is>
          <t>NRTH</t>
        </is>
      </c>
      <c r="E1104" s="8" t="inlineStr">
        <is>
          <t>C Renzi</t>
        </is>
      </c>
      <c r="F1104" s="8" t="n">
        <v>3</v>
      </c>
      <c r="G1104" s="8" t="n">
        <v>3</v>
      </c>
      <c r="H1104" s="8" t="n">
        <v>0</v>
      </c>
      <c r="I1104" s="8" t="n">
        <v>0</v>
      </c>
      <c r="J1104" s="8" t="n">
        <v>0</v>
      </c>
      <c r="K1104" s="8" t="n">
        <v>0</v>
      </c>
      <c r="L1104" s="8" t="n">
        <v>0</v>
      </c>
      <c r="M1104" s="8" t="n">
        <v>0</v>
      </c>
      <c r="N1104" s="8" t="n">
        <v>0</v>
      </c>
      <c r="O1104" s="8" t="n">
        <v>0</v>
      </c>
      <c r="P1104" s="8" t="n">
        <v>0</v>
      </c>
      <c r="Q1104" s="8" t="n">
        <v>0</v>
      </c>
      <c r="R1104" s="8" t="n">
        <v>1</v>
      </c>
      <c r="S1104" s="8" t="n">
        <v>0</v>
      </c>
      <c r="T1104" s="8" t="n">
        <v>1</v>
      </c>
      <c r="U1104" s="8" t="n">
        <v>0</v>
      </c>
      <c r="V1104" s="8" t="n">
        <v>0</v>
      </c>
      <c r="W1104" s="8" t="n">
        <v>0</v>
      </c>
      <c r="X1104" s="8" t="n">
        <v>0</v>
      </c>
      <c r="Y1104" s="8" t="inlineStr">
        <is>
          <t>R play #5 (O Surratt double); SB play #37; replaced by T Wilkins play #57</t>
        </is>
      </c>
    </row>
    <row r="1105" ht="15.75" customHeight="1" s="35">
      <c r="A1105" s="8" t="inlineStr">
        <is>
          <t>2026-03-14_NRTH_at_STHR</t>
        </is>
      </c>
      <c r="B1105" s="3" t="n">
        <v>46095</v>
      </c>
      <c r="C1105" s="8" t="inlineStr">
        <is>
          <t>Southern Varsity Bulldogs</t>
        </is>
      </c>
      <c r="D1105" s="8" t="inlineStr">
        <is>
          <t>NRTH</t>
        </is>
      </c>
      <c r="E1105" s="8" t="inlineStr">
        <is>
          <t>#19</t>
        </is>
      </c>
      <c r="F1105" s="8" t="n">
        <v>4</v>
      </c>
      <c r="G1105" s="8" t="n">
        <v>3</v>
      </c>
      <c r="H1105" s="8" t="n">
        <v>1</v>
      </c>
      <c r="I1105" s="8" t="n">
        <v>1</v>
      </c>
      <c r="J1105" s="8" t="n">
        <v>0</v>
      </c>
      <c r="K1105" s="8" t="n">
        <v>0</v>
      </c>
      <c r="L1105" s="8" t="n">
        <v>0</v>
      </c>
      <c r="M1105" s="8" t="n">
        <v>0</v>
      </c>
      <c r="N1105" s="8" t="n">
        <v>1</v>
      </c>
      <c r="O1105" s="8" t="n">
        <v>1</v>
      </c>
      <c r="P1105" s="8" t="n">
        <v>1</v>
      </c>
      <c r="Q1105" s="8" t="n">
        <v>0</v>
      </c>
      <c r="R1105" s="8" t="n">
        <v>1</v>
      </c>
      <c r="S1105" s="8" t="n">
        <v>1</v>
      </c>
      <c r="T1105" s="8" t="n">
        <v>0</v>
      </c>
      <c r="U1105" s="8" t="n">
        <v>0</v>
      </c>
      <c r="V1105" s="8" t="n">
        <v>0</v>
      </c>
      <c r="W1105" s="8" t="n">
        <v>0</v>
      </c>
      <c r="X1105" s="8" t="n">
        <v>0</v>
      </c>
      <c r="Y1105" s="8" t="inlineStr">
        <is>
          <t>HBP play #4; K_L play #37; R play #6 (O Fox single); RBI play #58 (T Holson scores); PH for #18 play #58; also pitches B1-B4</t>
        </is>
      </c>
    </row>
    <row r="1106" ht="15.75" customHeight="1" s="35">
      <c r="A1106" s="8" t="inlineStr">
        <is>
          <t>2026-03-14_NRTH_at_STHR</t>
        </is>
      </c>
      <c r="B1106" s="3" t="n">
        <v>46095</v>
      </c>
      <c r="C1106" s="8" t="inlineStr">
        <is>
          <t>Southern Varsity Bulldogs</t>
        </is>
      </c>
      <c r="D1106" s="8" t="inlineStr">
        <is>
          <t>NRTH</t>
        </is>
      </c>
      <c r="E1106" s="8" t="inlineStr">
        <is>
          <t>O Surratt</t>
        </is>
      </c>
      <c r="F1106" s="8" t="n">
        <v>4</v>
      </c>
      <c r="G1106" s="8" t="n">
        <v>4</v>
      </c>
      <c r="H1106" s="8" t="n">
        <v>1</v>
      </c>
      <c r="I1106" s="8" t="n">
        <v>0</v>
      </c>
      <c r="J1106" s="8" t="n">
        <v>1</v>
      </c>
      <c r="K1106" s="8" t="n">
        <v>0</v>
      </c>
      <c r="L1106" s="8" t="n">
        <v>0</v>
      </c>
      <c r="M1106" s="8" t="n">
        <v>0</v>
      </c>
      <c r="N1106" s="8" t="n">
        <v>0</v>
      </c>
      <c r="O1106" s="8" t="n">
        <v>1</v>
      </c>
      <c r="P1106" s="8" t="n">
        <v>0</v>
      </c>
      <c r="Q1106" s="8" t="n">
        <v>1</v>
      </c>
      <c r="R1106" s="8" t="n">
        <v>1</v>
      </c>
      <c r="S1106" s="8" t="n">
        <v>0</v>
      </c>
      <c r="T1106" s="8" t="n">
        <v>2</v>
      </c>
      <c r="U1106" s="8" t="n">
        <v>0</v>
      </c>
      <c r="V1106" s="8" t="n">
        <v>0</v>
      </c>
      <c r="W1106" s="8" t="n">
        <v>0</v>
      </c>
      <c r="X1106" s="8" t="n">
        <v>0</v>
      </c>
      <c r="Y1106" s="8" t="inlineStr">
        <is>
          <t>2B play #5 (T Holson and C Renzi score, RBI+2); K_S play #23; R play #6</t>
        </is>
      </c>
    </row>
    <row r="1107" ht="15.75" customHeight="1" s="35">
      <c r="A1107" s="8" t="inlineStr">
        <is>
          <t>2026-03-14_NRTH_at_STHR</t>
        </is>
      </c>
      <c r="B1107" s="3" t="n">
        <v>46095</v>
      </c>
      <c r="C1107" s="8" t="inlineStr">
        <is>
          <t>Southern Varsity Bulldogs</t>
        </is>
      </c>
      <c r="D1107" s="8" t="inlineStr">
        <is>
          <t>NRTH</t>
        </is>
      </c>
      <c r="E1107" s="8" t="inlineStr">
        <is>
          <t>O Fox</t>
        </is>
      </c>
      <c r="F1107" s="8" t="n">
        <v>1</v>
      </c>
      <c r="G1107" s="8" t="n">
        <v>1</v>
      </c>
      <c r="H1107" s="8" t="n">
        <v>1</v>
      </c>
      <c r="I1107" s="8" t="n">
        <v>1</v>
      </c>
      <c r="J1107" s="8" t="n">
        <v>0</v>
      </c>
      <c r="K1107" s="8" t="n">
        <v>0</v>
      </c>
      <c r="L1107" s="8" t="n">
        <v>0</v>
      </c>
      <c r="M1107" s="8" t="n">
        <v>0</v>
      </c>
      <c r="N1107" s="8" t="n">
        <v>0</v>
      </c>
      <c r="O1107" s="8" t="n">
        <v>0</v>
      </c>
      <c r="P1107" s="8" t="n">
        <v>0</v>
      </c>
      <c r="Q1107" s="8" t="n">
        <v>0</v>
      </c>
      <c r="R1107" s="8" t="n">
        <v>0</v>
      </c>
      <c r="S1107" s="8" t="n">
        <v>2</v>
      </c>
      <c r="T1107" s="8" t="n">
        <v>0</v>
      </c>
      <c r="U1107" s="8" t="n">
        <v>0</v>
      </c>
      <c r="V1107" s="8" t="n">
        <v>0</v>
      </c>
      <c r="W1107" s="8" t="n">
        <v>0</v>
      </c>
      <c r="X1107" s="8" t="n">
        <v>0</v>
      </c>
      <c r="Y1107" s="8" t="inlineStr">
        <is>
          <t>1B play #6 (O Surratt and #19 score, RBI+2); replaced by PR #13 play #7</t>
        </is>
      </c>
    </row>
    <row r="1108" ht="15.75" customHeight="1" s="35">
      <c r="A1108" s="8" t="inlineStr">
        <is>
          <t>2026-03-14_NRTH_at_STHR</t>
        </is>
      </c>
      <c r="B1108" s="3" t="n">
        <v>46095</v>
      </c>
      <c r="C1108" s="8" t="inlineStr">
        <is>
          <t>Southern Varsity Bulldogs</t>
        </is>
      </c>
      <c r="D1108" s="8" t="inlineStr">
        <is>
          <t>NRTH</t>
        </is>
      </c>
      <c r="E1108" s="8" t="inlineStr">
        <is>
          <t>H Tyree</t>
        </is>
      </c>
      <c r="F1108" s="8" t="n">
        <v>4</v>
      </c>
      <c r="G1108" s="8" t="n">
        <v>3</v>
      </c>
      <c r="H1108" s="8" t="n">
        <v>0</v>
      </c>
      <c r="I1108" s="8" t="n">
        <v>0</v>
      </c>
      <c r="J1108" s="8" t="n">
        <v>0</v>
      </c>
      <c r="K1108" s="8" t="n">
        <v>0</v>
      </c>
      <c r="L1108" s="8" t="n">
        <v>0</v>
      </c>
      <c r="M1108" s="8" t="n">
        <v>1</v>
      </c>
      <c r="N1108" s="8" t="n">
        <v>0</v>
      </c>
      <c r="O1108" s="8" t="n">
        <v>1</v>
      </c>
      <c r="P1108" s="8" t="n">
        <v>0</v>
      </c>
      <c r="Q1108" s="8" t="n">
        <v>1</v>
      </c>
      <c r="R1108" s="8" t="n">
        <v>0</v>
      </c>
      <c r="S1108" s="8" t="n">
        <v>0</v>
      </c>
      <c r="T1108" s="8" t="n">
        <v>0</v>
      </c>
      <c r="U1108" s="8" t="n">
        <v>0</v>
      </c>
      <c r="V1108" s="8" t="n">
        <v>0</v>
      </c>
      <c r="W1108" s="8" t="n">
        <v>0</v>
      </c>
      <c r="X1108" s="8" t="n">
        <v>0</v>
      </c>
      <c r="Y1108" s="8" t="inlineStr">
        <is>
          <t>K_S play #7; BB play #45; picked off at 1B by I Benson play #46 (not scored as CS per baseball scoring convention)</t>
        </is>
      </c>
    </row>
    <row r="1109" ht="15.75" customHeight="1" s="35">
      <c r="A1109" s="8" t="inlineStr">
        <is>
          <t>2026-03-14_NRTH_at_STHR</t>
        </is>
      </c>
      <c r="B1109" s="3" t="n">
        <v>46095</v>
      </c>
      <c r="C1109" s="8" t="inlineStr">
        <is>
          <t>Southern Varsity Bulldogs</t>
        </is>
      </c>
      <c r="D1109" s="8" t="inlineStr">
        <is>
          <t>NRTH</t>
        </is>
      </c>
      <c r="E1109" s="8" t="inlineStr">
        <is>
          <t>H Shepardson</t>
        </is>
      </c>
      <c r="F1109" s="8" t="n">
        <v>4</v>
      </c>
      <c r="G1109" s="8" t="n">
        <v>4</v>
      </c>
      <c r="H1109" s="8" t="n">
        <v>0</v>
      </c>
      <c r="I1109" s="8" t="n">
        <v>0</v>
      </c>
      <c r="J1109" s="8" t="n">
        <v>0</v>
      </c>
      <c r="K1109" s="8" t="n">
        <v>0</v>
      </c>
      <c r="L1109" s="8" t="n">
        <v>0</v>
      </c>
      <c r="M1109" s="8" t="n">
        <v>0</v>
      </c>
      <c r="N1109" s="8" t="n">
        <v>0</v>
      </c>
      <c r="O1109" s="8" t="n">
        <v>1</v>
      </c>
      <c r="P1109" s="8" t="n">
        <v>0</v>
      </c>
      <c r="Q1109" s="8" t="n">
        <v>1</v>
      </c>
      <c r="R1109" s="8" t="n">
        <v>0</v>
      </c>
      <c r="S1109" s="8" t="n">
        <v>0</v>
      </c>
      <c r="T1109" s="8" t="n">
        <v>0</v>
      </c>
      <c r="U1109" s="8" t="n">
        <v>0</v>
      </c>
      <c r="V1109" s="8" t="n">
        <v>0</v>
      </c>
      <c r="W1109" s="8" t="n">
        <v>0</v>
      </c>
      <c r="X1109" s="8" t="n">
        <v>0</v>
      </c>
      <c r="Y1109" s="8" t="inlineStr">
        <is>
          <t>K_S play #74</t>
        </is>
      </c>
    </row>
    <row r="1110" ht="15.75" customHeight="1" s="35">
      <c r="A1110" s="8" t="inlineStr">
        <is>
          <t>2026-03-14_NRTH_at_STHR</t>
        </is>
      </c>
      <c r="B1110" s="3" t="n">
        <v>46095</v>
      </c>
      <c r="C1110" s="8" t="inlineStr">
        <is>
          <t>Southern Varsity Bulldogs</t>
        </is>
      </c>
      <c r="D1110" s="8" t="inlineStr">
        <is>
          <t>NRTH</t>
        </is>
      </c>
      <c r="E1110" s="8" t="inlineStr">
        <is>
          <t>#3</t>
        </is>
      </c>
      <c r="F1110" s="8" t="n">
        <v>3</v>
      </c>
      <c r="G1110" s="8" t="n">
        <v>2</v>
      </c>
      <c r="H1110" s="8" t="n">
        <v>1</v>
      </c>
      <c r="I1110" s="8" t="n">
        <v>1</v>
      </c>
      <c r="J1110" s="8" t="n">
        <v>0</v>
      </c>
      <c r="K1110" s="8" t="n">
        <v>0</v>
      </c>
      <c r="L1110" s="8" t="n">
        <v>0</v>
      </c>
      <c r="M1110" s="8" t="n">
        <v>1</v>
      </c>
      <c r="N1110" s="8" t="n">
        <v>0</v>
      </c>
      <c r="O1110" s="8" t="n">
        <v>0</v>
      </c>
      <c r="P1110" s="8" t="n">
        <v>0</v>
      </c>
      <c r="Q1110" s="8" t="n">
        <v>0</v>
      </c>
      <c r="R1110" s="8" t="n">
        <v>3</v>
      </c>
      <c r="S1110" s="8" t="n">
        <v>0</v>
      </c>
      <c r="T1110" s="8" t="n">
        <v>3</v>
      </c>
      <c r="U1110" s="8" t="n">
        <v>0</v>
      </c>
      <c r="V1110" s="8" t="n">
        <v>0</v>
      </c>
      <c r="W1110" s="8" t="n">
        <v>0</v>
      </c>
      <c r="X1110" s="8" t="n">
        <v>0</v>
      </c>
      <c r="Y1110" s="8" t="inlineStr">
        <is>
          <t>R plays #16 #34 #54; SB plays #15 #33 #54 (all confirmed in Sec 4); 1B play #32</t>
        </is>
      </c>
    </row>
    <row r="1111" ht="15.75" customHeight="1" s="35">
      <c r="A1111" s="8" t="inlineStr">
        <is>
          <t>2026-03-14_NRTH_at_STHR</t>
        </is>
      </c>
      <c r="B1111" s="3" t="n">
        <v>46095</v>
      </c>
      <c r="C1111" s="8" t="inlineStr">
        <is>
          <t>Southern Varsity Bulldogs</t>
        </is>
      </c>
      <c r="D1111" s="8" t="inlineStr">
        <is>
          <t>NRTH</t>
        </is>
      </c>
      <c r="E1111" s="8" t="inlineStr">
        <is>
          <t>D Rivera</t>
        </is>
      </c>
      <c r="F1111" s="8" t="n">
        <v>3</v>
      </c>
      <c r="G1111" s="8" t="n">
        <v>2</v>
      </c>
      <c r="H1111" s="8" t="n">
        <v>1</v>
      </c>
      <c r="I1111" s="8" t="n">
        <v>1</v>
      </c>
      <c r="J1111" s="8" t="n">
        <v>0</v>
      </c>
      <c r="K1111" s="8" t="n">
        <v>0</v>
      </c>
      <c r="L1111" s="8" t="n">
        <v>0</v>
      </c>
      <c r="M1111" s="8" t="n">
        <v>1</v>
      </c>
      <c r="N1111" s="8" t="n">
        <v>0</v>
      </c>
      <c r="O1111" s="8" t="n">
        <v>0</v>
      </c>
      <c r="P1111" s="8" t="n">
        <v>0</v>
      </c>
      <c r="Q1111" s="8" t="n">
        <v>0</v>
      </c>
      <c r="R1111" s="8" t="n">
        <v>1</v>
      </c>
      <c r="S1111" s="8" t="n">
        <v>0</v>
      </c>
      <c r="T1111" s="8" t="n">
        <v>1</v>
      </c>
      <c r="U1111" s="8" t="n">
        <v>0</v>
      </c>
      <c r="V1111" s="8" t="n">
        <v>0</v>
      </c>
      <c r="W1111" s="8" t="n">
        <v>0</v>
      </c>
      <c r="X1111" s="8" t="n">
        <v>0</v>
      </c>
      <c r="Y1111" s="8" t="inlineStr">
        <is>
          <t>1B play #33; R play #55 (error by G Bowen); SB play #55 (steals 3rd); runner out at 2B play #34 during T Holson single — not a GDP</t>
        </is>
      </c>
    </row>
    <row r="1112" ht="15.75" customHeight="1" s="35">
      <c r="A1112" s="8" t="inlineStr">
        <is>
          <t>2026-03-14_NRTH_at_STHR</t>
        </is>
      </c>
      <c r="B1112" s="3" t="n">
        <v>46095</v>
      </c>
      <c r="C1112" s="8" t="inlineStr">
        <is>
          <t>Southern Varsity Bulldogs</t>
        </is>
      </c>
      <c r="D1112" s="8" t="inlineStr">
        <is>
          <t>NRTH</t>
        </is>
      </c>
      <c r="E1112" s="8" t="inlineStr">
        <is>
          <t>#13</t>
        </is>
      </c>
      <c r="F1112" s="8" t="n">
        <v>3</v>
      </c>
      <c r="G1112" s="8" t="n">
        <v>2</v>
      </c>
      <c r="H1112" s="8" t="n">
        <v>0</v>
      </c>
      <c r="I1112" s="8" t="n">
        <v>0</v>
      </c>
      <c r="J1112" s="8" t="n">
        <v>0</v>
      </c>
      <c r="K1112" s="8" t="n">
        <v>0</v>
      </c>
      <c r="L1112" s="8" t="n">
        <v>0</v>
      </c>
      <c r="M1112" s="8" t="n">
        <v>1</v>
      </c>
      <c r="N1112" s="8" t="n">
        <v>0</v>
      </c>
      <c r="O1112" s="8" t="n">
        <v>0</v>
      </c>
      <c r="P1112" s="8" t="n">
        <v>0</v>
      </c>
      <c r="Q1112" s="8" t="n">
        <v>0</v>
      </c>
      <c r="R1112" s="8" t="n">
        <v>1</v>
      </c>
      <c r="S1112" s="8" t="n">
        <v>0</v>
      </c>
      <c r="T1112" s="8" t="n">
        <v>2</v>
      </c>
      <c r="U1112" s="8" t="n">
        <v>0</v>
      </c>
      <c r="V1112" s="8" t="n">
        <v>0</v>
      </c>
      <c r="W1112" s="8" t="n">
        <v>0</v>
      </c>
      <c r="X1112" s="8" t="n">
        <v>0</v>
      </c>
      <c r="Y1112" s="8" t="inlineStr">
        <is>
          <t>PR for O Fox play #7; SB plays #7 (steals 3rd as PR) and #45 (steals 2nd, Sec4 confirmed); R play #45 (scores on WP — no RBI for H Tyree)</t>
        </is>
      </c>
    </row>
    <row r="1113" ht="15.75" customHeight="1" s="35">
      <c r="A1113" s="8" t="inlineStr">
        <is>
          <t>2026-03-14_NRTH_at_STHR</t>
        </is>
      </c>
      <c r="B1113" s="3" t="n">
        <v>46095</v>
      </c>
      <c r="C1113" s="8" t="inlineStr">
        <is>
          <t>Southern Varsity Bulldogs</t>
        </is>
      </c>
      <c r="D1113" s="8" t="inlineStr">
        <is>
          <t>NRTH</t>
        </is>
      </c>
      <c r="E1113" s="8" t="inlineStr">
        <is>
          <t>T Wilkins</t>
        </is>
      </c>
      <c r="F1113" s="8" t="n">
        <v>1</v>
      </c>
      <c r="G1113" s="8" t="n">
        <v>1</v>
      </c>
      <c r="H1113" s="8" t="n">
        <v>0</v>
      </c>
      <c r="I1113" s="8" t="n">
        <v>0</v>
      </c>
      <c r="J1113" s="8" t="n">
        <v>0</v>
      </c>
      <c r="K1113" s="8" t="n">
        <v>0</v>
      </c>
      <c r="L1113" s="8" t="n">
        <v>0</v>
      </c>
      <c r="M1113" s="8" t="n">
        <v>0</v>
      </c>
      <c r="N1113" s="8" t="n">
        <v>0</v>
      </c>
      <c r="O1113" s="8" t="n">
        <v>1</v>
      </c>
      <c r="P1113" s="8" t="n">
        <v>1</v>
      </c>
      <c r="Q1113" s="8" t="n">
        <v>0</v>
      </c>
      <c r="R1113" s="8" t="n">
        <v>0</v>
      </c>
      <c r="S1113" s="8" t="n">
        <v>0</v>
      </c>
      <c r="T1113" s="8" t="n">
        <v>0</v>
      </c>
      <c r="U1113" s="8" t="n">
        <v>0</v>
      </c>
      <c r="V1113" s="8" t="n">
        <v>0</v>
      </c>
      <c r="W1113" s="8" t="n">
        <v>0</v>
      </c>
      <c r="X1113" s="8" t="n">
        <v>0</v>
      </c>
      <c r="Y1113" s="8" t="inlineStr">
        <is>
          <t>PH for C Renzi play #57; K_L play #57</t>
        </is>
      </c>
    </row>
    <row r="1114" ht="15.75" customHeight="1" s="35">
      <c r="A1114" s="8" t="inlineStr">
        <is>
          <t>2026-03-14_NRTH_at_STHR</t>
        </is>
      </c>
      <c r="B1114" s="3" t="n">
        <v>46095</v>
      </c>
      <c r="C1114" s="8" t="inlineStr">
        <is>
          <t>Northern Varsity Patriots</t>
        </is>
      </c>
      <c r="D1114" s="8" t="inlineStr">
        <is>
          <t>STHR</t>
        </is>
      </c>
      <c r="E1114" s="8" t="inlineStr">
        <is>
          <t>B Crandell</t>
        </is>
      </c>
      <c r="F1114" s="8" t="n">
        <v>4</v>
      </c>
      <c r="G1114" s="8" t="n">
        <v>3</v>
      </c>
      <c r="H1114" s="8" t="n">
        <v>1</v>
      </c>
      <c r="I1114" s="8" t="n">
        <v>1</v>
      </c>
      <c r="J1114" s="8" t="n">
        <v>0</v>
      </c>
      <c r="K1114" s="8" t="n">
        <v>0</v>
      </c>
      <c r="L1114" s="8" t="n">
        <v>0</v>
      </c>
      <c r="M1114" s="8" t="n">
        <v>1</v>
      </c>
      <c r="N1114" s="8" t="n">
        <v>0</v>
      </c>
      <c r="O1114" s="8" t="n">
        <v>0</v>
      </c>
      <c r="P1114" s="8" t="n">
        <v>0</v>
      </c>
      <c r="Q1114" s="8" t="n">
        <v>0</v>
      </c>
      <c r="R1114" s="8" t="n">
        <v>0</v>
      </c>
      <c r="S1114" s="8" t="n">
        <v>1</v>
      </c>
      <c r="T1114" s="8" t="n">
        <v>0</v>
      </c>
      <c r="U1114" s="8" t="n">
        <v>0</v>
      </c>
      <c r="V1114" s="8" t="n">
        <v>0</v>
      </c>
      <c r="W1114" s="8" t="n">
        <v>1</v>
      </c>
      <c r="X1114" s="8" t="n">
        <v>0</v>
      </c>
      <c r="Y1114" s="8" t="inlineStr">
        <is>
          <t>BB play #29; FC play #51 (B Michaud out at home); 1B play #70 (G Colhoun scores, RBI+1); re-entry per Flag #5</t>
        </is>
      </c>
    </row>
    <row r="1115" ht="15.75" customHeight="1" s="35">
      <c r="A1115" s="8" t="inlineStr">
        <is>
          <t>2026-03-14_NRTH_at_STHR</t>
        </is>
      </c>
      <c r="B1115" s="3" t="n">
        <v>46095</v>
      </c>
      <c r="C1115" s="8" t="inlineStr">
        <is>
          <t>Northern Varsity Patriots</t>
        </is>
      </c>
      <c r="D1115" s="8" t="inlineStr">
        <is>
          <t>STHR</t>
        </is>
      </c>
      <c r="E1115" s="8" t="inlineStr">
        <is>
          <t>N Youmans</t>
        </is>
      </c>
      <c r="F1115" s="8" t="n">
        <v>4</v>
      </c>
      <c r="G1115" s="8" t="n">
        <v>4</v>
      </c>
      <c r="H1115" s="8" t="n">
        <v>1</v>
      </c>
      <c r="I1115" s="8" t="n">
        <v>1</v>
      </c>
      <c r="J1115" s="8" t="n">
        <v>0</v>
      </c>
      <c r="K1115" s="8" t="n">
        <v>0</v>
      </c>
      <c r="L1115" s="8" t="n">
        <v>0</v>
      </c>
      <c r="M1115" s="8" t="n">
        <v>0</v>
      </c>
      <c r="N1115" s="8" t="n">
        <v>0</v>
      </c>
      <c r="O1115" s="8" t="n">
        <v>0</v>
      </c>
      <c r="P1115" s="8" t="n">
        <v>0</v>
      </c>
      <c r="Q1115" s="8" t="n">
        <v>0</v>
      </c>
      <c r="R1115" s="8" t="n">
        <v>0</v>
      </c>
      <c r="S1115" s="8" t="n">
        <v>0</v>
      </c>
      <c r="T1115" s="8" t="n">
        <v>0</v>
      </c>
      <c r="U1115" s="8" t="n">
        <v>0</v>
      </c>
      <c r="V1115" s="8" t="n">
        <v>0</v>
      </c>
      <c r="W1115" s="8" t="n">
        <v>0</v>
      </c>
      <c r="X1115" s="8" t="n">
        <v>0</v>
      </c>
      <c r="Y1115" s="8" t="inlineStr">
        <is>
          <t>1B play #10</t>
        </is>
      </c>
    </row>
    <row r="1116" ht="15.75" customHeight="1" s="35">
      <c r="A1116" s="8" t="inlineStr">
        <is>
          <t>2026-03-14_NRTH_at_STHR</t>
        </is>
      </c>
      <c r="B1116" s="3" t="n">
        <v>46095</v>
      </c>
      <c r="C1116" s="8" t="inlineStr">
        <is>
          <t>Northern Varsity Patriots</t>
        </is>
      </c>
      <c r="D1116" s="8" t="inlineStr">
        <is>
          <t>STHR</t>
        </is>
      </c>
      <c r="E1116" s="8" t="inlineStr">
        <is>
          <t>G Crandell</t>
        </is>
      </c>
      <c r="F1116" s="8" t="n">
        <v>4</v>
      </c>
      <c r="G1116" s="8" t="n">
        <v>4</v>
      </c>
      <c r="H1116" s="8" t="n">
        <v>3</v>
      </c>
      <c r="I1116" s="8" t="n">
        <v>3</v>
      </c>
      <c r="J1116" s="8" t="n">
        <v>0</v>
      </c>
      <c r="K1116" s="8" t="n">
        <v>0</v>
      </c>
      <c r="L1116" s="8" t="n">
        <v>0</v>
      </c>
      <c r="M1116" s="8" t="n">
        <v>0</v>
      </c>
      <c r="N1116" s="8" t="n">
        <v>0</v>
      </c>
      <c r="O1116" s="8" t="n">
        <v>0</v>
      </c>
      <c r="P1116" s="8" t="n">
        <v>0</v>
      </c>
      <c r="Q1116" s="8" t="n">
        <v>0</v>
      </c>
      <c r="R1116" s="8" t="n">
        <v>2</v>
      </c>
      <c r="S1116" s="8" t="n">
        <v>0</v>
      </c>
      <c r="T1116" s="8" t="n">
        <v>3</v>
      </c>
      <c r="U1116" s="8" t="n">
        <v>0</v>
      </c>
      <c r="V1116" s="8" t="n">
        <v>0</v>
      </c>
      <c r="W1116" s="8" t="n">
        <v>0</v>
      </c>
      <c r="X1116" s="8" t="n">
        <v>0</v>
      </c>
      <c r="Y1116" s="8" t="inlineStr">
        <is>
          <t>1B plays #38 #60 #75; R plays #62 (error by NRTH_#13) and #79; SB plays #12 #40 #78; also started as STHR pitcher T1; re-entry per Flag #5</t>
        </is>
      </c>
    </row>
    <row r="1117" ht="15.75" customHeight="1" s="35">
      <c r="A1117" s="8" t="inlineStr">
        <is>
          <t>2026-03-14_NRTH_at_STHR</t>
        </is>
      </c>
      <c r="B1117" s="3" t="n">
        <v>46095</v>
      </c>
      <c r="C1117" s="8" t="inlineStr">
        <is>
          <t>Northern Varsity Patriots</t>
        </is>
      </c>
      <c r="D1117" s="8" t="inlineStr">
        <is>
          <t>STHR</t>
        </is>
      </c>
      <c r="E1117" s="8" t="inlineStr">
        <is>
          <t>T Evan</t>
        </is>
      </c>
      <c r="F1117" s="8" t="n">
        <v>2</v>
      </c>
      <c r="G1117" s="8" t="n">
        <v>2</v>
      </c>
      <c r="H1117" s="8" t="n">
        <v>0</v>
      </c>
      <c r="I1117" s="8" t="n">
        <v>0</v>
      </c>
      <c r="J1117" s="8" t="n">
        <v>0</v>
      </c>
      <c r="K1117" s="8" t="n">
        <v>0</v>
      </c>
      <c r="L1117" s="8" t="n">
        <v>0</v>
      </c>
      <c r="M1117" s="8" t="n">
        <v>0</v>
      </c>
      <c r="N1117" s="8" t="n">
        <v>0</v>
      </c>
      <c r="O1117" s="8" t="n">
        <v>1</v>
      </c>
      <c r="P1117" s="8" t="n">
        <v>1</v>
      </c>
      <c r="Q1117" s="8" t="n">
        <v>0</v>
      </c>
      <c r="R1117" s="8" t="n">
        <v>0</v>
      </c>
      <c r="S1117" s="8" t="n">
        <v>0</v>
      </c>
      <c r="T1117" s="8" t="n">
        <v>0</v>
      </c>
      <c r="U1117" s="8" t="n">
        <v>0</v>
      </c>
      <c r="V1117" s="8" t="n">
        <v>0</v>
      </c>
      <c r="W1117" s="8" t="n">
        <v>0</v>
      </c>
      <c r="X1117" s="8" t="n">
        <v>0</v>
      </c>
      <c r="Y1117" s="8" t="inlineStr">
        <is>
          <t>K_L play #39; replaced by C Parks play #61</t>
        </is>
      </c>
    </row>
    <row r="1118" ht="15.75" customHeight="1" s="35">
      <c r="A1118" s="8" t="inlineStr">
        <is>
          <t>2026-03-14_NRTH_at_STHR</t>
        </is>
      </c>
      <c r="B1118" s="3" t="n">
        <v>46095</v>
      </c>
      <c r="C1118" s="8" t="inlineStr">
        <is>
          <t>Northern Varsity Patriots</t>
        </is>
      </c>
      <c r="D1118" s="8" t="inlineStr">
        <is>
          <t>STHR</t>
        </is>
      </c>
      <c r="E1118" s="8" t="inlineStr">
        <is>
          <t>C Perkins</t>
        </is>
      </c>
      <c r="F1118" s="8" t="n">
        <v>2</v>
      </c>
      <c r="G1118" s="8" t="n">
        <v>2</v>
      </c>
      <c r="H1118" s="8" t="n">
        <v>1</v>
      </c>
      <c r="I1118" s="8" t="n">
        <v>1</v>
      </c>
      <c r="J1118" s="8" t="n">
        <v>0</v>
      </c>
      <c r="K1118" s="8" t="n">
        <v>0</v>
      </c>
      <c r="L1118" s="8" t="n">
        <v>0</v>
      </c>
      <c r="M1118" s="8" t="n">
        <v>0</v>
      </c>
      <c r="N1118" s="8" t="n">
        <v>0</v>
      </c>
      <c r="O1118" s="8" t="n">
        <v>0</v>
      </c>
      <c r="P1118" s="8" t="n">
        <v>0</v>
      </c>
      <c r="Q1118" s="8" t="n">
        <v>0</v>
      </c>
      <c r="R1118" s="8" t="n">
        <v>0</v>
      </c>
      <c r="S1118" s="8" t="n">
        <v>0</v>
      </c>
      <c r="T1118" s="8" t="n">
        <v>1</v>
      </c>
      <c r="U1118" s="8" t="n">
        <v>0</v>
      </c>
      <c r="V1118" s="8" t="n">
        <v>0</v>
      </c>
      <c r="W1118" s="8" t="n">
        <v>0</v>
      </c>
      <c r="X1118" s="8" t="n">
        <v>0</v>
      </c>
      <c r="Y1118" s="8" t="inlineStr">
        <is>
          <t>1B play #40; SB play #41; subbed in and immediately removed play #66 (Flag #2) — no PA at play #66</t>
        </is>
      </c>
    </row>
    <row r="1119" ht="15.75" customHeight="1" s="35">
      <c r="A1119" s="8" t="inlineStr">
        <is>
          <t>2026-03-14_NRTH_at_STHR</t>
        </is>
      </c>
      <c r="B1119" s="3" t="n">
        <v>46095</v>
      </c>
      <c r="C1119" s="8" t="inlineStr">
        <is>
          <t>Northern Varsity Patriots</t>
        </is>
      </c>
      <c r="D1119" s="8" t="inlineStr">
        <is>
          <t>STHR</t>
        </is>
      </c>
      <c r="E1119" s="8" t="inlineStr">
        <is>
          <t>G Bowen</t>
        </is>
      </c>
      <c r="F1119" s="8" t="n">
        <v>3</v>
      </c>
      <c r="G1119" s="8" t="n">
        <v>3</v>
      </c>
      <c r="H1119" s="8" t="n">
        <v>0</v>
      </c>
      <c r="I1119" s="8" t="n">
        <v>0</v>
      </c>
      <c r="J1119" s="8" t="n">
        <v>0</v>
      </c>
      <c r="K1119" s="8" t="n">
        <v>0</v>
      </c>
      <c r="L1119" s="8" t="n">
        <v>0</v>
      </c>
      <c r="M1119" s="8" t="n">
        <v>0</v>
      </c>
      <c r="N1119" s="8" t="n">
        <v>0</v>
      </c>
      <c r="O1119" s="8" t="n">
        <v>2</v>
      </c>
      <c r="P1119" s="8" t="n">
        <v>1</v>
      </c>
      <c r="Q1119" s="8" t="n">
        <v>1</v>
      </c>
      <c r="R1119" s="8" t="n">
        <v>1</v>
      </c>
      <c r="S1119" s="8" t="n">
        <v>0</v>
      </c>
      <c r="T1119" s="8" t="n">
        <v>0</v>
      </c>
      <c r="U1119" s="8" t="n">
        <v>0</v>
      </c>
      <c r="V1119" s="8" t="n">
        <v>0</v>
      </c>
      <c r="W1119" s="8" t="n">
        <v>0</v>
      </c>
      <c r="X1119" s="8" t="n">
        <v>0</v>
      </c>
      <c r="Y1119" s="8" t="inlineStr">
        <is>
          <t>K_S play #20; K_L play #41; R play #66 via CR W Thomas (scores on WP, no RBI); CR W Thomas in for G Bowen play #66 — R credited to G Bowen per CR rule</t>
        </is>
      </c>
    </row>
    <row r="1120" ht="15.75" customHeight="1" s="35">
      <c r="A1120" s="8" t="inlineStr">
        <is>
          <t>2026-03-14_NRTH_at_STHR</t>
        </is>
      </c>
      <c r="B1120" s="3" t="n">
        <v>46095</v>
      </c>
      <c r="C1120" s="8" t="inlineStr">
        <is>
          <t>Northern Varsity Patriots</t>
        </is>
      </c>
      <c r="D1120" s="8" t="inlineStr">
        <is>
          <t>STHR</t>
        </is>
      </c>
      <c r="E1120" s="8" t="inlineStr">
        <is>
          <t>G Godfrey</t>
        </is>
      </c>
      <c r="F1120" s="8" t="n">
        <v>2</v>
      </c>
      <c r="G1120" s="8" t="n">
        <v>2</v>
      </c>
      <c r="H1120" s="8" t="n">
        <v>0</v>
      </c>
      <c r="I1120" s="8" t="n">
        <v>0</v>
      </c>
      <c r="J1120" s="8" t="n">
        <v>0</v>
      </c>
      <c r="K1120" s="8" t="n">
        <v>0</v>
      </c>
      <c r="L1120" s="8" t="n">
        <v>0</v>
      </c>
      <c r="M1120" s="8" t="n">
        <v>0</v>
      </c>
      <c r="N1120" s="8" t="n">
        <v>0</v>
      </c>
      <c r="O1120" s="8" t="n">
        <v>1</v>
      </c>
      <c r="P1120" s="8" t="n">
        <v>1</v>
      </c>
      <c r="Q1120" s="8" t="n">
        <v>0</v>
      </c>
      <c r="R1120" s="8" t="n">
        <v>0</v>
      </c>
      <c r="S1120" s="8" t="n">
        <v>0</v>
      </c>
      <c r="T1120" s="8" t="n">
        <v>0</v>
      </c>
      <c r="U1120" s="8" t="n">
        <v>0</v>
      </c>
      <c r="V1120" s="8" t="n">
        <v>0</v>
      </c>
      <c r="W1120" s="8" t="n">
        <v>0</v>
      </c>
      <c r="X1120" s="8" t="n">
        <v>0</v>
      </c>
      <c r="Y1120" s="8" t="inlineStr">
        <is>
          <t>K_L play #42; replaced by B Bowers play #64</t>
        </is>
      </c>
    </row>
    <row r="1121" ht="15.75" customHeight="1" s="35">
      <c r="A1121" s="8" t="inlineStr">
        <is>
          <t>2026-03-14_NRTH_at_STHR</t>
        </is>
      </c>
      <c r="B1121" s="3" t="n">
        <v>46095</v>
      </c>
      <c r="C1121" s="8" t="inlineStr">
        <is>
          <t>Northern Varsity Patriots</t>
        </is>
      </c>
      <c r="D1121" s="8" t="inlineStr">
        <is>
          <t>STHR</t>
        </is>
      </c>
      <c r="E1121" s="8" t="inlineStr">
        <is>
          <t>G Perkins</t>
        </is>
      </c>
      <c r="F1121" s="8" t="n">
        <v>1</v>
      </c>
      <c r="G1121" s="8" t="n">
        <v>1</v>
      </c>
      <c r="H1121" s="8" t="n">
        <v>0</v>
      </c>
      <c r="I1121" s="8" t="n">
        <v>0</v>
      </c>
      <c r="J1121" s="8" t="n">
        <v>0</v>
      </c>
      <c r="K1121" s="8" t="n">
        <v>0</v>
      </c>
      <c r="L1121" s="8" t="n">
        <v>0</v>
      </c>
      <c r="M1121" s="8" t="n">
        <v>0</v>
      </c>
      <c r="N1121" s="8" t="n">
        <v>0</v>
      </c>
      <c r="O1121" s="8" t="n">
        <v>1</v>
      </c>
      <c r="P1121" s="8" t="n">
        <v>0</v>
      </c>
      <c r="Q1121" s="8" t="n">
        <v>1</v>
      </c>
      <c r="R1121" s="8" t="n">
        <v>0</v>
      </c>
      <c r="S1121" s="8" t="n">
        <v>0</v>
      </c>
      <c r="T1121" s="8" t="n">
        <v>0</v>
      </c>
      <c r="U1121" s="8" t="n">
        <v>0</v>
      </c>
      <c r="V1121" s="8" t="n">
        <v>0</v>
      </c>
      <c r="W1121" s="8" t="n">
        <v>0</v>
      </c>
      <c r="X1121" s="8" t="n">
        <v>0</v>
      </c>
      <c r="Y1121" s="8" t="inlineStr">
        <is>
          <t>K_S play #22; replaced by B Michaud play #47</t>
        </is>
      </c>
    </row>
    <row r="1122" ht="15.75" customHeight="1" s="35">
      <c r="A1122" s="8" t="inlineStr">
        <is>
          <t>2026-03-14_NRTH_at_STHR</t>
        </is>
      </c>
      <c r="B1122" s="3" t="n">
        <v>46095</v>
      </c>
      <c r="C1122" s="8" t="inlineStr">
        <is>
          <t>Northern Varsity Patriots</t>
        </is>
      </c>
      <c r="D1122" s="8" t="inlineStr">
        <is>
          <t>STHR</t>
        </is>
      </c>
      <c r="E1122" s="8" t="inlineStr">
        <is>
          <t>J Dunkerly</t>
        </is>
      </c>
      <c r="F1122" s="8" t="n">
        <v>1</v>
      </c>
      <c r="G1122" s="8" t="n">
        <v>1</v>
      </c>
      <c r="H1122" s="8" t="n">
        <v>0</v>
      </c>
      <c r="I1122" s="8" t="n">
        <v>0</v>
      </c>
      <c r="J1122" s="8" t="n">
        <v>0</v>
      </c>
      <c r="K1122" s="8" t="n">
        <v>0</v>
      </c>
      <c r="L1122" s="8" t="n">
        <v>0</v>
      </c>
      <c r="M1122" s="8" t="n">
        <v>0</v>
      </c>
      <c r="N1122" s="8" t="n">
        <v>0</v>
      </c>
      <c r="O1122" s="8" t="n">
        <v>1</v>
      </c>
      <c r="P1122" s="8" t="n">
        <v>1</v>
      </c>
      <c r="Q1122" s="8" t="n">
        <v>0</v>
      </c>
      <c r="R1122" s="8" t="n">
        <v>0</v>
      </c>
      <c r="S1122" s="8" t="n">
        <v>0</v>
      </c>
      <c r="T1122" s="8" t="n">
        <v>0</v>
      </c>
      <c r="U1122" s="8" t="n">
        <v>0</v>
      </c>
      <c r="V1122" s="8" t="n">
        <v>0</v>
      </c>
      <c r="W1122" s="8" t="n">
        <v>0</v>
      </c>
      <c r="X1122" s="8" t="n">
        <v>0</v>
      </c>
      <c r="Y1122" s="8" t="inlineStr">
        <is>
          <t>K_L play #26; replaced by N Simmons play #48</t>
        </is>
      </c>
    </row>
    <row r="1123" ht="15.75" customHeight="1" s="35">
      <c r="A1123" s="8" t="inlineStr">
        <is>
          <t>2026-03-14_NRTH_at_STHR</t>
        </is>
      </c>
      <c r="B1123" s="3" t="n">
        <v>46095</v>
      </c>
      <c r="C1123" s="8" t="inlineStr">
        <is>
          <t>Northern Varsity Patriots</t>
        </is>
      </c>
      <c r="D1123" s="8" t="inlineStr">
        <is>
          <t>STHR</t>
        </is>
      </c>
      <c r="E1123" s="8" t="inlineStr">
        <is>
          <t>S Lopez</t>
        </is>
      </c>
      <c r="F1123" s="8" t="n">
        <v>1</v>
      </c>
      <c r="G1123" s="8" t="n">
        <v>1</v>
      </c>
      <c r="H1123" s="8" t="n">
        <v>0</v>
      </c>
      <c r="I1123" s="8" t="n">
        <v>0</v>
      </c>
      <c r="J1123" s="8" t="n">
        <v>0</v>
      </c>
      <c r="K1123" s="8" t="n">
        <v>0</v>
      </c>
      <c r="L1123" s="8" t="n">
        <v>0</v>
      </c>
      <c r="M1123" s="8" t="n">
        <v>0</v>
      </c>
      <c r="N1123" s="8" t="n">
        <v>0</v>
      </c>
      <c r="O1123" s="8" t="n">
        <v>0</v>
      </c>
      <c r="P1123" s="8" t="n">
        <v>0</v>
      </c>
      <c r="Q1123" s="8" t="n">
        <v>0</v>
      </c>
      <c r="R1123" s="8" t="n">
        <v>0</v>
      </c>
      <c r="S1123" s="8" t="n">
        <v>0</v>
      </c>
      <c r="T1123" s="8" t="n">
        <v>0</v>
      </c>
      <c r="U1123" s="8" t="n">
        <v>0</v>
      </c>
      <c r="V1123" s="8" t="n">
        <v>0</v>
      </c>
      <c r="W1123" s="8" t="n">
        <v>0</v>
      </c>
      <c r="X1123" s="8" t="n">
        <v>0</v>
      </c>
      <c r="Y1123" s="8" t="inlineStr">
        <is>
          <t>Replaced by G Colhoun play #49</t>
        </is>
      </c>
    </row>
    <row r="1124" ht="15.75" customHeight="1" s="35">
      <c r="A1124" s="8" t="inlineStr">
        <is>
          <t>2026-03-14_NRTH_at_STHR</t>
        </is>
      </c>
      <c r="B1124" s="3" t="n">
        <v>46095</v>
      </c>
      <c r="C1124" s="8" t="inlineStr">
        <is>
          <t>Northern Varsity Patriots</t>
        </is>
      </c>
      <c r="D1124" s="8" t="inlineStr">
        <is>
          <t>STHR</t>
        </is>
      </c>
      <c r="E1124" s="8" t="inlineStr">
        <is>
          <t>T Veith</t>
        </is>
      </c>
      <c r="F1124" s="8" t="n">
        <v>1</v>
      </c>
      <c r="G1124" s="8" t="n">
        <v>0</v>
      </c>
      <c r="H1124" s="8" t="n">
        <v>0</v>
      </c>
      <c r="I1124" s="8" t="n">
        <v>0</v>
      </c>
      <c r="J1124" s="8" t="n">
        <v>0</v>
      </c>
      <c r="K1124" s="8" t="n">
        <v>0</v>
      </c>
      <c r="L1124" s="8" t="n">
        <v>0</v>
      </c>
      <c r="M1124" s="8" t="n">
        <v>0</v>
      </c>
      <c r="N1124" s="8" t="n">
        <v>1</v>
      </c>
      <c r="O1124" s="8" t="n">
        <v>0</v>
      </c>
      <c r="P1124" s="8" t="n">
        <v>0</v>
      </c>
      <c r="Q1124" s="8" t="n">
        <v>0</v>
      </c>
      <c r="R1124" s="8" t="n">
        <v>0</v>
      </c>
      <c r="S1124" s="8" t="n">
        <v>0</v>
      </c>
      <c r="T1124" s="8" t="n">
        <v>1</v>
      </c>
      <c r="U1124" s="8" t="n">
        <v>0</v>
      </c>
      <c r="V1124" s="8" t="n">
        <v>0</v>
      </c>
      <c r="W1124" s="8" t="n">
        <v>0</v>
      </c>
      <c r="X1124" s="8" t="n">
        <v>0</v>
      </c>
      <c r="Y1124" s="8" t="inlineStr">
        <is>
          <t>HBP play #28; SB play #29 (steals 2nd, Sec4 confirmed); replaced by I Benson play #50</t>
        </is>
      </c>
    </row>
    <row r="1125" ht="15.75" customHeight="1" s="35">
      <c r="A1125" s="8" t="inlineStr">
        <is>
          <t>2026-03-14_NRTH_at_STHR</t>
        </is>
      </c>
      <c r="B1125" s="3" t="n">
        <v>46095</v>
      </c>
      <c r="C1125" s="8" t="inlineStr">
        <is>
          <t>Northern Varsity Patriots</t>
        </is>
      </c>
      <c r="D1125" s="8" t="inlineStr">
        <is>
          <t>STHR</t>
        </is>
      </c>
      <c r="E1125" s="8" t="inlineStr">
        <is>
          <t>B Michaud</t>
        </is>
      </c>
      <c r="F1125" s="8" t="n">
        <v>2</v>
      </c>
      <c r="G1125" s="8" t="n">
        <v>1</v>
      </c>
      <c r="H1125" s="8" t="n">
        <v>0</v>
      </c>
      <c r="I1125" s="8" t="n">
        <v>0</v>
      </c>
      <c r="J1125" s="8" t="n">
        <v>0</v>
      </c>
      <c r="K1125" s="8" t="n">
        <v>0</v>
      </c>
      <c r="L1125" s="8" t="n">
        <v>0</v>
      </c>
      <c r="M1125" s="8" t="n">
        <v>1</v>
      </c>
      <c r="N1125" s="8" t="n">
        <v>0</v>
      </c>
      <c r="O1125" s="8" t="n">
        <v>1</v>
      </c>
      <c r="P1125" s="8" t="n">
        <v>1</v>
      </c>
      <c r="Q1125" s="8" t="n">
        <v>0</v>
      </c>
      <c r="R1125" s="8" t="n">
        <v>0</v>
      </c>
      <c r="S1125" s="8" t="n">
        <v>0</v>
      </c>
      <c r="T1125" s="8" t="n">
        <v>0</v>
      </c>
      <c r="U1125" s="8" t="n">
        <v>0</v>
      </c>
      <c r="V1125" s="8" t="n">
        <v>0</v>
      </c>
      <c r="W1125" s="8" t="n">
        <v>0</v>
      </c>
      <c r="X1125" s="8" t="n">
        <v>0</v>
      </c>
      <c r="Y1125" s="8" t="inlineStr">
        <is>
          <t>BB play #47 (PH for G Perkins); K_L play #66 (after circular sub per Flag #2); out at home as runner play #51</t>
        </is>
      </c>
    </row>
    <row r="1126" ht="15.75" customHeight="1" s="35">
      <c r="A1126" s="8" t="inlineStr">
        <is>
          <t>2026-03-14_NRTH_at_STHR</t>
        </is>
      </c>
      <c r="B1126" s="3" t="n">
        <v>46095</v>
      </c>
      <c r="C1126" s="8" t="inlineStr">
        <is>
          <t>Northern Varsity Patriots</t>
        </is>
      </c>
      <c r="D1126" s="8" t="inlineStr">
        <is>
          <t>STHR</t>
        </is>
      </c>
      <c r="E1126" s="8" t="inlineStr">
        <is>
          <t>N Simmons</t>
        </is>
      </c>
      <c r="F1126" s="8" t="n">
        <v>2</v>
      </c>
      <c r="G1126" s="8" t="n">
        <v>0</v>
      </c>
      <c r="H1126" s="8" t="n">
        <v>0</v>
      </c>
      <c r="I1126" s="8" t="n">
        <v>0</v>
      </c>
      <c r="J1126" s="8" t="n">
        <v>0</v>
      </c>
      <c r="K1126" s="8" t="n">
        <v>0</v>
      </c>
      <c r="L1126" s="8" t="n">
        <v>0</v>
      </c>
      <c r="M1126" s="8" t="n">
        <v>2</v>
      </c>
      <c r="N1126" s="8" t="n">
        <v>0</v>
      </c>
      <c r="O1126" s="8" t="n">
        <v>0</v>
      </c>
      <c r="P1126" s="8" t="n">
        <v>0</v>
      </c>
      <c r="Q1126" s="8" t="n">
        <v>0</v>
      </c>
      <c r="R1126" s="8" t="n">
        <v>1</v>
      </c>
      <c r="S1126" s="8" t="n">
        <v>0</v>
      </c>
      <c r="T1126" s="8" t="n">
        <v>0</v>
      </c>
      <c r="U1126" s="8" t="n">
        <v>0</v>
      </c>
      <c r="V1126" s="8" t="n">
        <v>0</v>
      </c>
      <c r="W1126" s="8" t="n">
        <v>0</v>
      </c>
      <c r="X1126" s="8" t="n">
        <v>0</v>
      </c>
      <c r="Y1126" s="8" t="inlineStr">
        <is>
          <t>BB plays #48 #67; R play #69 (I Benson single)</t>
        </is>
      </c>
    </row>
    <row r="1127" ht="15.75" customHeight="1" s="35">
      <c r="A1127" s="8" t="inlineStr">
        <is>
          <t>2026-03-14_NRTH_at_STHR</t>
        </is>
      </c>
      <c r="B1127" s="3" t="n">
        <v>46095</v>
      </c>
      <c r="C1127" s="8" t="inlineStr">
        <is>
          <t>Northern Varsity Patriots</t>
        </is>
      </c>
      <c r="D1127" s="8" t="inlineStr">
        <is>
          <t>STHR</t>
        </is>
      </c>
      <c r="E1127" s="8" t="inlineStr">
        <is>
          <t>G Colhoun</t>
        </is>
      </c>
      <c r="F1127" s="8" t="n">
        <v>2</v>
      </c>
      <c r="G1127" s="8" t="n">
        <v>1</v>
      </c>
      <c r="H1127" s="8" t="n">
        <v>0</v>
      </c>
      <c r="I1127" s="8" t="n">
        <v>0</v>
      </c>
      <c r="J1127" s="8" t="n">
        <v>0</v>
      </c>
      <c r="K1127" s="8" t="n">
        <v>0</v>
      </c>
      <c r="L1127" s="8" t="n">
        <v>0</v>
      </c>
      <c r="M1127" s="8" t="n">
        <v>1</v>
      </c>
      <c r="N1127" s="8" t="n">
        <v>0</v>
      </c>
      <c r="O1127" s="8" t="n">
        <v>1</v>
      </c>
      <c r="P1127" s="8" t="n">
        <v>0</v>
      </c>
      <c r="Q1127" s="8" t="n">
        <v>1</v>
      </c>
      <c r="R1127" s="8" t="n">
        <v>1</v>
      </c>
      <c r="S1127" s="8" t="n">
        <v>1</v>
      </c>
      <c r="T1127" s="8" t="n">
        <v>0</v>
      </c>
      <c r="U1127" s="8" t="n">
        <v>0</v>
      </c>
      <c r="V1127" s="8" t="n">
        <v>0</v>
      </c>
      <c r="W1127" s="8" t="n">
        <v>0</v>
      </c>
      <c r="X1127" s="8" t="n">
        <v>0</v>
      </c>
      <c r="Y1127" s="8" t="inlineStr">
        <is>
          <t>K_S play #49; BB play #68 forces in B Bowers (RBI+1); R play #70 (B Crandell single)</t>
        </is>
      </c>
    </row>
    <row r="1128" ht="15.75" customHeight="1" s="35">
      <c r="A1128" s="8" t="inlineStr">
        <is>
          <t>2026-03-14_NRTH_at_STHR</t>
        </is>
      </c>
      <c r="B1128" s="3" t="n">
        <v>46095</v>
      </c>
      <c r="C1128" s="8" t="inlineStr">
        <is>
          <t>Northern Varsity Patriots</t>
        </is>
      </c>
      <c r="D1128" s="8" t="inlineStr">
        <is>
          <t>STHR</t>
        </is>
      </c>
      <c r="E1128" s="8" t="inlineStr">
        <is>
          <t>I Benson</t>
        </is>
      </c>
      <c r="F1128" s="8" t="n">
        <v>2</v>
      </c>
      <c r="G1128" s="8" t="n">
        <v>2</v>
      </c>
      <c r="H1128" s="8" t="n">
        <v>2</v>
      </c>
      <c r="I1128" s="8" t="n">
        <v>2</v>
      </c>
      <c r="J1128" s="8" t="n">
        <v>0</v>
      </c>
      <c r="K1128" s="8" t="n">
        <v>0</v>
      </c>
      <c r="L1128" s="8" t="n">
        <v>0</v>
      </c>
      <c r="M1128" s="8" t="n">
        <v>0</v>
      </c>
      <c r="N1128" s="8" t="n">
        <v>0</v>
      </c>
      <c r="O1128" s="8" t="n">
        <v>0</v>
      </c>
      <c r="P1128" s="8" t="n">
        <v>0</v>
      </c>
      <c r="Q1128" s="8" t="n">
        <v>0</v>
      </c>
      <c r="R1128" s="8" t="n">
        <v>0</v>
      </c>
      <c r="S1128" s="8" t="n">
        <v>2</v>
      </c>
      <c r="T1128" s="8" t="n">
        <v>0</v>
      </c>
      <c r="U1128" s="8" t="n">
        <v>0</v>
      </c>
      <c r="V1128" s="8" t="n">
        <v>0</v>
      </c>
      <c r="W1128" s="8" t="n">
        <v>0</v>
      </c>
      <c r="X1128" s="8" t="n">
        <v>0</v>
      </c>
      <c r="Y1128" s="8" t="inlineStr">
        <is>
          <t>1B plays #50 and #69 (N Simmons and Jackson score, RBI+2 at play #69); also pitches T5-T7</t>
        </is>
      </c>
    </row>
    <row r="1129" ht="15.75" customHeight="1" s="35">
      <c r="A1129" s="8" t="inlineStr">
        <is>
          <t>2026-03-14_NRTH_at_STHR</t>
        </is>
      </c>
      <c r="B1129" s="3" t="n">
        <v>46095</v>
      </c>
      <c r="C1129" s="8" t="inlineStr">
        <is>
          <t>Northern Varsity Patriots</t>
        </is>
      </c>
      <c r="D1129" s="8" t="inlineStr">
        <is>
          <t>STHR</t>
        </is>
      </c>
      <c r="E1129" s="8" t="inlineStr">
        <is>
          <t>W Thomas</t>
        </is>
      </c>
      <c r="F1129" s="8" t="n">
        <v>2</v>
      </c>
      <c r="G1129" s="8" t="n">
        <v>2</v>
      </c>
      <c r="H1129" s="8" t="n">
        <v>1</v>
      </c>
      <c r="I1129" s="8" t="n">
        <v>1</v>
      </c>
      <c r="J1129" s="8" t="n">
        <v>0</v>
      </c>
      <c r="K1129" s="8" t="n">
        <v>0</v>
      </c>
      <c r="L1129" s="8" t="n">
        <v>0</v>
      </c>
      <c r="M1129" s="8" t="n">
        <v>0</v>
      </c>
      <c r="N1129" s="8" t="n">
        <v>0</v>
      </c>
      <c r="O1129" s="8" t="n">
        <v>0</v>
      </c>
      <c r="P1129" s="8" t="n">
        <v>0</v>
      </c>
      <c r="Q1129" s="8" t="n">
        <v>0</v>
      </c>
      <c r="R1129" s="8" t="n">
        <v>1</v>
      </c>
      <c r="S1129" s="8" t="n">
        <v>0</v>
      </c>
      <c r="T1129" s="8" t="n">
        <v>0</v>
      </c>
      <c r="U1129" s="8" t="n">
        <v>0</v>
      </c>
      <c r="V1129" s="8" t="n">
        <v>0</v>
      </c>
      <c r="W1129" s="8" t="n">
        <v>0</v>
      </c>
      <c r="X1129" s="8" t="n">
        <v>0</v>
      </c>
      <c r="Y1129" s="8" t="inlineStr">
        <is>
          <t>PH for C Perkins play #62; 1B play #77; R play #79; CR for G Bowen play #66 — CR run credited to G Bowen not W Thomas</t>
        </is>
      </c>
    </row>
    <row r="1130" ht="15.75" customHeight="1" s="35">
      <c r="A1130" s="8" t="inlineStr">
        <is>
          <t>2026-03-14_NRTH_at_STHR</t>
        </is>
      </c>
      <c r="B1130" s="3" t="n">
        <v>46095</v>
      </c>
      <c r="C1130" s="8" t="inlineStr">
        <is>
          <t>Northern Varsity Patriots</t>
        </is>
      </c>
      <c r="D1130" s="8" t="inlineStr">
        <is>
          <t>STHR</t>
        </is>
      </c>
      <c r="E1130" s="8" t="inlineStr">
        <is>
          <t>B Bowers</t>
        </is>
      </c>
      <c r="F1130" s="8" t="n">
        <v>2</v>
      </c>
      <c r="G1130" s="8" t="n">
        <v>2</v>
      </c>
      <c r="H1130" s="8" t="n">
        <v>1</v>
      </c>
      <c r="I1130" s="8" t="n">
        <v>1</v>
      </c>
      <c r="J1130" s="8" t="n">
        <v>0</v>
      </c>
      <c r="K1130" s="8" t="n">
        <v>0</v>
      </c>
      <c r="L1130" s="8" t="n">
        <v>0</v>
      </c>
      <c r="M1130" s="8" t="n">
        <v>0</v>
      </c>
      <c r="N1130" s="8" t="n">
        <v>0</v>
      </c>
      <c r="O1130" s="8" t="n">
        <v>1</v>
      </c>
      <c r="P1130" s="8" t="n">
        <v>1</v>
      </c>
      <c r="Q1130" s="8" t="n">
        <v>0</v>
      </c>
      <c r="R1130" s="8" t="n">
        <v>1</v>
      </c>
      <c r="S1130" s="8" t="n">
        <v>0</v>
      </c>
      <c r="T1130" s="8" t="n">
        <v>0</v>
      </c>
      <c r="U1130" s="8" t="n">
        <v>0</v>
      </c>
      <c r="V1130" s="8" t="n">
        <v>0</v>
      </c>
      <c r="W1130" s="8" t="n">
        <v>0</v>
      </c>
      <c r="X1130" s="8" t="n">
        <v>0</v>
      </c>
      <c r="Y1130" s="8" t="inlineStr">
        <is>
          <t>PH for G Godfrey play #64; 1B play #64; K_L play #78; R play #68 (G Colhoun walk forces in B Bowers)</t>
        </is>
      </c>
    </row>
    <row r="1131" ht="15.75" customHeight="1" s="35">
      <c r="A1131" s="8" t="inlineStr">
        <is>
          <t>2026-03-14_NRTH_at_STHR</t>
        </is>
      </c>
      <c r="B1131" s="3" t="n">
        <v>46095</v>
      </c>
      <c r="C1131" s="8" t="inlineStr">
        <is>
          <t>Northern Varsity Patriots</t>
        </is>
      </c>
      <c r="D1131" s="8" t="inlineStr">
        <is>
          <t>STHR</t>
        </is>
      </c>
      <c r="E1131" s="8" t="inlineStr">
        <is>
          <t>Jackson</t>
        </is>
      </c>
      <c r="F1131" s="8" t="n">
        <v>2</v>
      </c>
      <c r="G1131" s="8" t="n">
        <v>1</v>
      </c>
      <c r="H1131" s="8" t="n">
        <v>0</v>
      </c>
      <c r="I1131" s="8" t="n">
        <v>0</v>
      </c>
      <c r="J1131" s="8" t="n">
        <v>0</v>
      </c>
      <c r="K1131" s="8" t="n">
        <v>0</v>
      </c>
      <c r="L1131" s="8" t="n">
        <v>0</v>
      </c>
      <c r="M1131" s="8" t="n">
        <v>1</v>
      </c>
      <c r="N1131" s="8" t="n">
        <v>0</v>
      </c>
      <c r="O1131" s="8" t="n">
        <v>0</v>
      </c>
      <c r="P1131" s="8" t="n">
        <v>0</v>
      </c>
      <c r="Q1131" s="8" t="n">
        <v>0</v>
      </c>
      <c r="R1131" s="8" t="n">
        <v>1</v>
      </c>
      <c r="S1131" s="8" t="n">
        <v>0</v>
      </c>
      <c r="T1131" s="8" t="n">
        <v>0</v>
      </c>
      <c r="U1131" s="8" t="n">
        <v>0</v>
      </c>
      <c r="V1131" s="8" t="n">
        <v>0</v>
      </c>
      <c r="W1131" s="8" t="n">
        <v>0</v>
      </c>
      <c r="X1131" s="8" t="n">
        <v>0</v>
      </c>
      <c r="Y1131" s="8" t="inlineStr">
        <is>
          <t>PH for B Michaud play #65; BB play #65; Error play #79 (reaches, then out advancing to 2B — game-ending out); R play #69 (I Benson single)</t>
        </is>
      </c>
    </row>
    <row r="1132" ht="15.75" customHeight="1" s="35">
      <c r="A1132" s="8" t="inlineStr">
        <is>
          <t>2026-03-14_NRTH_at_STHR</t>
        </is>
      </c>
      <c r="B1132" s="3" t="n">
        <v>46095</v>
      </c>
      <c r="C1132" s="8" t="inlineStr">
        <is>
          <t>Northern Varsity Patriots</t>
        </is>
      </c>
      <c r="D1132" s="8" t="inlineStr">
        <is>
          <t>STHR</t>
        </is>
      </c>
      <c r="E1132" s="8" t="inlineStr">
        <is>
          <t>C Parks</t>
        </is>
      </c>
      <c r="F1132" s="8" t="n">
        <v>2</v>
      </c>
      <c r="G1132" s="8" t="n">
        <v>2</v>
      </c>
      <c r="H1132" s="8" t="n">
        <v>1</v>
      </c>
      <c r="I1132" s="8" t="n">
        <v>1</v>
      </c>
      <c r="J1132" s="8" t="n">
        <v>0</v>
      </c>
      <c r="K1132" s="8" t="n">
        <v>0</v>
      </c>
      <c r="L1132" s="8" t="n">
        <v>0</v>
      </c>
      <c r="M1132" s="8" t="n">
        <v>0</v>
      </c>
      <c r="N1132" s="8" t="n">
        <v>0</v>
      </c>
      <c r="O1132" s="8" t="n">
        <v>0</v>
      </c>
      <c r="P1132" s="8" t="n">
        <v>0</v>
      </c>
      <c r="Q1132" s="8" t="n">
        <v>0</v>
      </c>
      <c r="R1132" s="8" t="n">
        <v>1</v>
      </c>
      <c r="S1132" s="8" t="n">
        <v>0</v>
      </c>
      <c r="T1132" s="8" t="n">
        <v>1</v>
      </c>
      <c r="U1132" s="8" t="n">
        <v>0</v>
      </c>
      <c r="V1132" s="8" t="n">
        <v>0</v>
      </c>
      <c r="W1132" s="8" t="n">
        <v>0</v>
      </c>
      <c r="X1132" s="8" t="n">
        <v>0</v>
      </c>
      <c r="Y1132" s="8" t="inlineStr">
        <is>
          <t>PH for T Evan play #61; bunt single play #61; R play #62 (scores on PB); SB play #62; fly out play #76; also pitches T2-T4; re-entry per Flag #5</t>
        </is>
      </c>
    </row>
    <row r="1133" ht="15.75" customHeight="1" s="35">
      <c r="A1133" s="8" t="inlineStr">
        <is>
          <t>2026-03-14_STHR_at_ATHL</t>
        </is>
      </c>
      <c r="B1133" s="3" t="n">
        <v>46095</v>
      </c>
      <c r="C1133" s="8" t="inlineStr">
        <is>
          <t>Atholton Varsity Raiders</t>
        </is>
      </c>
      <c r="D1133" s="8" t="inlineStr">
        <is>
          <t>STHR</t>
        </is>
      </c>
      <c r="E1133" s="8" t="inlineStr">
        <is>
          <t>B Crandell</t>
        </is>
      </c>
      <c r="F1133" s="8" t="n">
        <v>3</v>
      </c>
      <c r="G1133" s="8" t="n">
        <v>3</v>
      </c>
      <c r="H1133" s="8" t="n">
        <v>3</v>
      </c>
      <c r="I1133" s="8" t="n">
        <v>2</v>
      </c>
      <c r="J1133" s="8" t="n">
        <v>0</v>
      </c>
      <c r="K1133" s="8" t="n">
        <v>0</v>
      </c>
      <c r="L1133" s="8" t="n">
        <v>1</v>
      </c>
      <c r="M1133" s="8" t="n">
        <v>0</v>
      </c>
      <c r="N1133" s="8" t="n">
        <v>0</v>
      </c>
      <c r="O1133" s="8" t="n">
        <v>0</v>
      </c>
      <c r="P1133" s="8" t="n">
        <v>0</v>
      </c>
      <c r="Q1133" s="8" t="n">
        <v>0</v>
      </c>
      <c r="R1133" s="8" t="n">
        <v>2</v>
      </c>
      <c r="S1133" s="8" t="n">
        <v>2</v>
      </c>
      <c r="T1133" s="8" t="n">
        <v>1</v>
      </c>
      <c r="U1133" s="8" t="n">
        <v>1</v>
      </c>
      <c r="V1133" s="8" t="n">
        <v>0</v>
      </c>
      <c r="W1133" s="8" t="n">
        <v>0</v>
      </c>
      <c r="X1133" s="8" t="n">
        <v>0</v>
      </c>
      <c r="Y1133" s="8" t="inlineStr">
        <is>
          <t>1B play #1; HR play #23 (RBI=2: C Perkins+self); 1B play #49; R: SAC fly play #3, HR play #23; SB 2nd play #2; CS 3rd play #50 (Runner Out); subbed by G Bowen play #70</t>
        </is>
      </c>
    </row>
    <row r="1134" ht="15.75" customHeight="1" s="35">
      <c r="A1134" s="8" t="inlineStr">
        <is>
          <t>2026-03-14_STHR_at_ATHL</t>
        </is>
      </c>
      <c r="B1134" s="3" t="n">
        <v>46095</v>
      </c>
      <c r="C1134" s="8" t="inlineStr">
        <is>
          <t>Atholton Varsity Raiders</t>
        </is>
      </c>
      <c r="D1134" s="8" t="inlineStr">
        <is>
          <t>STHR</t>
        </is>
      </c>
      <c r="E1134" s="8" t="inlineStr">
        <is>
          <t>C Parks</t>
        </is>
      </c>
      <c r="F1134" s="8" t="n">
        <v>4</v>
      </c>
      <c r="G1134" s="8" t="n">
        <v>4</v>
      </c>
      <c r="H1134" s="8" t="n">
        <v>0</v>
      </c>
      <c r="I1134" s="8" t="n">
        <v>0</v>
      </c>
      <c r="J1134" s="8" t="n">
        <v>0</v>
      </c>
      <c r="K1134" s="8" t="n">
        <v>0</v>
      </c>
      <c r="L1134" s="8" t="n">
        <v>0</v>
      </c>
      <c r="M1134" s="8" t="n">
        <v>0</v>
      </c>
      <c r="N1134" s="8" t="n">
        <v>0</v>
      </c>
      <c r="O1134" s="8" t="n">
        <v>0</v>
      </c>
      <c r="P1134" s="8" t="n">
        <v>0</v>
      </c>
      <c r="Q1134" s="8" t="n">
        <v>0</v>
      </c>
      <c r="R1134" s="8" t="n">
        <v>0</v>
      </c>
      <c r="S1134" s="8" t="n">
        <v>0</v>
      </c>
      <c r="T1134" s="8" t="n">
        <v>0</v>
      </c>
      <c r="U1134" s="8" t="n">
        <v>0</v>
      </c>
      <c r="V1134" s="8" t="n">
        <v>0</v>
      </c>
      <c r="W1134" s="8" t="n">
        <v>0</v>
      </c>
      <c r="X1134" s="8" t="n">
        <v>0</v>
      </c>
      <c r="Y1134" s="8" t="inlineStr">
        <is>
          <t>GO play #2; FO play #24; GO play #57; LineOut play #71</t>
        </is>
      </c>
    </row>
    <row r="1135" ht="15.75" customHeight="1" s="35">
      <c r="A1135" s="8" t="inlineStr">
        <is>
          <t>2026-03-14_STHR_at_ATHL</t>
        </is>
      </c>
      <c r="B1135" s="3" t="n">
        <v>46095</v>
      </c>
      <c r="C1135" s="8" t="inlineStr">
        <is>
          <t>Atholton Varsity Raiders</t>
        </is>
      </c>
      <c r="D1135" s="8" t="inlineStr">
        <is>
          <t>STHR</t>
        </is>
      </c>
      <c r="E1135" s="8" t="inlineStr">
        <is>
          <t>G Crandell</t>
        </is>
      </c>
      <c r="F1135" s="8" t="n">
        <v>3</v>
      </c>
      <c r="G1135" s="8" t="n">
        <v>2</v>
      </c>
      <c r="H1135" s="8" t="n">
        <v>2</v>
      </c>
      <c r="I1135" s="8" t="n">
        <v>1</v>
      </c>
      <c r="J1135" s="8" t="n">
        <v>1</v>
      </c>
      <c r="K1135" s="8" t="n">
        <v>0</v>
      </c>
      <c r="L1135" s="8" t="n">
        <v>0</v>
      </c>
      <c r="M1135" s="8" t="n">
        <v>0</v>
      </c>
      <c r="N1135" s="8" t="n">
        <v>0</v>
      </c>
      <c r="O1135" s="8" t="n">
        <v>0</v>
      </c>
      <c r="P1135" s="8" t="n">
        <v>0</v>
      </c>
      <c r="Q1135" s="8" t="n">
        <v>0</v>
      </c>
      <c r="R1135" s="8" t="n">
        <v>2</v>
      </c>
      <c r="S1135" s="8" t="n">
        <v>1</v>
      </c>
      <c r="T1135" s="8" t="n">
        <v>1</v>
      </c>
      <c r="U1135" s="8" t="n">
        <v>0</v>
      </c>
      <c r="V1135" s="8" t="n">
        <v>0</v>
      </c>
      <c r="W1135" s="8" t="n">
        <v>0</v>
      </c>
      <c r="X1135" s="8" t="n">
        <v>0</v>
      </c>
      <c r="Y1135" s="8" t="inlineStr">
        <is>
          <t>SAC fly play #3 (no AB; RBI=1 B Crandell scores); 1B play #29; 2B play #58; R: B Bowers 2B play #32; J Dunkerly PR in play #60 (run on WP credited to G Crandell per CR rule); SB 3rd play #60</t>
        </is>
      </c>
    </row>
    <row r="1136" ht="15.75" customHeight="1" s="35">
      <c r="A1136" s="8" t="inlineStr">
        <is>
          <t>2026-03-14_STHR_at_ATHL</t>
        </is>
      </c>
      <c r="B1136" s="3" t="n">
        <v>46095</v>
      </c>
      <c r="C1136" s="8" t="inlineStr">
        <is>
          <t>Atholton Varsity Raiders</t>
        </is>
      </c>
      <c r="D1136" s="8" t="inlineStr">
        <is>
          <t>STHR</t>
        </is>
      </c>
      <c r="E1136" s="8" t="inlineStr">
        <is>
          <t>J Colton</t>
        </is>
      </c>
      <c r="F1136" s="8" t="n">
        <v>3</v>
      </c>
      <c r="G1136" s="8" t="n">
        <v>2</v>
      </c>
      <c r="H1136" s="8" t="n">
        <v>0</v>
      </c>
      <c r="I1136" s="8" t="n">
        <v>0</v>
      </c>
      <c r="J1136" s="8" t="n">
        <v>0</v>
      </c>
      <c r="K1136" s="8" t="n">
        <v>0</v>
      </c>
      <c r="L1136" s="8" t="n">
        <v>0</v>
      </c>
      <c r="M1136" s="8" t="n">
        <v>1</v>
      </c>
      <c r="N1136" s="8" t="n">
        <v>0</v>
      </c>
      <c r="O1136" s="8" t="n">
        <v>0</v>
      </c>
      <c r="P1136" s="8" t="n">
        <v>0</v>
      </c>
      <c r="Q1136" s="8" t="n">
        <v>0</v>
      </c>
      <c r="R1136" s="8" t="n">
        <v>2</v>
      </c>
      <c r="S1136" s="8" t="n">
        <v>0</v>
      </c>
      <c r="T1136" s="8" t="n">
        <v>2</v>
      </c>
      <c r="U1136" s="8" t="n">
        <v>0</v>
      </c>
      <c r="V1136" s="8" t="n">
        <v>0</v>
      </c>
      <c r="W1136" s="8" t="n">
        <v>0</v>
      </c>
      <c r="X1136" s="8" t="n">
        <v>0</v>
      </c>
      <c r="Y1136" s="8" t="inlineStr">
        <is>
          <t>PO play #4; BB play #30; Error play #59; R: B Bowers 2B play #32; steal of home play #61; SB 2nd play #60; SB home play #61</t>
        </is>
      </c>
    </row>
    <row r="1137" ht="15.75" customHeight="1" s="35">
      <c r="A1137" s="8" t="inlineStr">
        <is>
          <t>2026-03-14_STHR_at_ATHL</t>
        </is>
      </c>
      <c r="B1137" s="3" t="n">
        <v>46095</v>
      </c>
      <c r="C1137" s="8" t="inlineStr">
        <is>
          <t>Atholton Varsity Raiders</t>
        </is>
      </c>
      <c r="D1137" s="8" t="inlineStr">
        <is>
          <t>STHR</t>
        </is>
      </c>
      <c r="E1137" s="8" t="inlineStr">
        <is>
          <t>N Youmans</t>
        </is>
      </c>
      <c r="F1137" s="8" t="n">
        <v>3</v>
      </c>
      <c r="G1137" s="8" t="n">
        <v>2</v>
      </c>
      <c r="H1137" s="8" t="n">
        <v>1</v>
      </c>
      <c r="I1137" s="8" t="n">
        <v>1</v>
      </c>
      <c r="J1137" s="8" t="n">
        <v>0</v>
      </c>
      <c r="K1137" s="8" t="n">
        <v>0</v>
      </c>
      <c r="L1137" s="8" t="n">
        <v>0</v>
      </c>
      <c r="M1137" s="8" t="n">
        <v>1</v>
      </c>
      <c r="N1137" s="8" t="n">
        <v>0</v>
      </c>
      <c r="O1137" s="8" t="n">
        <v>0</v>
      </c>
      <c r="P1137" s="8" t="n">
        <v>0</v>
      </c>
      <c r="Q1137" s="8" t="n">
        <v>0</v>
      </c>
      <c r="R1137" s="8" t="n">
        <v>2</v>
      </c>
      <c r="S1137" s="8" t="n">
        <v>0</v>
      </c>
      <c r="T1137" s="8" t="n">
        <v>4</v>
      </c>
      <c r="U1137" s="8" t="n">
        <v>0</v>
      </c>
      <c r="V1137" s="8" t="n">
        <v>0</v>
      </c>
      <c r="W1137" s="8" t="n">
        <v>0</v>
      </c>
      <c r="X1137" s="8" t="n">
        <v>0</v>
      </c>
      <c r="Y1137" s="8" t="inlineStr">
        <is>
          <t>1B play #8; GO play #31; BB play #60; R: G Godfrey 1B play #10; B Bowers 2B play #61; SB 2nd+3rd play #10; SB 2nd+3rd play #61 (4 total SB); also pitches B1-B3 (inferred)</t>
        </is>
      </c>
    </row>
    <row r="1138" ht="15.75" customHeight="1" s="35">
      <c r="A1138" s="8" t="inlineStr">
        <is>
          <t>2026-03-14_STHR_at_ATHL</t>
        </is>
      </c>
      <c r="B1138" s="3" t="n">
        <v>46095</v>
      </c>
      <c r="C1138" s="8" t="inlineStr">
        <is>
          <t>Atholton Varsity Raiders</t>
        </is>
      </c>
      <c r="D1138" s="8" t="inlineStr">
        <is>
          <t>STHR</t>
        </is>
      </c>
      <c r="E1138" s="8" t="inlineStr">
        <is>
          <t>B Bowers</t>
        </is>
      </c>
      <c r="F1138" s="8" t="n">
        <v>3</v>
      </c>
      <c r="G1138" s="8" t="n">
        <v>3</v>
      </c>
      <c r="H1138" s="8" t="n">
        <v>2</v>
      </c>
      <c r="I1138" s="8" t="n">
        <v>0</v>
      </c>
      <c r="J1138" s="8" t="n">
        <v>2</v>
      </c>
      <c r="K1138" s="8" t="n">
        <v>0</v>
      </c>
      <c r="L1138" s="8" t="n">
        <v>0</v>
      </c>
      <c r="M1138" s="8" t="n">
        <v>0</v>
      </c>
      <c r="N1138" s="8" t="n">
        <v>0</v>
      </c>
      <c r="O1138" s="8" t="n">
        <v>1</v>
      </c>
      <c r="P1138" s="8" t="n">
        <v>1</v>
      </c>
      <c r="Q1138" s="8" t="n">
        <v>0</v>
      </c>
      <c r="R1138" s="8" t="n">
        <v>0</v>
      </c>
      <c r="S1138" s="8" t="n">
        <v>3</v>
      </c>
      <c r="T1138" s="8" t="n">
        <v>0</v>
      </c>
      <c r="U1138" s="8" t="n">
        <v>0</v>
      </c>
      <c r="V1138" s="8" t="n">
        <v>0</v>
      </c>
      <c r="W1138" s="8" t="n">
        <v>0</v>
      </c>
      <c r="X1138" s="8" t="n">
        <v>0</v>
      </c>
      <c r="Y1138" s="8" t="inlineStr">
        <is>
          <t>K_L play #9; 2B play #32 (RBI=2: G Crandell+J Colton); 2B play #61 (RBI=1: N Youmans; J Colton scored on steal of home — no RBI)</t>
        </is>
      </c>
    </row>
    <row r="1139" ht="15.75" customHeight="1" s="35">
      <c r="A1139" s="8" t="inlineStr">
        <is>
          <t>2026-03-14_STHR_at_ATHL</t>
        </is>
      </c>
      <c r="B1139" s="3" t="n">
        <v>46095</v>
      </c>
      <c r="C1139" s="8" t="inlineStr">
        <is>
          <t>Atholton Varsity Raiders</t>
        </is>
      </c>
      <c r="D1139" s="8" t="inlineStr">
        <is>
          <t>STHR</t>
        </is>
      </c>
      <c r="E1139" s="8" t="inlineStr">
        <is>
          <t>G Godfrey</t>
        </is>
      </c>
      <c r="F1139" s="8" t="n">
        <v>3</v>
      </c>
      <c r="G1139" s="8" t="n">
        <v>3</v>
      </c>
      <c r="H1139" s="8" t="n">
        <v>1</v>
      </c>
      <c r="I1139" s="8" t="n">
        <v>1</v>
      </c>
      <c r="J1139" s="8" t="n">
        <v>0</v>
      </c>
      <c r="K1139" s="8" t="n">
        <v>0</v>
      </c>
      <c r="L1139" s="8" t="n">
        <v>0</v>
      </c>
      <c r="M1139" s="8" t="n">
        <v>0</v>
      </c>
      <c r="N1139" s="8" t="n">
        <v>0</v>
      </c>
      <c r="O1139" s="8" t="n">
        <v>1</v>
      </c>
      <c r="P1139" s="8" t="n">
        <v>1</v>
      </c>
      <c r="Q1139" s="8" t="n">
        <v>0</v>
      </c>
      <c r="R1139" s="8" t="n">
        <v>0</v>
      </c>
      <c r="S1139" s="8" t="n">
        <v>1</v>
      </c>
      <c r="T1139" s="8" t="n">
        <v>0</v>
      </c>
      <c r="U1139" s="8" t="n">
        <v>0</v>
      </c>
      <c r="V1139" s="8" t="n">
        <v>0</v>
      </c>
      <c r="W1139" s="8" t="n">
        <v>0</v>
      </c>
      <c r="X1139" s="8" t="n">
        <v>0</v>
      </c>
      <c r="Y1139" s="8" t="inlineStr">
        <is>
          <t>1B play #10 (RBI=1 N Youmans scores); GO play #33; K_L play #62; also pitches B7</t>
        </is>
      </c>
    </row>
    <row r="1140" ht="15.75" customHeight="1" s="35">
      <c r="A1140" s="8" t="inlineStr">
        <is>
          <t>2026-03-14_STHR_at_ATHL</t>
        </is>
      </c>
      <c r="B1140" s="3" t="n">
        <v>46095</v>
      </c>
      <c r="C1140" s="8" t="inlineStr">
        <is>
          <t>Atholton Varsity Raiders</t>
        </is>
      </c>
      <c r="D1140" s="8" t="inlineStr">
        <is>
          <t>STHR</t>
        </is>
      </c>
      <c r="E1140" s="8" t="inlineStr">
        <is>
          <t>W Thomas</t>
        </is>
      </c>
      <c r="F1140" s="8" t="n">
        <v>2</v>
      </c>
      <c r="G1140" s="8" t="n">
        <v>1</v>
      </c>
      <c r="H1140" s="8" t="n">
        <v>0</v>
      </c>
      <c r="I1140" s="8" t="n">
        <v>0</v>
      </c>
      <c r="J1140" s="8" t="n">
        <v>0</v>
      </c>
      <c r="K1140" s="8" t="n">
        <v>0</v>
      </c>
      <c r="L1140" s="8" t="n">
        <v>0</v>
      </c>
      <c r="M1140" s="8" t="n">
        <v>1</v>
      </c>
      <c r="N1140" s="8" t="n">
        <v>0</v>
      </c>
      <c r="O1140" s="8" t="n">
        <v>0</v>
      </c>
      <c r="P1140" s="8" t="n">
        <v>0</v>
      </c>
      <c r="Q1140" s="8" t="n">
        <v>0</v>
      </c>
      <c r="R1140" s="8" t="n">
        <v>0</v>
      </c>
      <c r="S1140" s="8" t="n">
        <v>0</v>
      </c>
      <c r="T1140" s="8" t="n">
        <v>0</v>
      </c>
      <c r="U1140" s="8" t="n">
        <v>0</v>
      </c>
      <c r="V1140" s="8" t="n">
        <v>0</v>
      </c>
      <c r="W1140" s="8" t="n">
        <v>0</v>
      </c>
      <c r="X1140" s="8" t="n">
        <v>0</v>
      </c>
      <c r="Y1140" s="8" t="inlineStr">
        <is>
          <t>FO play #11; Runner Out play #12 skipped (G Godfrey pickoff, not W Thomas PA); BB play #34; subbed by G Colhoun play #63; also pitches B6</t>
        </is>
      </c>
    </row>
    <row r="1141" ht="15.75" customHeight="1" s="35">
      <c r="A1141" s="8" t="inlineStr">
        <is>
          <t>2026-03-14_STHR_at_ATHL</t>
        </is>
      </c>
      <c r="B1141" s="3" t="n">
        <v>46095</v>
      </c>
      <c r="C1141" s="8" t="inlineStr">
        <is>
          <t>Atholton Varsity Raiders</t>
        </is>
      </c>
      <c r="D1141" s="8" t="inlineStr">
        <is>
          <t>STHR</t>
        </is>
      </c>
      <c r="E1141" s="8" t="inlineStr">
        <is>
          <t>T Evan</t>
        </is>
      </c>
      <c r="F1141" s="8" t="n">
        <v>2</v>
      </c>
      <c r="G1141" s="8" t="n">
        <v>2</v>
      </c>
      <c r="H1141" s="8" t="n">
        <v>0</v>
      </c>
      <c r="I1141" s="8" t="n">
        <v>0</v>
      </c>
      <c r="J1141" s="8" t="n">
        <v>0</v>
      </c>
      <c r="K1141" s="8" t="n">
        <v>0</v>
      </c>
      <c r="L1141" s="8" t="n">
        <v>0</v>
      </c>
      <c r="M1141" s="8" t="n">
        <v>0</v>
      </c>
      <c r="N1141" s="8" t="n">
        <v>0</v>
      </c>
      <c r="O1141" s="8" t="n">
        <v>0</v>
      </c>
      <c r="P1141" s="8" t="n">
        <v>0</v>
      </c>
      <c r="Q1141" s="8" t="n">
        <v>0</v>
      </c>
      <c r="R1141" s="8" t="n">
        <v>0</v>
      </c>
      <c r="S1141" s="8" t="n">
        <v>0</v>
      </c>
      <c r="T1141" s="8" t="n">
        <v>0</v>
      </c>
      <c r="U1141" s="8" t="n">
        <v>0</v>
      </c>
      <c r="V1141" s="8" t="n">
        <v>0</v>
      </c>
      <c r="W1141" s="8" t="n">
        <v>0</v>
      </c>
      <c r="X1141" s="8" t="n">
        <v>0</v>
      </c>
      <c r="Y1141" s="8" t="inlineStr">
        <is>
          <t>PO play #20; FO play #35; subbed by N Simmons play #67; also pitches B4-B5</t>
        </is>
      </c>
    </row>
    <row r="1142" ht="15.75" customHeight="1" s="35">
      <c r="A1142" s="8" t="inlineStr">
        <is>
          <t>2026-03-14_STHR_at_ATHL</t>
        </is>
      </c>
      <c r="B1142" s="3" t="n">
        <v>46095</v>
      </c>
      <c r="C1142" s="8" t="inlineStr">
        <is>
          <t>Atholton Varsity Raiders</t>
        </is>
      </c>
      <c r="D1142" s="8" t="inlineStr">
        <is>
          <t>STHR</t>
        </is>
      </c>
      <c r="E1142" s="8" t="inlineStr">
        <is>
          <t>B Michaud</t>
        </is>
      </c>
      <c r="F1142" s="8" t="n">
        <v>2</v>
      </c>
      <c r="G1142" s="8" t="n">
        <v>2</v>
      </c>
      <c r="H1142" s="8" t="n">
        <v>0</v>
      </c>
      <c r="I1142" s="8" t="n">
        <v>0</v>
      </c>
      <c r="J1142" s="8" t="n">
        <v>0</v>
      </c>
      <c r="K1142" s="8" t="n">
        <v>0</v>
      </c>
      <c r="L1142" s="8" t="n">
        <v>0</v>
      </c>
      <c r="M1142" s="8" t="n">
        <v>0</v>
      </c>
      <c r="N1142" s="8" t="n">
        <v>0</v>
      </c>
      <c r="O1142" s="8" t="n">
        <v>1</v>
      </c>
      <c r="P1142" s="8" t="n">
        <v>0</v>
      </c>
      <c r="Q1142" s="8" t="n">
        <v>1</v>
      </c>
      <c r="R1142" s="8" t="n">
        <v>0</v>
      </c>
      <c r="S1142" s="8" t="n">
        <v>0</v>
      </c>
      <c r="T1142" s="8" t="n">
        <v>0</v>
      </c>
      <c r="U1142" s="8" t="n">
        <v>0</v>
      </c>
      <c r="V1142" s="8" t="n">
        <v>0</v>
      </c>
      <c r="W1142" s="8" t="n">
        <v>0</v>
      </c>
      <c r="X1142" s="8" t="n">
        <v>0</v>
      </c>
      <c r="Y1142" s="8" t="inlineStr">
        <is>
          <t>GO play #21; K_S play #47; subbed by S Lopez play #68</t>
        </is>
      </c>
    </row>
    <row r="1143" ht="15.75" customHeight="1" s="35">
      <c r="A1143" s="8" t="inlineStr">
        <is>
          <t>2026-03-14_STHR_at_ATHL</t>
        </is>
      </c>
      <c r="B1143" s="3" t="n">
        <v>46095</v>
      </c>
      <c r="C1143" s="8" t="inlineStr">
        <is>
          <t>Atholton Varsity Raiders</t>
        </is>
      </c>
      <c r="D1143" s="8" t="inlineStr">
        <is>
          <t>STHR</t>
        </is>
      </c>
      <c r="E1143" s="8" t="inlineStr">
        <is>
          <t>C Perkins</t>
        </is>
      </c>
      <c r="F1143" s="8" t="n">
        <v>3</v>
      </c>
      <c r="G1143" s="8" t="n">
        <v>2</v>
      </c>
      <c r="H1143" s="8" t="n">
        <v>0</v>
      </c>
      <c r="I1143" s="8" t="n">
        <v>0</v>
      </c>
      <c r="J1143" s="8" t="n">
        <v>0</v>
      </c>
      <c r="K1143" s="8" t="n">
        <v>0</v>
      </c>
      <c r="L1143" s="8" t="n">
        <v>0</v>
      </c>
      <c r="M1143" s="8" t="n">
        <v>1</v>
      </c>
      <c r="N1143" s="8" t="n">
        <v>0</v>
      </c>
      <c r="O1143" s="8" t="n">
        <v>1</v>
      </c>
      <c r="P1143" s="8" t="n">
        <v>0</v>
      </c>
      <c r="Q1143" s="8" t="n">
        <v>1</v>
      </c>
      <c r="R1143" s="8" t="n">
        <v>1</v>
      </c>
      <c r="S1143" s="8" t="n">
        <v>0</v>
      </c>
      <c r="T1143" s="8" t="n">
        <v>0</v>
      </c>
      <c r="U1143" s="8" t="n">
        <v>0</v>
      </c>
      <c r="V1143" s="8" t="n">
        <v>0</v>
      </c>
      <c r="W1143" s="8" t="n">
        <v>0</v>
      </c>
      <c r="X1143" s="8" t="n">
        <v>0</v>
      </c>
      <c r="Y1143" s="8" t="inlineStr">
        <is>
          <t>Error play #22; K_S play #48; BB play #69; R: B Crandell HR play #23; courtesy runner T Veith in play #70 — C Perkins did not score</t>
        </is>
      </c>
    </row>
    <row r="1144" ht="15.75" customHeight="1" s="35">
      <c r="A1144" s="8" t="inlineStr">
        <is>
          <t>2026-03-14_STHR_at_ATHL</t>
        </is>
      </c>
      <c r="B1144" s="3" t="n">
        <v>46095</v>
      </c>
      <c r="C1144" s="8" t="inlineStr">
        <is>
          <t>Atholton Varsity Raiders</t>
        </is>
      </c>
      <c r="D1144" s="8" t="inlineStr">
        <is>
          <t>STHR</t>
        </is>
      </c>
      <c r="E1144" s="8" t="inlineStr">
        <is>
          <t>G Colhoun</t>
        </is>
      </c>
      <c r="F1144" s="8" t="n">
        <v>1</v>
      </c>
      <c r="G1144" s="8" t="n">
        <v>1</v>
      </c>
      <c r="H1144" s="8" t="n">
        <v>0</v>
      </c>
      <c r="I1144" s="8" t="n">
        <v>0</v>
      </c>
      <c r="J1144" s="8" t="n">
        <v>0</v>
      </c>
      <c r="K1144" s="8" t="n">
        <v>0</v>
      </c>
      <c r="L1144" s="8" t="n">
        <v>0</v>
      </c>
      <c r="M1144" s="8" t="n">
        <v>0</v>
      </c>
      <c r="N1144" s="8" t="n">
        <v>0</v>
      </c>
      <c r="O1144" s="8" t="n">
        <v>0</v>
      </c>
      <c r="P1144" s="8" t="n">
        <v>0</v>
      </c>
      <c r="Q1144" s="8" t="n">
        <v>0</v>
      </c>
      <c r="R1144" s="8" t="n">
        <v>0</v>
      </c>
      <c r="S1144" s="8" t="n">
        <v>0</v>
      </c>
      <c r="T1144" s="8" t="n">
        <v>0</v>
      </c>
      <c r="U1144" s="8" t="n">
        <v>0</v>
      </c>
      <c r="V1144" s="8" t="n">
        <v>0</v>
      </c>
      <c r="W1144" s="8" t="n">
        <v>0</v>
      </c>
      <c r="X1144" s="8" t="n">
        <v>0</v>
      </c>
      <c r="Y1144" s="8" t="inlineStr">
        <is>
          <t>PH for W Thomas play #63; LineOut play #63</t>
        </is>
      </c>
    </row>
    <row r="1145" ht="15.75" customHeight="1" s="35">
      <c r="A1145" s="8" t="inlineStr">
        <is>
          <t>2026-03-14_STHR_at_ATHL</t>
        </is>
      </c>
      <c r="B1145" s="3" t="n">
        <v>46095</v>
      </c>
      <c r="C1145" s="8" t="inlineStr">
        <is>
          <t>Atholton Varsity Raiders</t>
        </is>
      </c>
      <c r="D1145" s="8" t="inlineStr">
        <is>
          <t>STHR</t>
        </is>
      </c>
      <c r="E1145" s="8" t="inlineStr">
        <is>
          <t>N Simmons</t>
        </is>
      </c>
      <c r="F1145" s="8" t="n">
        <v>1</v>
      </c>
      <c r="G1145" s="8" t="n">
        <v>1</v>
      </c>
      <c r="H1145" s="8" t="n">
        <v>0</v>
      </c>
      <c r="I1145" s="8" t="n">
        <v>0</v>
      </c>
      <c r="J1145" s="8" t="n">
        <v>0</v>
      </c>
      <c r="K1145" s="8" t="n">
        <v>0</v>
      </c>
      <c r="L1145" s="8" t="n">
        <v>0</v>
      </c>
      <c r="M1145" s="8" t="n">
        <v>0</v>
      </c>
      <c r="N1145" s="8" t="n">
        <v>0</v>
      </c>
      <c r="O1145" s="8" t="n">
        <v>1</v>
      </c>
      <c r="P1145" s="8" t="n">
        <v>1</v>
      </c>
      <c r="Q1145" s="8" t="n">
        <v>0</v>
      </c>
      <c r="R1145" s="8" t="n">
        <v>0</v>
      </c>
      <c r="S1145" s="8" t="n">
        <v>0</v>
      </c>
      <c r="T1145" s="8" t="n">
        <v>0</v>
      </c>
      <c r="U1145" s="8" t="n">
        <v>0</v>
      </c>
      <c r="V1145" s="8" t="n">
        <v>0</v>
      </c>
      <c r="W1145" s="8" t="n">
        <v>0</v>
      </c>
      <c r="X1145" s="8" t="n">
        <v>0</v>
      </c>
      <c r="Y1145" s="8" t="inlineStr">
        <is>
          <t>PH for T Evan play #67; K_L play #67</t>
        </is>
      </c>
    </row>
    <row r="1146" ht="15.75" customHeight="1" s="35">
      <c r="A1146" s="8" t="inlineStr">
        <is>
          <t>2026-03-14_STHR_at_ATHL</t>
        </is>
      </c>
      <c r="B1146" s="3" t="n">
        <v>46095</v>
      </c>
      <c r="C1146" s="8" t="inlineStr">
        <is>
          <t>Atholton Varsity Raiders</t>
        </is>
      </c>
      <c r="D1146" s="8" t="inlineStr">
        <is>
          <t>STHR</t>
        </is>
      </c>
      <c r="E1146" s="8" t="inlineStr">
        <is>
          <t>S Lopez</t>
        </is>
      </c>
      <c r="F1146" s="8" t="n">
        <v>1</v>
      </c>
      <c r="G1146" s="8" t="n">
        <v>0</v>
      </c>
      <c r="H1146" s="8" t="n">
        <v>0</v>
      </c>
      <c r="I1146" s="8" t="n">
        <v>0</v>
      </c>
      <c r="J1146" s="8" t="n">
        <v>0</v>
      </c>
      <c r="K1146" s="8" t="n">
        <v>0</v>
      </c>
      <c r="L1146" s="8" t="n">
        <v>0</v>
      </c>
      <c r="M1146" s="8" t="n">
        <v>0</v>
      </c>
      <c r="N1146" s="8" t="n">
        <v>1</v>
      </c>
      <c r="O1146" s="8" t="n">
        <v>0</v>
      </c>
      <c r="P1146" s="8" t="n">
        <v>0</v>
      </c>
      <c r="Q1146" s="8" t="n">
        <v>0</v>
      </c>
      <c r="R1146" s="8" t="n">
        <v>0</v>
      </c>
      <c r="S1146" s="8" t="n">
        <v>0</v>
      </c>
      <c r="T1146" s="8" t="n">
        <v>0</v>
      </c>
      <c r="U1146" s="8" t="n">
        <v>0</v>
      </c>
      <c r="V1146" s="8" t="n">
        <v>0</v>
      </c>
      <c r="W1146" s="8" t="n">
        <v>0</v>
      </c>
      <c r="X1146" s="8" t="n">
        <v>0</v>
      </c>
      <c r="Y1146" s="8" t="inlineStr">
        <is>
          <t>PH for B Michaud play #68; HBP play #68</t>
        </is>
      </c>
    </row>
    <row r="1147" ht="15.75" customHeight="1" s="35">
      <c r="A1147" s="8" t="inlineStr">
        <is>
          <t>2026-03-14_STHR_at_ATHL</t>
        </is>
      </c>
      <c r="B1147" s="3" t="n">
        <v>46095</v>
      </c>
      <c r="C1147" s="8" t="inlineStr">
        <is>
          <t>Atholton Varsity Raiders</t>
        </is>
      </c>
      <c r="D1147" s="8" t="inlineStr">
        <is>
          <t>STHR</t>
        </is>
      </c>
      <c r="E1147" s="8" t="inlineStr">
        <is>
          <t>G Bowen</t>
        </is>
      </c>
      <c r="F1147" s="8" t="n">
        <v>1</v>
      </c>
      <c r="G1147" s="8" t="n">
        <v>1</v>
      </c>
      <c r="H1147" s="8" t="n">
        <v>0</v>
      </c>
      <c r="I1147" s="8" t="n">
        <v>0</v>
      </c>
      <c r="J1147" s="8" t="n">
        <v>0</v>
      </c>
      <c r="K1147" s="8" t="n">
        <v>0</v>
      </c>
      <c r="L1147" s="8" t="n">
        <v>0</v>
      </c>
      <c r="M1147" s="8" t="n">
        <v>0</v>
      </c>
      <c r="N1147" s="8" t="n">
        <v>0</v>
      </c>
      <c r="O1147" s="8" t="n">
        <v>1</v>
      </c>
      <c r="P1147" s="8" t="n">
        <v>1</v>
      </c>
      <c r="Q1147" s="8" t="n">
        <v>0</v>
      </c>
      <c r="R1147" s="8" t="n">
        <v>0</v>
      </c>
      <c r="S1147" s="8" t="n">
        <v>0</v>
      </c>
      <c r="T1147" s="8" t="n">
        <v>0</v>
      </c>
      <c r="U1147" s="8" t="n">
        <v>0</v>
      </c>
      <c r="V1147" s="8" t="n">
        <v>0</v>
      </c>
      <c r="W1147" s="8" t="n">
        <v>0</v>
      </c>
      <c r="X1147" s="8" t="n">
        <v>0</v>
      </c>
      <c r="Y1147" s="8" t="inlineStr">
        <is>
          <t>PH for B Crandell play #70; K_L play #70; also pitches B4</t>
        </is>
      </c>
    </row>
    <row r="1148" ht="15.75" customHeight="1" s="35">
      <c r="A1148" s="8" t="inlineStr">
        <is>
          <t>2026-03-14_STHR_at_ATHL</t>
        </is>
      </c>
      <c r="B1148" s="3" t="n">
        <v>46095</v>
      </c>
      <c r="C1148" s="8" t="inlineStr">
        <is>
          <t>Southern Varsity Bulldogs</t>
        </is>
      </c>
      <c r="D1148" s="8" t="inlineStr">
        <is>
          <t>ATHL</t>
        </is>
      </c>
      <c r="E1148" s="8" t="inlineStr">
        <is>
          <t>J Dailey</t>
        </is>
      </c>
      <c r="F1148" s="8" t="n">
        <v>4</v>
      </c>
      <c r="G1148" s="8" t="n">
        <v>2</v>
      </c>
      <c r="H1148" s="8" t="n">
        <v>0</v>
      </c>
      <c r="I1148" s="8" t="n">
        <v>0</v>
      </c>
      <c r="J1148" s="8" t="n">
        <v>0</v>
      </c>
      <c r="K1148" s="8" t="n">
        <v>0</v>
      </c>
      <c r="L1148" s="8" t="n">
        <v>0</v>
      </c>
      <c r="M1148" s="8" t="n">
        <v>1</v>
      </c>
      <c r="N1148" s="8" t="n">
        <v>1</v>
      </c>
      <c r="O1148" s="8" t="n">
        <v>1</v>
      </c>
      <c r="P1148" s="8" t="n">
        <v>1</v>
      </c>
      <c r="Q1148" s="8" t="n">
        <v>0</v>
      </c>
      <c r="R1148" s="8" t="n">
        <v>0</v>
      </c>
      <c r="S1148" s="8" t="n">
        <v>0</v>
      </c>
      <c r="T1148" s="8" t="n">
        <v>1</v>
      </c>
      <c r="U1148" s="8" t="n">
        <v>0</v>
      </c>
      <c r="V1148" s="8" t="n">
        <v>0</v>
      </c>
      <c r="W1148" s="8" t="n">
        <v>0</v>
      </c>
      <c r="X1148" s="8" t="n">
        <v>0</v>
      </c>
      <c r="Y1148" s="8" t="inlineStr">
        <is>
          <t>K_L play #5; HBP play #26; BB play #44; PO play #66; SB 2nd play #27; picked off 2nd play #27 — not CS (pickoff)</t>
        </is>
      </c>
    </row>
    <row r="1149" ht="15.75" customHeight="1" s="35">
      <c r="A1149" s="8" t="inlineStr">
        <is>
          <t>2026-03-14_STHR_at_ATHL</t>
        </is>
      </c>
      <c r="B1149" s="3" t="n">
        <v>46095</v>
      </c>
      <c r="C1149" s="8" t="inlineStr">
        <is>
          <t>Southern Varsity Bulldogs</t>
        </is>
      </c>
      <c r="D1149" s="8" t="inlineStr">
        <is>
          <t>ATHL</t>
        </is>
      </c>
      <c r="E1149" s="8" t="inlineStr">
        <is>
          <t>#9</t>
        </is>
      </c>
      <c r="F1149" s="8" t="n">
        <v>4</v>
      </c>
      <c r="G1149" s="8" t="n">
        <v>4</v>
      </c>
      <c r="H1149" s="8" t="n">
        <v>2</v>
      </c>
      <c r="I1149" s="8" t="n">
        <v>2</v>
      </c>
      <c r="J1149" s="8" t="n">
        <v>0</v>
      </c>
      <c r="K1149" s="8" t="n">
        <v>0</v>
      </c>
      <c r="L1149" s="8" t="n">
        <v>0</v>
      </c>
      <c r="M1149" s="8" t="n">
        <v>0</v>
      </c>
      <c r="N1149" s="8" t="n">
        <v>0</v>
      </c>
      <c r="O1149" s="8" t="n">
        <v>0</v>
      </c>
      <c r="P1149" s="8" t="n">
        <v>0</v>
      </c>
      <c r="Q1149" s="8" t="n">
        <v>0</v>
      </c>
      <c r="R1149" s="8" t="n">
        <v>0</v>
      </c>
      <c r="S1149" s="8" t="n">
        <v>0</v>
      </c>
      <c r="T1149" s="8" t="n">
        <v>0</v>
      </c>
      <c r="U1149" s="8" t="n">
        <v>0</v>
      </c>
      <c r="V1149" s="8" t="n">
        <v>0</v>
      </c>
      <c r="W1149" s="8" t="n">
        <v>0</v>
      </c>
      <c r="X1149" s="8" t="n">
        <v>0</v>
      </c>
      <c r="Y1149" s="8" t="inlineStr">
        <is>
          <t>1B play #6; 1B play #27; Error play #45 (reaches); LineOut play #72; picked off 1st play #7 — not CS</t>
        </is>
      </c>
    </row>
    <row r="1150" ht="15.75" customHeight="1" s="35">
      <c r="A1150" s="8" t="inlineStr">
        <is>
          <t>2026-03-14_STHR_at_ATHL</t>
        </is>
      </c>
      <c r="B1150" s="3" t="n">
        <v>46095</v>
      </c>
      <c r="C1150" s="8" t="inlineStr">
        <is>
          <t>Southern Varsity Bulldogs</t>
        </is>
      </c>
      <c r="D1150" s="8" t="inlineStr">
        <is>
          <t>ATHL</t>
        </is>
      </c>
      <c r="E1150" s="8" t="inlineStr">
        <is>
          <t>N Weinig</t>
        </is>
      </c>
      <c r="F1150" s="8" t="n">
        <v>4</v>
      </c>
      <c r="G1150" s="8" t="n">
        <v>4</v>
      </c>
      <c r="H1150" s="8" t="n">
        <v>1</v>
      </c>
      <c r="I1150" s="8" t="n">
        <v>1</v>
      </c>
      <c r="J1150" s="8" t="n">
        <v>0</v>
      </c>
      <c r="K1150" s="8" t="n">
        <v>0</v>
      </c>
      <c r="L1150" s="8" t="n">
        <v>0</v>
      </c>
      <c r="M1150" s="8" t="n">
        <v>0</v>
      </c>
      <c r="N1150" s="8" t="n">
        <v>0</v>
      </c>
      <c r="O1150" s="8" t="n">
        <v>0</v>
      </c>
      <c r="P1150" s="8" t="n">
        <v>0</v>
      </c>
      <c r="Q1150" s="8" t="n">
        <v>0</v>
      </c>
      <c r="R1150" s="8" t="n">
        <v>1</v>
      </c>
      <c r="S1150" s="8" t="n">
        <v>0</v>
      </c>
      <c r="T1150" s="8" t="n">
        <v>0</v>
      </c>
      <c r="U1150" s="8" t="n">
        <v>0</v>
      </c>
      <c r="V1150" s="8" t="n">
        <v>0</v>
      </c>
      <c r="W1150" s="8" t="n">
        <v>0</v>
      </c>
      <c r="X1150" s="8" t="n">
        <v>0</v>
      </c>
      <c r="Y1150" s="8" t="inlineStr">
        <is>
          <t>GO play #7; FO play #28; GO play #46; 1B play #73; R: WP play #76 (game-ending walk-off)</t>
        </is>
      </c>
    </row>
    <row r="1151" ht="15.75" customHeight="1" s="35">
      <c r="A1151" s="8" t="inlineStr">
        <is>
          <t>2026-03-14_STHR_at_ATHL</t>
        </is>
      </c>
      <c r="B1151" s="3" t="n">
        <v>46095</v>
      </c>
      <c r="C1151" s="8" t="inlineStr">
        <is>
          <t>Southern Varsity Bulldogs</t>
        </is>
      </c>
      <c r="D1151" s="8" t="inlineStr">
        <is>
          <t>ATHL</t>
        </is>
      </c>
      <c r="E1151" s="8" t="inlineStr">
        <is>
          <t>L Conroy</t>
        </is>
      </c>
      <c r="F1151" s="8" t="n">
        <v>4</v>
      </c>
      <c r="G1151" s="8" t="n">
        <v>2</v>
      </c>
      <c r="H1151" s="8" t="n">
        <v>1</v>
      </c>
      <c r="I1151" s="8" t="n">
        <v>1</v>
      </c>
      <c r="J1151" s="8" t="n">
        <v>0</v>
      </c>
      <c r="K1151" s="8" t="n">
        <v>0</v>
      </c>
      <c r="L1151" s="8" t="n">
        <v>0</v>
      </c>
      <c r="M1151" s="8" t="n">
        <v>2</v>
      </c>
      <c r="N1151" s="8" t="n">
        <v>0</v>
      </c>
      <c r="O1151" s="8" t="n">
        <v>0</v>
      </c>
      <c r="P1151" s="8" t="n">
        <v>0</v>
      </c>
      <c r="Q1151" s="8" t="n">
        <v>0</v>
      </c>
      <c r="R1151" s="8" t="n">
        <v>2</v>
      </c>
      <c r="S1151" s="8" t="n">
        <v>0</v>
      </c>
      <c r="T1151" s="8" t="n">
        <v>3</v>
      </c>
      <c r="U1151" s="8" t="n">
        <v>0</v>
      </c>
      <c r="V1151" s="8" t="n">
        <v>0</v>
      </c>
      <c r="W1151" s="8" t="n">
        <v>0</v>
      </c>
      <c r="X1151" s="8" t="n">
        <v>0</v>
      </c>
      <c r="Y1151" s="8" t="inlineStr">
        <is>
          <t>1B play #13; BB play #36; GO play #51; BB play #74; R: driven in by #8 GO play #14; T MacKenzie 2B play #38; SB 2nd play #14; SB 2nd+3rd plays #37 (3 total SB)</t>
        </is>
      </c>
    </row>
    <row r="1152" ht="15.75" customHeight="1" s="35">
      <c r="A1152" s="8" t="inlineStr">
        <is>
          <t>2026-03-14_STHR_at_ATHL</t>
        </is>
      </c>
      <c r="B1152" s="3" t="n">
        <v>46095</v>
      </c>
      <c r="C1152" s="8" t="inlineStr">
        <is>
          <t>Southern Varsity Bulldogs</t>
        </is>
      </c>
      <c r="D1152" s="8" t="inlineStr">
        <is>
          <t>ATHL</t>
        </is>
      </c>
      <c r="E1152" s="8" t="inlineStr">
        <is>
          <t>#8</t>
        </is>
      </c>
      <c r="F1152" s="8" t="n">
        <v>4</v>
      </c>
      <c r="G1152" s="8" t="n">
        <v>4</v>
      </c>
      <c r="H1152" s="8" t="n">
        <v>0</v>
      </c>
      <c r="I1152" s="8" t="n">
        <v>0</v>
      </c>
      <c r="J1152" s="8" t="n">
        <v>0</v>
      </c>
      <c r="K1152" s="8" t="n">
        <v>0</v>
      </c>
      <c r="L1152" s="8" t="n">
        <v>0</v>
      </c>
      <c r="M1152" s="8" t="n">
        <v>0</v>
      </c>
      <c r="N1152" s="8" t="n">
        <v>0</v>
      </c>
      <c r="O1152" s="8" t="n">
        <v>0</v>
      </c>
      <c r="P1152" s="8" t="n">
        <v>0</v>
      </c>
      <c r="Q1152" s="8" t="n">
        <v>0</v>
      </c>
      <c r="R1152" s="8" t="n">
        <v>0</v>
      </c>
      <c r="S1152" s="8" t="n">
        <v>1</v>
      </c>
      <c r="T1152" s="8" t="n">
        <v>0</v>
      </c>
      <c r="U1152" s="8" t="n">
        <v>0</v>
      </c>
      <c r="V1152" s="8" t="n">
        <v>0</v>
      </c>
      <c r="W1152" s="8" t="n">
        <v>0</v>
      </c>
      <c r="X1152" s="8" t="n">
        <v>0</v>
      </c>
      <c r="Y1152" s="8" t="inlineStr">
        <is>
          <t>GO play #14 (RBI=1: L Conroy scores); GO play #37; GO play #52; Error play #75; also pitches T4-T5</t>
        </is>
      </c>
    </row>
    <row r="1153" ht="15.75" customHeight="1" s="35">
      <c r="A1153" s="8" t="inlineStr">
        <is>
          <t>2026-03-14_STHR_at_ATHL</t>
        </is>
      </c>
      <c r="B1153" s="3" t="n">
        <v>46095</v>
      </c>
      <c r="C1153" s="8" t="inlineStr">
        <is>
          <t>Southern Varsity Bulldogs</t>
        </is>
      </c>
      <c r="D1153" s="8" t="inlineStr">
        <is>
          <t>ATHL</t>
        </is>
      </c>
      <c r="E1153" s="8" t="inlineStr">
        <is>
          <t>T MacKenzie</t>
        </is>
      </c>
      <c r="F1153" s="8" t="n">
        <v>4</v>
      </c>
      <c r="G1153" s="8" t="n">
        <v>4</v>
      </c>
      <c r="H1153" s="8" t="n">
        <v>2</v>
      </c>
      <c r="I1153" s="8" t="n">
        <v>1</v>
      </c>
      <c r="J1153" s="8" t="n">
        <v>1</v>
      </c>
      <c r="K1153" s="8" t="n">
        <v>0</v>
      </c>
      <c r="L1153" s="8" t="n">
        <v>0</v>
      </c>
      <c r="M1153" s="8" t="n">
        <v>0</v>
      </c>
      <c r="N1153" s="8" t="n">
        <v>0</v>
      </c>
      <c r="O1153" s="8" t="n">
        <v>0</v>
      </c>
      <c r="P1153" s="8" t="n">
        <v>0</v>
      </c>
      <c r="Q1153" s="8" t="n">
        <v>0</v>
      </c>
      <c r="R1153" s="8" t="n">
        <v>2</v>
      </c>
      <c r="S1153" s="8" t="n">
        <v>1</v>
      </c>
      <c r="T1153" s="8" t="n">
        <v>0</v>
      </c>
      <c r="U1153" s="8" t="n">
        <v>0</v>
      </c>
      <c r="V1153" s="8" t="n">
        <v>0</v>
      </c>
      <c r="W1153" s="8" t="n">
        <v>0</v>
      </c>
      <c r="X1153" s="8" t="n">
        <v>0</v>
      </c>
      <c r="Y1153" s="8" t="inlineStr">
        <is>
          <t>LineOut play #15; 2B play #38 (RBI=1: L Conroy scores); 1B play #53; Error play #76 (game-ending AB, Flag #4); R: #23 1B play #39; WP play #56; also pitches T3</t>
        </is>
      </c>
    </row>
    <row r="1154" ht="15.75" customHeight="1" s="35">
      <c r="A1154" s="8" t="inlineStr">
        <is>
          <t>2026-03-14_STHR_at_ATHL</t>
        </is>
      </c>
      <c r="B1154" s="3" t="n">
        <v>46095</v>
      </c>
      <c r="C1154" s="8" t="inlineStr">
        <is>
          <t>Southern Varsity Bulldogs</t>
        </is>
      </c>
      <c r="D1154" s="8" t="inlineStr">
        <is>
          <t>ATHL</t>
        </is>
      </c>
      <c r="E1154" s="8" t="inlineStr">
        <is>
          <t>#23</t>
        </is>
      </c>
      <c r="F1154" s="8" t="n">
        <v>3</v>
      </c>
      <c r="G1154" s="8" t="n">
        <v>3</v>
      </c>
      <c r="H1154" s="8" t="n">
        <v>2</v>
      </c>
      <c r="I1154" s="8" t="n">
        <v>2</v>
      </c>
      <c r="J1154" s="8" t="n">
        <v>0</v>
      </c>
      <c r="K1154" s="8" t="n">
        <v>0</v>
      </c>
      <c r="L1154" s="8" t="n">
        <v>0</v>
      </c>
      <c r="M1154" s="8" t="n">
        <v>0</v>
      </c>
      <c r="N1154" s="8" t="n">
        <v>0</v>
      </c>
      <c r="O1154" s="8" t="n">
        <v>1</v>
      </c>
      <c r="P1154" s="8" t="n">
        <v>0</v>
      </c>
      <c r="Q1154" s="8" t="n">
        <v>1</v>
      </c>
      <c r="R1154" s="8" t="n">
        <v>3</v>
      </c>
      <c r="S1154" s="8" t="n">
        <v>1</v>
      </c>
      <c r="T1154" s="8" t="n">
        <v>1</v>
      </c>
      <c r="U1154" s="8" t="n">
        <v>0</v>
      </c>
      <c r="V1154" s="8" t="n">
        <v>0</v>
      </c>
      <c r="W1154" s="8" t="n">
        <v>0</v>
      </c>
      <c r="X1154" s="8" t="n">
        <v>0</v>
      </c>
      <c r="Y1154" s="8" t="inlineStr">
        <is>
          <t>1B play #16; 1B play #39 (RBI=1: T MacKenzie scores); Dropped 3rd Strike play #54 (K_S, reaches base); R: J Whiting 1B play #18; error play #42; J Whiting 1B play #56; SB 2nd play #55</t>
        </is>
      </c>
    </row>
    <row r="1155" ht="15.75" customHeight="1" s="35">
      <c r="A1155" s="8" t="inlineStr">
        <is>
          <t>2026-03-14_STHR_at_ATHL</t>
        </is>
      </c>
      <c r="B1155" s="3" t="n">
        <v>46095</v>
      </c>
      <c r="C1155" s="8" t="inlineStr">
        <is>
          <t>Southern Varsity Bulldogs</t>
        </is>
      </c>
      <c r="D1155" s="8" t="inlineStr">
        <is>
          <t>ATHL</t>
        </is>
      </c>
      <c r="E1155" s="8" t="inlineStr">
        <is>
          <t>N Brewer</t>
        </is>
      </c>
      <c r="F1155" s="8" t="n">
        <v>3</v>
      </c>
      <c r="G1155" s="8" t="n">
        <v>1</v>
      </c>
      <c r="H1155" s="8" t="n">
        <v>1</v>
      </c>
      <c r="I1155" s="8" t="n">
        <v>1</v>
      </c>
      <c r="J1155" s="8" t="n">
        <v>0</v>
      </c>
      <c r="K1155" s="8" t="n">
        <v>0</v>
      </c>
      <c r="L1155" s="8" t="n">
        <v>0</v>
      </c>
      <c r="M1155" s="8" t="n">
        <v>2</v>
      </c>
      <c r="N1155" s="8" t="n">
        <v>0</v>
      </c>
      <c r="O1155" s="8" t="n">
        <v>0</v>
      </c>
      <c r="P1155" s="8" t="n">
        <v>0</v>
      </c>
      <c r="Q1155" s="8" t="n">
        <v>0</v>
      </c>
      <c r="R1155" s="8" t="n">
        <v>1</v>
      </c>
      <c r="S1155" s="8" t="n">
        <v>0</v>
      </c>
      <c r="T1155" s="8" t="n">
        <v>0</v>
      </c>
      <c r="U1155" s="8" t="n">
        <v>0</v>
      </c>
      <c r="V1155" s="8" t="n">
        <v>0</v>
      </c>
      <c r="W1155" s="8" t="n">
        <v>0</v>
      </c>
      <c r="X1155" s="8" t="n">
        <v>0</v>
      </c>
      <c r="Y1155" s="8" t="inlineStr">
        <is>
          <t>BB play #17; 1B play #40; BB play #55; out advancing to home play #56 (no R); R: W Martin 1B play #43</t>
        </is>
      </c>
    </row>
    <row r="1156" ht="15.75" customHeight="1" s="35">
      <c r="A1156" s="8" t="inlineStr">
        <is>
          <t>2026-03-14_STHR_at_ATHL</t>
        </is>
      </c>
      <c r="B1156" s="3" t="n">
        <v>46095</v>
      </c>
      <c r="C1156" s="8" t="inlineStr">
        <is>
          <t>Southern Varsity Bulldogs</t>
        </is>
      </c>
      <c r="D1156" s="8" t="inlineStr">
        <is>
          <t>ATHL</t>
        </is>
      </c>
      <c r="E1156" s="8" t="inlineStr">
        <is>
          <t>J Whiting</t>
        </is>
      </c>
      <c r="F1156" s="8" t="n">
        <v>3</v>
      </c>
      <c r="G1156" s="8" t="n">
        <v>3</v>
      </c>
      <c r="H1156" s="8" t="n">
        <v>2</v>
      </c>
      <c r="I1156" s="8" t="n">
        <v>2</v>
      </c>
      <c r="J1156" s="8" t="n">
        <v>0</v>
      </c>
      <c r="K1156" s="8" t="n">
        <v>0</v>
      </c>
      <c r="L1156" s="8" t="n">
        <v>0</v>
      </c>
      <c r="M1156" s="8" t="n">
        <v>0</v>
      </c>
      <c r="N1156" s="8" t="n">
        <v>0</v>
      </c>
      <c r="O1156" s="8" t="n">
        <v>0</v>
      </c>
      <c r="P1156" s="8" t="n">
        <v>0</v>
      </c>
      <c r="Q1156" s="8" t="n">
        <v>0</v>
      </c>
      <c r="R1156" s="8" t="n">
        <v>0</v>
      </c>
      <c r="S1156" s="8" t="n">
        <v>2</v>
      </c>
      <c r="T1156" s="8" t="n">
        <v>0</v>
      </c>
      <c r="U1156" s="8" t="n">
        <v>0</v>
      </c>
      <c r="V1156" s="8" t="n">
        <v>0</v>
      </c>
      <c r="W1156" s="8" t="n">
        <v>0</v>
      </c>
      <c r="X1156" s="8" t="n">
        <v>0</v>
      </c>
      <c r="Y1156" s="8" t="inlineStr">
        <is>
          <t>1B play #18 (RBI=1: #23 scores); PO play #41; 1B play #56 (RBI=1: #23 scores; T MacKenzie scored on WP — no RBI)</t>
        </is>
      </c>
    </row>
    <row r="1157" ht="15.75" customHeight="1" s="35">
      <c r="A1157" s="8" t="inlineStr">
        <is>
          <t>2026-03-14_STHR_at_ATHL</t>
        </is>
      </c>
      <c r="B1157" s="3" t="n">
        <v>46095</v>
      </c>
      <c r="C1157" s="8" t="inlineStr">
        <is>
          <t>Southern Varsity Bulldogs</t>
        </is>
      </c>
      <c r="D1157" s="8" t="inlineStr">
        <is>
          <t>ATHL</t>
        </is>
      </c>
      <c r="E1157" s="8" t="inlineStr">
        <is>
          <t>L Byrns</t>
        </is>
      </c>
      <c r="F1157" s="8" t="n">
        <v>3</v>
      </c>
      <c r="G1157" s="8" t="n">
        <v>3</v>
      </c>
      <c r="H1157" s="8" t="n">
        <v>0</v>
      </c>
      <c r="I1157" s="8" t="n">
        <v>0</v>
      </c>
      <c r="J1157" s="8" t="n">
        <v>0</v>
      </c>
      <c r="K1157" s="8" t="n">
        <v>0</v>
      </c>
      <c r="L1157" s="8" t="n">
        <v>0</v>
      </c>
      <c r="M1157" s="8" t="n">
        <v>0</v>
      </c>
      <c r="N1157" s="8" t="n">
        <v>0</v>
      </c>
      <c r="O1157" s="8" t="n">
        <v>1</v>
      </c>
      <c r="P1157" s="8" t="n">
        <v>1</v>
      </c>
      <c r="Q1157" s="8" t="n">
        <v>0</v>
      </c>
      <c r="R1157" s="8" t="n">
        <v>1</v>
      </c>
      <c r="S1157" s="8" t="n">
        <v>0</v>
      </c>
      <c r="T1157" s="8" t="n">
        <v>0</v>
      </c>
      <c r="U1157" s="8" t="n">
        <v>0</v>
      </c>
      <c r="V1157" s="8" t="n">
        <v>0</v>
      </c>
      <c r="W1157" s="8" t="n">
        <v>0</v>
      </c>
      <c r="X1157" s="8" t="n">
        <v>0</v>
      </c>
      <c r="Y1157" s="8" t="inlineStr">
        <is>
          <t>K_L play #19; Error play #42 (reaches, advances 2nd on same error); PO play #64; R: WP play #44</t>
        </is>
      </c>
    </row>
    <row r="1158" ht="15.75" customHeight="1" s="35">
      <c r="A1158" s="8" t="inlineStr">
        <is>
          <t>2026-03-14_STHR_at_ATHL</t>
        </is>
      </c>
      <c r="B1158" s="3" t="n">
        <v>46095</v>
      </c>
      <c r="C1158" s="8" t="inlineStr">
        <is>
          <t>Southern Varsity Bulldogs</t>
        </is>
      </c>
      <c r="D1158" s="8" t="inlineStr">
        <is>
          <t>ATHL</t>
        </is>
      </c>
      <c r="E1158" s="8" t="inlineStr">
        <is>
          <t>W Martin</t>
        </is>
      </c>
      <c r="F1158" s="8" t="n">
        <v>3</v>
      </c>
      <c r="G1158" s="8" t="n">
        <v>3</v>
      </c>
      <c r="H1158" s="8" t="n">
        <v>1</v>
      </c>
      <c r="I1158" s="8" t="n">
        <v>1</v>
      </c>
      <c r="J1158" s="8" t="n">
        <v>0</v>
      </c>
      <c r="K1158" s="8" t="n">
        <v>0</v>
      </c>
      <c r="L1158" s="8" t="n">
        <v>0</v>
      </c>
      <c r="M1158" s="8" t="n">
        <v>0</v>
      </c>
      <c r="N1158" s="8" t="n">
        <v>0</v>
      </c>
      <c r="O1158" s="8" t="n">
        <v>0</v>
      </c>
      <c r="P1158" s="8" t="n">
        <v>0</v>
      </c>
      <c r="Q1158" s="8" t="n">
        <v>0</v>
      </c>
      <c r="R1158" s="8" t="n">
        <v>0</v>
      </c>
      <c r="S1158" s="8" t="n">
        <v>1</v>
      </c>
      <c r="T1158" s="8" t="n">
        <v>0</v>
      </c>
      <c r="U1158" s="8" t="n">
        <v>0</v>
      </c>
      <c r="V1158" s="8" t="n">
        <v>0</v>
      </c>
      <c r="W1158" s="8" t="n">
        <v>0</v>
      </c>
      <c r="X1158" s="8" t="n">
        <v>0</v>
      </c>
      <c r="Y1158" s="8" t="inlineStr">
        <is>
          <t>FO play #25; 1B play #43 (RBI=1: N Brewer scores); PO play #65</t>
        </is>
      </c>
    </row>
    <row r="1159" ht="15.75" customHeight="1" s="35">
      <c r="A1159" s="8" t="inlineStr">
        <is>
          <t>2026-03-18_PTXN_at_STHR</t>
        </is>
      </c>
      <c r="B1159" s="3" t="n">
        <v>46099</v>
      </c>
      <c r="C1159" s="8" t="inlineStr">
        <is>
          <t>Southern Varsity Bulldogs</t>
        </is>
      </c>
      <c r="D1159" s="8" t="inlineStr">
        <is>
          <t>PTXN</t>
        </is>
      </c>
      <c r="E1159" s="8" t="inlineStr">
        <is>
          <t>B Cowan</t>
        </is>
      </c>
      <c r="F1159" s="8" t="n">
        <v>4</v>
      </c>
      <c r="G1159" s="8" t="n">
        <v>2</v>
      </c>
      <c r="H1159" s="8" t="n">
        <v>0</v>
      </c>
      <c r="I1159" s="8" t="n">
        <v>0</v>
      </c>
      <c r="J1159" s="8" t="n">
        <v>0</v>
      </c>
      <c r="K1159" s="8" t="n">
        <v>0</v>
      </c>
      <c r="L1159" s="8" t="n">
        <v>0</v>
      </c>
      <c r="M1159" s="8" t="n">
        <v>0</v>
      </c>
      <c r="N1159" s="8" t="n">
        <v>2</v>
      </c>
      <c r="O1159" s="8" t="n">
        <v>1</v>
      </c>
      <c r="P1159" s="8" t="n">
        <v>0</v>
      </c>
      <c r="Q1159" s="8" t="n">
        <v>1</v>
      </c>
      <c r="R1159" s="8" t="n">
        <v>0</v>
      </c>
      <c r="S1159" s="8" t="n">
        <v>0</v>
      </c>
      <c r="T1159" s="8" t="n">
        <v>0</v>
      </c>
      <c r="U1159" s="8" t="n">
        <v>0</v>
      </c>
      <c r="V1159" s="8" t="n">
        <v>0</v>
      </c>
      <c r="W1159" s="8" t="n">
        <v>0</v>
      </c>
      <c r="X1159" s="8" t="n">
        <v>0</v>
      </c>
      <c r="Y1159" s="8" t="inlineStr">
        <is>
          <t>FO play #1; K_S play #19; HBP play #33 (T4); HBP play #51 (T6); also pitches B6</t>
        </is>
      </c>
    </row>
    <row r="1160" ht="15.75" customHeight="1" s="35">
      <c r="A1160" s="8" t="inlineStr">
        <is>
          <t>2026-03-18_PTXN_at_STHR</t>
        </is>
      </c>
      <c r="B1160" s="3" t="n">
        <v>46099</v>
      </c>
      <c r="C1160" s="8" t="inlineStr">
        <is>
          <t>Southern Varsity Bulldogs</t>
        </is>
      </c>
      <c r="D1160" s="8" t="inlineStr">
        <is>
          <t>PTXN</t>
        </is>
      </c>
      <c r="E1160" s="8" t="inlineStr">
        <is>
          <t>T Lakey</t>
        </is>
      </c>
      <c r="F1160" s="8" t="n">
        <v>4</v>
      </c>
      <c r="G1160" s="8" t="n">
        <v>4</v>
      </c>
      <c r="H1160" s="8" t="n">
        <v>1</v>
      </c>
      <c r="I1160" s="8" t="n">
        <v>0</v>
      </c>
      <c r="J1160" s="8" t="n">
        <v>1</v>
      </c>
      <c r="K1160" s="8" t="n">
        <v>0</v>
      </c>
      <c r="L1160" s="8" t="n">
        <v>0</v>
      </c>
      <c r="M1160" s="8" t="n">
        <v>0</v>
      </c>
      <c r="N1160" s="8" t="n">
        <v>0</v>
      </c>
      <c r="O1160" s="8" t="n">
        <v>0</v>
      </c>
      <c r="P1160" s="8" t="n">
        <v>0</v>
      </c>
      <c r="Q1160" s="8" t="n">
        <v>0</v>
      </c>
      <c r="R1160" s="8" t="n">
        <v>1</v>
      </c>
      <c r="S1160" s="8" t="n">
        <v>0</v>
      </c>
      <c r="T1160" s="8" t="n">
        <v>0</v>
      </c>
      <c r="U1160" s="8" t="n">
        <v>0</v>
      </c>
      <c r="V1160" s="8" t="n">
        <v>0</v>
      </c>
      <c r="W1160" s="8" t="n">
        <v>0</v>
      </c>
      <c r="X1160" s="8" t="n">
        <v>0</v>
      </c>
      <c r="Y1160" s="8" t="inlineStr">
        <is>
          <t>PO play #2; 2B play #24 (advances 3rd on WP play #25); LineOut play #34; FO play #52; R: GO by L Powell play #25; also pitches B2 (inferred)</t>
        </is>
      </c>
    </row>
    <row r="1161" ht="15.75" customHeight="1" s="35">
      <c r="A1161" s="8" t="inlineStr">
        <is>
          <t>2026-03-18_PTXN_at_STHR</t>
        </is>
      </c>
      <c r="B1161" s="3" t="n">
        <v>46099</v>
      </c>
      <c r="C1161" s="8" t="inlineStr">
        <is>
          <t>Southern Varsity Bulldogs</t>
        </is>
      </c>
      <c r="D1161" s="8" t="inlineStr">
        <is>
          <t>PTXN</t>
        </is>
      </c>
      <c r="E1161" s="8" t="inlineStr">
        <is>
          <t>L Powell</t>
        </is>
      </c>
      <c r="F1161" s="8" t="n">
        <v>4</v>
      </c>
      <c r="G1161" s="8" t="n">
        <v>3</v>
      </c>
      <c r="H1161" s="8" t="n">
        <v>0</v>
      </c>
      <c r="I1161" s="8" t="n">
        <v>0</v>
      </c>
      <c r="J1161" s="8" t="n">
        <v>0</v>
      </c>
      <c r="K1161" s="8" t="n">
        <v>0</v>
      </c>
      <c r="L1161" s="8" t="n">
        <v>0</v>
      </c>
      <c r="M1161" s="8" t="n">
        <v>1</v>
      </c>
      <c r="N1161" s="8" t="n">
        <v>0</v>
      </c>
      <c r="O1161" s="8" t="n">
        <v>0</v>
      </c>
      <c r="P1161" s="8" t="n">
        <v>0</v>
      </c>
      <c r="Q1161" s="8" t="n">
        <v>0</v>
      </c>
      <c r="R1161" s="8" t="n">
        <v>1</v>
      </c>
      <c r="S1161" s="8" t="n">
        <v>1</v>
      </c>
      <c r="T1161" s="8" t="n">
        <v>0</v>
      </c>
      <c r="U1161" s="8" t="n">
        <v>0</v>
      </c>
      <c r="V1161" s="8" t="n">
        <v>0</v>
      </c>
      <c r="W1161" s="8" t="n">
        <v>0</v>
      </c>
      <c r="X1161" s="8" t="n">
        <v>0</v>
      </c>
      <c r="Y1161" s="8" t="inlineStr">
        <is>
          <t>FO play #3; GO play #25 (RBI=1 T Lakey scores); BB play #39; Error play #53 (reaches); R: WP play #43 (scores from 3rd during C White walk)</t>
        </is>
      </c>
    </row>
    <row r="1162" ht="15.75" customHeight="1" s="35">
      <c r="A1162" s="8" t="inlineStr">
        <is>
          <t>2026-03-18_PTXN_at_STHR</t>
        </is>
      </c>
      <c r="B1162" s="3" t="n">
        <v>46099</v>
      </c>
      <c r="C1162" s="8" t="inlineStr">
        <is>
          <t>Southern Varsity Bulldogs</t>
        </is>
      </c>
      <c r="D1162" s="8" t="inlineStr">
        <is>
          <t>PTXN</t>
        </is>
      </c>
      <c r="E1162" s="8" t="inlineStr">
        <is>
          <t>R Whitney</t>
        </is>
      </c>
      <c r="F1162" s="8" t="n">
        <v>4</v>
      </c>
      <c r="G1162" s="8" t="n">
        <v>2</v>
      </c>
      <c r="H1162" s="8" t="n">
        <v>1</v>
      </c>
      <c r="I1162" s="8" t="n">
        <v>1</v>
      </c>
      <c r="J1162" s="8" t="n">
        <v>0</v>
      </c>
      <c r="K1162" s="8" t="n">
        <v>0</v>
      </c>
      <c r="L1162" s="8" t="n">
        <v>0</v>
      </c>
      <c r="M1162" s="8" t="n">
        <v>1</v>
      </c>
      <c r="N1162" s="8" t="n">
        <v>1</v>
      </c>
      <c r="O1162" s="8" t="n">
        <v>0</v>
      </c>
      <c r="P1162" s="8" t="n">
        <v>0</v>
      </c>
      <c r="Q1162" s="8" t="n">
        <v>0</v>
      </c>
      <c r="R1162" s="8" t="n">
        <v>2</v>
      </c>
      <c r="S1162" s="8" t="n">
        <v>0</v>
      </c>
      <c r="T1162" s="8" t="n">
        <v>1</v>
      </c>
      <c r="U1162" s="8" t="n">
        <v>0</v>
      </c>
      <c r="V1162" s="8" t="n">
        <v>0</v>
      </c>
      <c r="W1162" s="8" t="n">
        <v>0</v>
      </c>
      <c r="X1162" s="8" t="n">
        <v>0</v>
      </c>
      <c r="Y1162" s="8" t="inlineStr">
        <is>
          <t>BB play #7 (T2); HBP play #26 (T4); 1B play #40 (T5); LineOut play #54 (T6); R: WP play #28 (scores from 3rd on WP); bases-loaded walk-in play #44 by N Sands; SB 2nd play #27 (Flag #3)</t>
        </is>
      </c>
    </row>
    <row r="1163" ht="15.75" customHeight="1" s="35">
      <c r="A1163" s="8" t="inlineStr">
        <is>
          <t>2026-03-18_PTXN_at_STHR</t>
        </is>
      </c>
      <c r="B1163" s="3" t="n">
        <v>46099</v>
      </c>
      <c r="C1163" s="8" t="inlineStr">
        <is>
          <t>Southern Varsity Bulldogs</t>
        </is>
      </c>
      <c r="D1163" s="8" t="inlineStr">
        <is>
          <t>PTXN</t>
        </is>
      </c>
      <c r="E1163" s="8" t="inlineStr">
        <is>
          <t>C Jones</t>
        </is>
      </c>
      <c r="F1163" s="8" t="n">
        <v>3</v>
      </c>
      <c r="G1163" s="8" t="n">
        <v>3</v>
      </c>
      <c r="H1163" s="8" t="n">
        <v>0</v>
      </c>
      <c r="I1163" s="8" t="n">
        <v>0</v>
      </c>
      <c r="J1163" s="8" t="n">
        <v>0</v>
      </c>
      <c r="K1163" s="8" t="n">
        <v>0</v>
      </c>
      <c r="L1163" s="8" t="n">
        <v>0</v>
      </c>
      <c r="M1163" s="8" t="n">
        <v>0</v>
      </c>
      <c r="N1163" s="8" t="n">
        <v>0</v>
      </c>
      <c r="O1163" s="8" t="n">
        <v>2</v>
      </c>
      <c r="P1163" s="8" t="n">
        <v>0</v>
      </c>
      <c r="Q1163" s="8" t="n">
        <v>2</v>
      </c>
      <c r="R1163" s="8" t="n">
        <v>1</v>
      </c>
      <c r="S1163" s="8" t="n">
        <v>0</v>
      </c>
      <c r="T1163" s="8" t="n">
        <v>1</v>
      </c>
      <c r="U1163" s="8" t="n">
        <v>0</v>
      </c>
      <c r="V1163" s="8" t="n">
        <v>0</v>
      </c>
      <c r="W1163" s="8" t="n">
        <v>0</v>
      </c>
      <c r="X1163" s="8" t="n">
        <v>0</v>
      </c>
      <c r="Y1163" s="8" t="inlineStr">
        <is>
          <t>K_S play #8 (T2); Error play #27 (T4, reaches); K_S play #41 (T5); subbed by T OShea play #59; R: PB play #30 (scores while N Sands sacrifices); SB 3rd play #29 (Flag #3)</t>
        </is>
      </c>
    </row>
    <row r="1164" ht="15.75" customHeight="1" s="35">
      <c r="A1164" s="8" t="inlineStr">
        <is>
          <t>2026-03-18_PTXN_at_STHR</t>
        </is>
      </c>
      <c r="B1164" s="3" t="n">
        <v>46099</v>
      </c>
      <c r="C1164" s="8" t="inlineStr">
        <is>
          <t>Southern Varsity Bulldogs</t>
        </is>
      </c>
      <c r="D1164" s="8" t="inlineStr">
        <is>
          <t>PTXN</t>
        </is>
      </c>
      <c r="E1164" s="8" t="inlineStr">
        <is>
          <t>N Kelly</t>
        </is>
      </c>
      <c r="F1164" s="8" t="n">
        <v>4</v>
      </c>
      <c r="G1164" s="8" t="n">
        <v>2</v>
      </c>
      <c r="H1164" s="8" t="n">
        <v>1</v>
      </c>
      <c r="I1164" s="8" t="n">
        <v>1</v>
      </c>
      <c r="J1164" s="8" t="n">
        <v>0</v>
      </c>
      <c r="K1164" s="8" t="n">
        <v>0</v>
      </c>
      <c r="L1164" s="8" t="n">
        <v>0</v>
      </c>
      <c r="M1164" s="8" t="n">
        <v>1</v>
      </c>
      <c r="N1164" s="8" t="n">
        <v>1</v>
      </c>
      <c r="O1164" s="8" t="n">
        <v>1</v>
      </c>
      <c r="P1164" s="8" t="n">
        <v>0</v>
      </c>
      <c r="Q1164" s="8" t="n">
        <v>1</v>
      </c>
      <c r="R1164" s="8" t="n">
        <v>1</v>
      </c>
      <c r="S1164" s="8" t="n">
        <v>0</v>
      </c>
      <c r="T1164" s="8" t="n">
        <v>1</v>
      </c>
      <c r="U1164" s="8" t="n">
        <v>0</v>
      </c>
      <c r="V1164" s="8" t="n">
        <v>0</v>
      </c>
      <c r="W1164" s="8" t="n">
        <v>0</v>
      </c>
      <c r="X1164" s="8" t="n">
        <v>0</v>
      </c>
      <c r="Y1164" s="8" t="inlineStr">
        <is>
          <t>1B play #9 (T2); HBP play #28 (T4); BB play #42 (T5); K_S play #60 (T7); R: SAC by N Sands play #30 (scores from 3rd); SB 2nd play #29 (Flag #3); also pitches B3 (inferred)</t>
        </is>
      </c>
    </row>
    <row r="1165" ht="15.75" customHeight="1" s="35">
      <c r="A1165" s="8" t="inlineStr">
        <is>
          <t>2026-03-18_PTXN_at_STHR</t>
        </is>
      </c>
      <c r="B1165" s="3" t="n">
        <v>46099</v>
      </c>
      <c r="C1165" s="8" t="inlineStr">
        <is>
          <t>Southern Varsity Bulldogs</t>
        </is>
      </c>
      <c r="D1165" s="8" t="inlineStr">
        <is>
          <t>PTXN</t>
        </is>
      </c>
      <c r="E1165" s="8" t="inlineStr">
        <is>
          <t>C White</t>
        </is>
      </c>
      <c r="F1165" s="8" t="n">
        <v>4</v>
      </c>
      <c r="G1165" s="8" t="n">
        <v>2</v>
      </c>
      <c r="H1165" s="8" t="n">
        <v>0</v>
      </c>
      <c r="I1165" s="8" t="n">
        <v>0</v>
      </c>
      <c r="J1165" s="8" t="n">
        <v>0</v>
      </c>
      <c r="K1165" s="8" t="n">
        <v>0</v>
      </c>
      <c r="L1165" s="8" t="n">
        <v>0</v>
      </c>
      <c r="M1165" s="8" t="n">
        <v>1</v>
      </c>
      <c r="N1165" s="8" t="n">
        <v>1</v>
      </c>
      <c r="O1165" s="8" t="n">
        <v>1</v>
      </c>
      <c r="P1165" s="8" t="n">
        <v>1</v>
      </c>
      <c r="Q1165" s="8" t="n">
        <v>0</v>
      </c>
      <c r="R1165" s="8" t="n">
        <v>1</v>
      </c>
      <c r="S1165" s="8" t="n">
        <v>0</v>
      </c>
      <c r="T1165" s="8" t="n">
        <v>0</v>
      </c>
      <c r="U1165" s="8" t="n">
        <v>0</v>
      </c>
      <c r="V1165" s="8" t="n">
        <v>0</v>
      </c>
      <c r="W1165" s="8" t="n">
        <v>0</v>
      </c>
      <c r="X1165" s="8" t="n">
        <v>0</v>
      </c>
      <c r="Y1165" s="8" t="inlineStr">
        <is>
          <t>FO play #10 (T2); HBP play #29 (T4); BB play #43 (T5); K_L play #61 (T7); R: SAC by N Sands play #30 (scores from 2nd after PB advanced her)</t>
        </is>
      </c>
    </row>
    <row r="1166" ht="15.75" customHeight="1" s="35">
      <c r="A1166" s="8" t="inlineStr">
        <is>
          <t>2026-03-18_PTXN_at_STHR</t>
        </is>
      </c>
      <c r="B1166" s="3" t="n">
        <v>46099</v>
      </c>
      <c r="C1166" s="8" t="inlineStr">
        <is>
          <t>Southern Varsity Bulldogs</t>
        </is>
      </c>
      <c r="D1166" s="8" t="inlineStr">
        <is>
          <t>PTXN</t>
        </is>
      </c>
      <c r="E1166" s="8" t="inlineStr">
        <is>
          <t>N Sands</t>
        </is>
      </c>
      <c r="F1166" s="8" t="n">
        <v>4</v>
      </c>
      <c r="G1166" s="8" t="n">
        <v>2</v>
      </c>
      <c r="H1166" s="8" t="n">
        <v>0</v>
      </c>
      <c r="I1166" s="8" t="n">
        <v>0</v>
      </c>
      <c r="J1166" s="8" t="n">
        <v>0</v>
      </c>
      <c r="K1166" s="8" t="n">
        <v>0</v>
      </c>
      <c r="L1166" s="8" t="n">
        <v>0</v>
      </c>
      <c r="M1166" s="8" t="n">
        <v>1</v>
      </c>
      <c r="N1166" s="8" t="n">
        <v>0</v>
      </c>
      <c r="O1166" s="8" t="n">
        <v>2</v>
      </c>
      <c r="P1166" s="8" t="n">
        <v>0</v>
      </c>
      <c r="Q1166" s="8" t="n">
        <v>1</v>
      </c>
      <c r="R1166" s="8" t="n">
        <v>0</v>
      </c>
      <c r="S1166" s="8" t="n">
        <v>3</v>
      </c>
      <c r="T1166" s="8" t="n">
        <v>0</v>
      </c>
      <c r="U1166" s="8" t="n">
        <v>0</v>
      </c>
      <c r="V1166" s="8" t="n">
        <v>0</v>
      </c>
      <c r="W1166" s="8" t="n">
        <v>1</v>
      </c>
      <c r="X1166" s="8" t="n">
        <v>0</v>
      </c>
      <c r="Y1166" s="8" t="inlineStr">
        <is>
          <t>K_S play #16 (T3); SAC play #30 (T4, RBI=2: C White+N Kelly score; C Jones scored on PB — no RBI); BB play #44 (T5, RBI=1: R Whitney scores, bases loaded); K_L play #62 (T7); play #45 Inning Ended not counted as additional PA</t>
        </is>
      </c>
    </row>
    <row r="1167" ht="15.75" customHeight="1" s="35">
      <c r="A1167" s="8" t="inlineStr">
        <is>
          <t>2026-03-18_PTXN_at_STHR</t>
        </is>
      </c>
      <c r="B1167" s="3" t="n">
        <v>46099</v>
      </c>
      <c r="C1167" s="8" t="inlineStr">
        <is>
          <t>Southern Varsity Bulldogs</t>
        </is>
      </c>
      <c r="D1167" s="8" t="inlineStr">
        <is>
          <t>PTXN</t>
        </is>
      </c>
      <c r="E1167" s="8" t="inlineStr">
        <is>
          <t>D Bradley</t>
        </is>
      </c>
      <c r="F1167" s="8" t="n">
        <v>3</v>
      </c>
      <c r="G1167" s="8" t="n">
        <v>3</v>
      </c>
      <c r="H1167" s="8" t="n">
        <v>1</v>
      </c>
      <c r="I1167" s="8" t="n">
        <v>1</v>
      </c>
      <c r="J1167" s="8" t="n">
        <v>0</v>
      </c>
      <c r="K1167" s="8" t="n">
        <v>0</v>
      </c>
      <c r="L1167" s="8" t="n">
        <v>0</v>
      </c>
      <c r="M1167" s="8" t="n">
        <v>0</v>
      </c>
      <c r="N1167" s="8" t="n">
        <v>0</v>
      </c>
      <c r="O1167" s="8" t="n">
        <v>1</v>
      </c>
      <c r="P1167" s="8" t="n">
        <v>1</v>
      </c>
      <c r="Q1167" s="8" t="n">
        <v>0</v>
      </c>
      <c r="R1167" s="8" t="n">
        <v>1</v>
      </c>
      <c r="S1167" s="8" t="n">
        <v>0</v>
      </c>
      <c r="T1167" s="8" t="n">
        <v>0</v>
      </c>
      <c r="U1167" s="8" t="n">
        <v>0</v>
      </c>
      <c r="V1167" s="8" t="n">
        <v>0</v>
      </c>
      <c r="W1167" s="8" t="n">
        <v>0</v>
      </c>
      <c r="X1167" s="8" t="n">
        <v>0</v>
      </c>
      <c r="Y1167" s="8" t="inlineStr">
        <is>
          <t>K_L play #17 (T3); 1B play #31 (T4); Error play #49 (T6, advances to 2nd on same error); R: error by S Lopez play #53 (scores from 3rd); also pitches B4</t>
        </is>
      </c>
    </row>
    <row r="1168" ht="15.75" customHeight="1" s="35">
      <c r="A1168" s="8" t="inlineStr">
        <is>
          <t>2026-03-18_PTXN_at_STHR</t>
        </is>
      </c>
      <c r="B1168" s="3" t="n">
        <v>46099</v>
      </c>
      <c r="C1168" s="8" t="inlineStr">
        <is>
          <t>Southern Varsity Bulldogs</t>
        </is>
      </c>
      <c r="D1168" s="8" t="inlineStr">
        <is>
          <t>PTXN</t>
        </is>
      </c>
      <c r="E1168" s="8" t="inlineStr">
        <is>
          <t>R Hawkins</t>
        </is>
      </c>
      <c r="F1168" s="8" t="n">
        <v>3</v>
      </c>
      <c r="G1168" s="8" t="n">
        <v>1</v>
      </c>
      <c r="H1168" s="8" t="n">
        <v>0</v>
      </c>
      <c r="I1168" s="8" t="n">
        <v>0</v>
      </c>
      <c r="J1168" s="8" t="n">
        <v>0</v>
      </c>
      <c r="K1168" s="8" t="n">
        <v>0</v>
      </c>
      <c r="L1168" s="8" t="n">
        <v>0</v>
      </c>
      <c r="M1168" s="8" t="n">
        <v>1</v>
      </c>
      <c r="N1168" s="8" t="n">
        <v>1</v>
      </c>
      <c r="O1168" s="8" t="n">
        <v>1</v>
      </c>
      <c r="P1168" s="8" t="n">
        <v>0</v>
      </c>
      <c r="Q1168" s="8" t="n">
        <v>1</v>
      </c>
      <c r="R1168" s="8" t="n">
        <v>0</v>
      </c>
      <c r="S1168" s="8" t="n">
        <v>0</v>
      </c>
      <c r="T1168" s="8" t="n">
        <v>0</v>
      </c>
      <c r="U1168" s="8" t="n">
        <v>0</v>
      </c>
      <c r="V1168" s="8" t="n">
        <v>0</v>
      </c>
      <c r="W1168" s="8" t="n">
        <v>0</v>
      </c>
      <c r="X1168" s="8" t="n">
        <v>0</v>
      </c>
      <c r="Y1168" s="8" t="inlineStr">
        <is>
          <t>BB play #18 (T3); HBP play #32 (T4); K_S play #50 (T6)</t>
        </is>
      </c>
    </row>
    <row r="1169" ht="15.75" customHeight="1" s="35">
      <c r="A1169" s="8" t="inlineStr">
        <is>
          <t>2026-03-18_PTXN_at_STHR</t>
        </is>
      </c>
      <c r="B1169" s="3" t="n">
        <v>46099</v>
      </c>
      <c r="C1169" s="8" t="inlineStr">
        <is>
          <t>Southern Varsity Bulldogs</t>
        </is>
      </c>
      <c r="D1169" s="8" t="inlineStr">
        <is>
          <t>PTXN</t>
        </is>
      </c>
      <c r="E1169" s="8" t="inlineStr">
        <is>
          <t>T OShea</t>
        </is>
      </c>
      <c r="F1169" s="8" t="n">
        <v>1</v>
      </c>
      <c r="G1169" s="8" t="n">
        <v>0</v>
      </c>
      <c r="H1169" s="8" t="n">
        <v>0</v>
      </c>
      <c r="I1169" s="8" t="n">
        <v>0</v>
      </c>
      <c r="J1169" s="8" t="n">
        <v>0</v>
      </c>
      <c r="K1169" s="8" t="n">
        <v>0</v>
      </c>
      <c r="L1169" s="8" t="n">
        <v>0</v>
      </c>
      <c r="M1169" s="8" t="n">
        <v>1</v>
      </c>
      <c r="N1169" s="8" t="n">
        <v>0</v>
      </c>
      <c r="O1169" s="8" t="n">
        <v>0</v>
      </c>
      <c r="P1169" s="8" t="n">
        <v>0</v>
      </c>
      <c r="Q1169" s="8" t="n">
        <v>0</v>
      </c>
      <c r="R1169" s="8" t="n">
        <v>0</v>
      </c>
      <c r="S1169" s="8" t="n">
        <v>0</v>
      </c>
      <c r="T1169" s="8" t="n">
        <v>0</v>
      </c>
      <c r="U1169" s="8" t="n">
        <v>0</v>
      </c>
      <c r="V1169" s="8" t="n">
        <v>0</v>
      </c>
      <c r="W1169" s="8" t="n">
        <v>0</v>
      </c>
      <c r="X1169" s="8" t="n">
        <v>0</v>
      </c>
      <c r="Y1169" s="8" t="inlineStr">
        <is>
          <t>PH for C Jones play #59 (T7); BB play #59; advances to 2nd on WP play #61</t>
        </is>
      </c>
    </row>
    <row r="1170" ht="15.75" customHeight="1" s="35">
      <c r="A1170" s="8" t="inlineStr">
        <is>
          <t>2026-03-18_PTXN_at_STHR</t>
        </is>
      </c>
      <c r="B1170" s="3" t="n">
        <v>46099</v>
      </c>
      <c r="C1170" s="8" t="inlineStr">
        <is>
          <t>Patuxent Varsity Panthers 26</t>
        </is>
      </c>
      <c r="D1170" s="8" t="inlineStr">
        <is>
          <t>STHR</t>
        </is>
      </c>
      <c r="E1170" s="8" t="inlineStr">
        <is>
          <t>B Crandell</t>
        </is>
      </c>
      <c r="F1170" s="8" t="n">
        <v>3</v>
      </c>
      <c r="G1170" s="8" t="n">
        <v>2</v>
      </c>
      <c r="H1170" s="8" t="n">
        <v>1</v>
      </c>
      <c r="I1170" s="8" t="n">
        <v>0</v>
      </c>
      <c r="J1170" s="8" t="n">
        <v>1</v>
      </c>
      <c r="K1170" s="8" t="n">
        <v>0</v>
      </c>
      <c r="L1170" s="8" t="n">
        <v>0</v>
      </c>
      <c r="M1170" s="8" t="n">
        <v>1</v>
      </c>
      <c r="N1170" s="8" t="n">
        <v>0</v>
      </c>
      <c r="O1170" s="8" t="n">
        <v>1</v>
      </c>
      <c r="P1170" s="8" t="n">
        <v>1</v>
      </c>
      <c r="Q1170" s="8" t="n">
        <v>0</v>
      </c>
      <c r="R1170" s="8" t="n">
        <v>0</v>
      </c>
      <c r="S1170" s="8" t="n">
        <v>0</v>
      </c>
      <c r="T1170" s="8" t="n">
        <v>0</v>
      </c>
      <c r="U1170" s="8" t="n">
        <v>0</v>
      </c>
      <c r="V1170" s="8" t="n">
        <v>0</v>
      </c>
      <c r="W1170" s="8" t="n">
        <v>0</v>
      </c>
      <c r="X1170" s="8" t="n">
        <v>0</v>
      </c>
      <c r="Y1170" s="8" t="inlineStr">
        <is>
          <t>BB play #4 (B1); K_L play #22 (B3); 2B play #57 (B6); out on GDP play #5 as baserunner (B Crandell out advancing during C Parks DP)</t>
        </is>
      </c>
    </row>
    <row r="1171" ht="15.75" customHeight="1" s="35">
      <c r="A1171" s="8" t="inlineStr">
        <is>
          <t>2026-03-18_PTXN_at_STHR</t>
        </is>
      </c>
      <c r="B1171" s="3" t="n">
        <v>46099</v>
      </c>
      <c r="C1171" s="8" t="inlineStr">
        <is>
          <t>Patuxent Varsity Panthers 26</t>
        </is>
      </c>
      <c r="D1171" s="8" t="inlineStr">
        <is>
          <t>STHR</t>
        </is>
      </c>
      <c r="E1171" s="8" t="inlineStr">
        <is>
          <t>C Parks</t>
        </is>
      </c>
      <c r="F1171" s="8" t="n">
        <v>2</v>
      </c>
      <c r="G1171" s="8" t="n">
        <v>2</v>
      </c>
      <c r="H1171" s="8" t="n">
        <v>0</v>
      </c>
      <c r="I1171" s="8" t="n">
        <v>0</v>
      </c>
      <c r="J1171" s="8" t="n">
        <v>0</v>
      </c>
      <c r="K1171" s="8" t="n">
        <v>0</v>
      </c>
      <c r="L1171" s="8" t="n">
        <v>0</v>
      </c>
      <c r="M1171" s="8" t="n">
        <v>0</v>
      </c>
      <c r="N1171" s="8" t="n">
        <v>0</v>
      </c>
      <c r="O1171" s="8" t="n">
        <v>0</v>
      </c>
      <c r="P1171" s="8" t="n">
        <v>0</v>
      </c>
      <c r="Q1171" s="8" t="n">
        <v>0</v>
      </c>
      <c r="R1171" s="8" t="n">
        <v>0</v>
      </c>
      <c r="S1171" s="8" t="n">
        <v>0</v>
      </c>
      <c r="T1171" s="8" t="n">
        <v>0</v>
      </c>
      <c r="U1171" s="8" t="n">
        <v>0</v>
      </c>
      <c r="V1171" s="8" t="n">
        <v>1</v>
      </c>
      <c r="W1171" s="8" t="n">
        <v>0</v>
      </c>
      <c r="X1171" s="8" t="n">
        <v>0</v>
      </c>
      <c r="Y1171" s="8" t="inlineStr">
        <is>
          <t>GDP play #5 (B1, 2 outs total); Error play #35 (B4, reaches); CR G Bowen in for C Parks play #35; G Bowen PH for C Parks play #58 — C Parks does not bat in B6; also pitches T4 partial</t>
        </is>
      </c>
    </row>
    <row r="1172" ht="15.75" customHeight="1" s="35">
      <c r="A1172" s="8" t="inlineStr">
        <is>
          <t>2026-03-18_PTXN_at_STHR</t>
        </is>
      </c>
      <c r="B1172" s="3" t="n">
        <v>46099</v>
      </c>
      <c r="C1172" s="8" t="inlineStr">
        <is>
          <t>Patuxent Varsity Panthers 26</t>
        </is>
      </c>
      <c r="D1172" s="8" t="inlineStr">
        <is>
          <t>STHR</t>
        </is>
      </c>
      <c r="E1172" s="8" t="inlineStr">
        <is>
          <t>G Crandell</t>
        </is>
      </c>
      <c r="F1172" s="8" t="n">
        <v>2</v>
      </c>
      <c r="G1172" s="8" t="n">
        <v>2</v>
      </c>
      <c r="H1172" s="8" t="n">
        <v>0</v>
      </c>
      <c r="I1172" s="8" t="n">
        <v>0</v>
      </c>
      <c r="J1172" s="8" t="n">
        <v>0</v>
      </c>
      <c r="K1172" s="8" t="n">
        <v>0</v>
      </c>
      <c r="L1172" s="8" t="n">
        <v>0</v>
      </c>
      <c r="M1172" s="8" t="n">
        <v>0</v>
      </c>
      <c r="N1172" s="8" t="n">
        <v>0</v>
      </c>
      <c r="O1172" s="8" t="n">
        <v>2</v>
      </c>
      <c r="P1172" s="8" t="n">
        <v>0</v>
      </c>
      <c r="Q1172" s="8" t="n">
        <v>2</v>
      </c>
      <c r="R1172" s="8" t="n">
        <v>0</v>
      </c>
      <c r="S1172" s="8" t="n">
        <v>0</v>
      </c>
      <c r="T1172" s="8" t="n">
        <v>0</v>
      </c>
      <c r="U1172" s="8" t="n">
        <v>0</v>
      </c>
      <c r="V1172" s="8" t="n">
        <v>0</v>
      </c>
      <c r="W1172" s="8" t="n">
        <v>0</v>
      </c>
      <c r="X1172" s="8" t="n">
        <v>0</v>
      </c>
      <c r="Y1172" s="8" t="inlineStr">
        <is>
          <t>K_S play #6 (B1); K_S play #36 (B4); subbed by N Simmons play #63 (B7); also pitches T3</t>
        </is>
      </c>
    </row>
    <row r="1173" ht="15.75" customHeight="1" s="35">
      <c r="A1173" s="8" t="inlineStr">
        <is>
          <t>2026-03-18_PTXN_at_STHR</t>
        </is>
      </c>
      <c r="B1173" s="3" t="n">
        <v>46099</v>
      </c>
      <c r="C1173" s="8" t="inlineStr">
        <is>
          <t>Patuxent Varsity Panthers 26</t>
        </is>
      </c>
      <c r="D1173" s="8" t="inlineStr">
        <is>
          <t>STHR</t>
        </is>
      </c>
      <c r="E1173" s="8" t="inlineStr">
        <is>
          <t>N Youmans</t>
        </is>
      </c>
      <c r="F1173" s="8" t="n">
        <v>2</v>
      </c>
      <c r="G1173" s="8" t="n">
        <v>1</v>
      </c>
      <c r="H1173" s="8" t="n">
        <v>0</v>
      </c>
      <c r="I1173" s="8" t="n">
        <v>0</v>
      </c>
      <c r="J1173" s="8" t="n">
        <v>0</v>
      </c>
      <c r="K1173" s="8" t="n">
        <v>0</v>
      </c>
      <c r="L1173" s="8" t="n">
        <v>0</v>
      </c>
      <c r="M1173" s="8" t="n">
        <v>1</v>
      </c>
      <c r="N1173" s="8" t="n">
        <v>0</v>
      </c>
      <c r="O1173" s="8" t="n">
        <v>0</v>
      </c>
      <c r="P1173" s="8" t="n">
        <v>0</v>
      </c>
      <c r="Q1173" s="8" t="n">
        <v>0</v>
      </c>
      <c r="R1173" s="8" t="n">
        <v>1</v>
      </c>
      <c r="S1173" s="8" t="n">
        <v>0</v>
      </c>
      <c r="T1173" s="8" t="n">
        <v>2</v>
      </c>
      <c r="U1173" s="8" t="n">
        <v>0</v>
      </c>
      <c r="V1173" s="8" t="n">
        <v>0</v>
      </c>
      <c r="W1173" s="8" t="n">
        <v>0</v>
      </c>
      <c r="X1173" s="8" t="n">
        <v>1</v>
      </c>
      <c r="Y1173" s="8" t="inlineStr">
        <is>
          <t>BB play #11 (B2); FC play #37 (B4, G Bowen CR out advancing to 2nd); R: W Thomas FC play #14 (N Youmans scores); SB 3rd play #13; SB 2nd play #38 (2 total SB); subbed by G Colhoun play #64 (B7); also pitches T4 partial</t>
        </is>
      </c>
    </row>
    <row r="1174" ht="15.75" customHeight="1" s="35">
      <c r="A1174" s="8" t="inlineStr">
        <is>
          <t>2026-03-18_PTXN_at_STHR</t>
        </is>
      </c>
      <c r="B1174" s="3" t="n">
        <v>46099</v>
      </c>
      <c r="C1174" s="8" t="inlineStr">
        <is>
          <t>Patuxent Varsity Panthers 26</t>
        </is>
      </c>
      <c r="D1174" s="8" t="inlineStr">
        <is>
          <t>STHR</t>
        </is>
      </c>
      <c r="E1174" s="8" t="inlineStr">
        <is>
          <t>B Bowers</t>
        </is>
      </c>
      <c r="F1174" s="8" t="n">
        <v>2</v>
      </c>
      <c r="G1174" s="8" t="n">
        <v>1</v>
      </c>
      <c r="H1174" s="8" t="n">
        <v>0</v>
      </c>
      <c r="I1174" s="8" t="n">
        <v>0</v>
      </c>
      <c r="J1174" s="8" t="n">
        <v>0</v>
      </c>
      <c r="K1174" s="8" t="n">
        <v>0</v>
      </c>
      <c r="L1174" s="8" t="n">
        <v>0</v>
      </c>
      <c r="M1174" s="8" t="n">
        <v>0</v>
      </c>
      <c r="N1174" s="8" t="n">
        <v>0</v>
      </c>
      <c r="O1174" s="8" t="n">
        <v>0</v>
      </c>
      <c r="P1174" s="8" t="n">
        <v>0</v>
      </c>
      <c r="Q1174" s="8" t="n">
        <v>0</v>
      </c>
      <c r="R1174" s="8" t="n">
        <v>0</v>
      </c>
      <c r="S1174" s="8" t="n">
        <v>0</v>
      </c>
      <c r="T1174" s="8" t="n">
        <v>0</v>
      </c>
      <c r="U1174" s="8" t="n">
        <v>0</v>
      </c>
      <c r="V1174" s="8" t="n">
        <v>0</v>
      </c>
      <c r="W1174" s="8" t="n">
        <v>1</v>
      </c>
      <c r="X1174" s="8" t="n">
        <v>0</v>
      </c>
      <c r="Y1174" s="8" t="inlineStr">
        <is>
          <t>SAC play #12 (B2, N Youmans advances to 2nd); GO play #38 (B4); subbed by S Lopez play #65 (B7)</t>
        </is>
      </c>
    </row>
    <row r="1175" ht="15.75" customHeight="1" s="35">
      <c r="A1175" s="8" t="inlineStr">
        <is>
          <t>2026-03-18_PTXN_at_STHR</t>
        </is>
      </c>
      <c r="B1175" s="3" t="n">
        <v>46099</v>
      </c>
      <c r="C1175" s="8" t="inlineStr">
        <is>
          <t>Patuxent Varsity Panthers 26</t>
        </is>
      </c>
      <c r="D1175" s="8" t="inlineStr">
        <is>
          <t>STHR</t>
        </is>
      </c>
      <c r="E1175" s="8" t="inlineStr">
        <is>
          <t>G Godfrey</t>
        </is>
      </c>
      <c r="F1175" s="8" t="n">
        <v>2</v>
      </c>
      <c r="G1175" s="8" t="n">
        <v>1</v>
      </c>
      <c r="H1175" s="8" t="n">
        <v>0</v>
      </c>
      <c r="I1175" s="8" t="n">
        <v>0</v>
      </c>
      <c r="J1175" s="8" t="n">
        <v>0</v>
      </c>
      <c r="K1175" s="8" t="n">
        <v>0</v>
      </c>
      <c r="L1175" s="8" t="n">
        <v>0</v>
      </c>
      <c r="M1175" s="8" t="n">
        <v>1</v>
      </c>
      <c r="N1175" s="8" t="n">
        <v>0</v>
      </c>
      <c r="O1175" s="8" t="n">
        <v>0</v>
      </c>
      <c r="P1175" s="8" t="n">
        <v>0</v>
      </c>
      <c r="Q1175" s="8" t="n">
        <v>0</v>
      </c>
      <c r="R1175" s="8" t="n">
        <v>0</v>
      </c>
      <c r="S1175" s="8" t="n">
        <v>0</v>
      </c>
      <c r="T1175" s="8" t="n">
        <v>0</v>
      </c>
      <c r="U1175" s="8" t="n">
        <v>0</v>
      </c>
      <c r="V1175" s="8" t="n">
        <v>0</v>
      </c>
      <c r="W1175" s="8" t="n">
        <v>0</v>
      </c>
      <c r="X1175" s="8" t="n">
        <v>0</v>
      </c>
      <c r="Y1175" s="8" t="inlineStr">
        <is>
          <t>BB play #13 (B2); FO play #46 (B5); subbed by J Dunkerly play #66 (B7); also pitches T6</t>
        </is>
      </c>
    </row>
    <row r="1176" ht="15.75" customHeight="1" s="35">
      <c r="A1176" s="8" t="inlineStr">
        <is>
          <t>2026-03-18_PTXN_at_STHR</t>
        </is>
      </c>
      <c r="B1176" s="3" t="n">
        <v>46099</v>
      </c>
      <c r="C1176" s="8" t="inlineStr">
        <is>
          <t>Patuxent Varsity Panthers 26</t>
        </is>
      </c>
      <c r="D1176" s="8" t="inlineStr">
        <is>
          <t>STHR</t>
        </is>
      </c>
      <c r="E1176" s="8" t="inlineStr">
        <is>
          <t>W Thomas</t>
        </is>
      </c>
      <c r="F1176" s="8" t="n">
        <v>3</v>
      </c>
      <c r="G1176" s="8" t="n">
        <v>3</v>
      </c>
      <c r="H1176" s="8" t="n">
        <v>0</v>
      </c>
      <c r="I1176" s="8" t="n">
        <v>0</v>
      </c>
      <c r="J1176" s="8" t="n">
        <v>0</v>
      </c>
      <c r="K1176" s="8" t="n">
        <v>0</v>
      </c>
      <c r="L1176" s="8" t="n">
        <v>0</v>
      </c>
      <c r="M1176" s="8" t="n">
        <v>0</v>
      </c>
      <c r="N1176" s="8" t="n">
        <v>0</v>
      </c>
      <c r="O1176" s="8" t="n">
        <v>0</v>
      </c>
      <c r="P1176" s="8" t="n">
        <v>0</v>
      </c>
      <c r="Q1176" s="8" t="n">
        <v>0</v>
      </c>
      <c r="R1176" s="8" t="n">
        <v>0</v>
      </c>
      <c r="S1176" s="8" t="n">
        <v>1</v>
      </c>
      <c r="T1176" s="8" t="n">
        <v>0</v>
      </c>
      <c r="U1176" s="8" t="n">
        <v>0</v>
      </c>
      <c r="V1176" s="8" t="n">
        <v>0</v>
      </c>
      <c r="W1176" s="8" t="n">
        <v>0</v>
      </c>
      <c r="X1176" s="8" t="n">
        <v>1</v>
      </c>
      <c r="Y1176" s="8" t="inlineStr">
        <is>
          <t>FC play #14 (B2, RBI=1: N Youmans scores; G Godfrey out advancing = 2nd out of B2); GO play #47 (B5); Error play #67 (B7, reaches on B Cowan PTXN error); also pitches T7</t>
        </is>
      </c>
    </row>
    <row r="1177" ht="15.75" customHeight="1" s="35">
      <c r="A1177" s="8" t="inlineStr">
        <is>
          <t>2026-03-18_PTXN_at_STHR</t>
        </is>
      </c>
      <c r="B1177" s="3" t="n">
        <v>46099</v>
      </c>
      <c r="C1177" s="8" t="inlineStr">
        <is>
          <t>Patuxent Varsity Panthers 26</t>
        </is>
      </c>
      <c r="D1177" s="8" t="inlineStr">
        <is>
          <t>STHR</t>
        </is>
      </c>
      <c r="E1177" s="8" t="inlineStr">
        <is>
          <t>I Benson</t>
        </is>
      </c>
      <c r="F1177" s="8" t="n">
        <v>3</v>
      </c>
      <c r="G1177" s="8" t="n">
        <v>2</v>
      </c>
      <c r="H1177" s="8" t="n">
        <v>0</v>
      </c>
      <c r="I1177" s="8" t="n">
        <v>0</v>
      </c>
      <c r="J1177" s="8" t="n">
        <v>0</v>
      </c>
      <c r="K1177" s="8" t="n">
        <v>0</v>
      </c>
      <c r="L1177" s="8" t="n">
        <v>0</v>
      </c>
      <c r="M1177" s="8" t="n">
        <v>1</v>
      </c>
      <c r="N1177" s="8" t="n">
        <v>0</v>
      </c>
      <c r="O1177" s="8" t="n">
        <v>1</v>
      </c>
      <c r="P1177" s="8" t="n">
        <v>0</v>
      </c>
      <c r="Q1177" s="8" t="n">
        <v>1</v>
      </c>
      <c r="R1177" s="8" t="n">
        <v>0</v>
      </c>
      <c r="S1177" s="8" t="n">
        <v>1</v>
      </c>
      <c r="T1177" s="8" t="n">
        <v>0</v>
      </c>
      <c r="U1177" s="8" t="n">
        <v>0</v>
      </c>
      <c r="V1177" s="8" t="n">
        <v>0</v>
      </c>
      <c r="W1177" s="8" t="n">
        <v>0</v>
      </c>
      <c r="X1177" s="8" t="n">
        <v>0</v>
      </c>
      <c r="Y1177" s="8" t="inlineStr">
        <is>
          <t>K_S play #15 (B2); PO play #48 (B5); BB play #68 (B7, RBI=1: N Simmons scores walk-in); also pitches T1</t>
        </is>
      </c>
    </row>
    <row r="1178" ht="15.75" customHeight="1" s="35">
      <c r="A1178" s="8" t="inlineStr">
        <is>
          <t>2026-03-18_PTXN_at_STHR</t>
        </is>
      </c>
      <c r="B1178" s="3" t="n">
        <v>46099</v>
      </c>
      <c r="C1178" s="8" t="inlineStr">
        <is>
          <t>Patuxent Varsity Panthers 26</t>
        </is>
      </c>
      <c r="D1178" s="8" t="inlineStr">
        <is>
          <t>STHR</t>
        </is>
      </c>
      <c r="E1178" s="8" t="inlineStr">
        <is>
          <t>B Michaud</t>
        </is>
      </c>
      <c r="F1178" s="8" t="n">
        <v>1</v>
      </c>
      <c r="G1178" s="8" t="n">
        <v>1</v>
      </c>
      <c r="H1178" s="8" t="n">
        <v>0</v>
      </c>
      <c r="I1178" s="8" t="n">
        <v>0</v>
      </c>
      <c r="J1178" s="8" t="n">
        <v>0</v>
      </c>
      <c r="K1178" s="8" t="n">
        <v>0</v>
      </c>
      <c r="L1178" s="8" t="n">
        <v>0</v>
      </c>
      <c r="M1178" s="8" t="n">
        <v>0</v>
      </c>
      <c r="N1178" s="8" t="n">
        <v>0</v>
      </c>
      <c r="O1178" s="8" t="n">
        <v>1</v>
      </c>
      <c r="P1178" s="8" t="n">
        <v>0</v>
      </c>
      <c r="Q1178" s="8" t="n">
        <v>1</v>
      </c>
      <c r="R1178" s="8" t="n">
        <v>0</v>
      </c>
      <c r="S1178" s="8" t="n">
        <v>0</v>
      </c>
      <c r="T1178" s="8" t="n">
        <v>0</v>
      </c>
      <c r="U1178" s="8" t="n">
        <v>0</v>
      </c>
      <c r="V1178" s="8" t="n">
        <v>0</v>
      </c>
      <c r="W1178" s="8" t="n">
        <v>0</v>
      </c>
      <c r="X1178" s="8" t="n">
        <v>0</v>
      </c>
      <c r="Y1178" s="8" t="inlineStr">
        <is>
          <t>K_S play #20 (B3); subbed by T Veith play #55 (B6)</t>
        </is>
      </c>
    </row>
    <row r="1179" ht="15.75" customHeight="1" s="35">
      <c r="A1179" s="8" t="inlineStr">
        <is>
          <t>2026-03-18_PTXN_at_STHR</t>
        </is>
      </c>
      <c r="B1179" s="3" t="n">
        <v>46099</v>
      </c>
      <c r="C1179" s="8" t="inlineStr">
        <is>
          <t>Patuxent Varsity Panthers 26</t>
        </is>
      </c>
      <c r="D1179" s="8" t="inlineStr">
        <is>
          <t>STHR</t>
        </is>
      </c>
      <c r="E1179" s="8" t="inlineStr">
        <is>
          <t>C Perkins</t>
        </is>
      </c>
      <c r="F1179" s="8" t="n">
        <v>1</v>
      </c>
      <c r="G1179" s="8" t="n">
        <v>1</v>
      </c>
      <c r="H1179" s="8" t="n">
        <v>1</v>
      </c>
      <c r="I1179" s="8" t="n">
        <v>1</v>
      </c>
      <c r="J1179" s="8" t="n">
        <v>0</v>
      </c>
      <c r="K1179" s="8" t="n">
        <v>0</v>
      </c>
      <c r="L1179" s="8" t="n">
        <v>0</v>
      </c>
      <c r="M1179" s="8" t="n">
        <v>0</v>
      </c>
      <c r="N1179" s="8" t="n">
        <v>0</v>
      </c>
      <c r="O1179" s="8" t="n">
        <v>0</v>
      </c>
      <c r="P1179" s="8" t="n">
        <v>0</v>
      </c>
      <c r="Q1179" s="8" t="n">
        <v>0</v>
      </c>
      <c r="R1179" s="8" t="n">
        <v>0</v>
      </c>
      <c r="S1179" s="8" t="n">
        <v>0</v>
      </c>
      <c r="T1179" s="8" t="n">
        <v>0</v>
      </c>
      <c r="U1179" s="8" t="n">
        <v>0</v>
      </c>
      <c r="V1179" s="8" t="n">
        <v>0</v>
      </c>
      <c r="W1179" s="8" t="n">
        <v>0</v>
      </c>
      <c r="X1179" s="8" t="n">
        <v>0</v>
      </c>
      <c r="Y1179" s="8" t="inlineStr">
        <is>
          <t>1B play #21 (B3); CR J Dunkerly in for C Perkins play #22; J Dunkerly CS play #23 — CS attributed to J Dunkerly; subbed by G Perkins play #56 (B6)</t>
        </is>
      </c>
    </row>
    <row r="1180" ht="15.75" customHeight="1" s="35">
      <c r="A1180" s="8" t="inlineStr">
        <is>
          <t>2026-03-18_PTXN_at_STHR</t>
        </is>
      </c>
      <c r="B1180" s="3" t="n">
        <v>46099</v>
      </c>
      <c r="C1180" s="8" t="inlineStr">
        <is>
          <t>Patuxent Varsity Panthers 26</t>
        </is>
      </c>
      <c r="D1180" s="8" t="inlineStr">
        <is>
          <t>STHR</t>
        </is>
      </c>
      <c r="E1180" s="8" t="inlineStr">
        <is>
          <t>T Veith</t>
        </is>
      </c>
      <c r="F1180" s="8" t="n">
        <v>2</v>
      </c>
      <c r="G1180" s="8" t="n">
        <v>2</v>
      </c>
      <c r="H1180" s="8" t="n">
        <v>0</v>
      </c>
      <c r="I1180" s="8" t="n">
        <v>0</v>
      </c>
      <c r="J1180" s="8" t="n">
        <v>0</v>
      </c>
      <c r="K1180" s="8" t="n">
        <v>0</v>
      </c>
      <c r="L1180" s="8" t="n">
        <v>0</v>
      </c>
      <c r="M1180" s="8" t="n">
        <v>0</v>
      </c>
      <c r="N1180" s="8" t="n">
        <v>0</v>
      </c>
      <c r="O1180" s="8" t="n">
        <v>1</v>
      </c>
      <c r="P1180" s="8" t="n">
        <v>0</v>
      </c>
      <c r="Q1180" s="8" t="n">
        <v>1</v>
      </c>
      <c r="R1180" s="8" t="n">
        <v>0</v>
      </c>
      <c r="S1180" s="8" t="n">
        <v>0</v>
      </c>
      <c r="T1180" s="8" t="n">
        <v>0</v>
      </c>
      <c r="U1180" s="8" t="n">
        <v>0</v>
      </c>
      <c r="V1180" s="8" t="n">
        <v>0</v>
      </c>
      <c r="W1180" s="8" t="n">
        <v>0</v>
      </c>
      <c r="X1180" s="8" t="n">
        <v>0</v>
      </c>
      <c r="Y1180" s="8" t="inlineStr">
        <is>
          <t>PH for B Michaud play #55 (B6); K_S play #55; GO play #69 (B7)</t>
        </is>
      </c>
    </row>
    <row r="1181" ht="15.75" customHeight="1" s="35">
      <c r="A1181" s="8" t="inlineStr">
        <is>
          <t>2026-03-18_PTXN_at_STHR</t>
        </is>
      </c>
      <c r="B1181" s="3" t="n">
        <v>46099</v>
      </c>
      <c r="C1181" s="8" t="inlineStr">
        <is>
          <t>Patuxent Varsity Panthers 26</t>
        </is>
      </c>
      <c r="D1181" s="8" t="inlineStr">
        <is>
          <t>STHR</t>
        </is>
      </c>
      <c r="E1181" s="8" t="inlineStr">
        <is>
          <t>G Perkins</t>
        </is>
      </c>
      <c r="F1181" s="8" t="n">
        <v>1</v>
      </c>
      <c r="G1181" s="8" t="n">
        <v>1</v>
      </c>
      <c r="H1181" s="8" t="n">
        <v>0</v>
      </c>
      <c r="I1181" s="8" t="n">
        <v>0</v>
      </c>
      <c r="J1181" s="8" t="n">
        <v>0</v>
      </c>
      <c r="K1181" s="8" t="n">
        <v>0</v>
      </c>
      <c r="L1181" s="8" t="n">
        <v>0</v>
      </c>
      <c r="M1181" s="8" t="n">
        <v>0</v>
      </c>
      <c r="N1181" s="8" t="n">
        <v>0</v>
      </c>
      <c r="O1181" s="8" t="n">
        <v>1</v>
      </c>
      <c r="P1181" s="8" t="n">
        <v>0</v>
      </c>
      <c r="Q1181" s="8" t="n">
        <v>1</v>
      </c>
      <c r="R1181" s="8" t="n">
        <v>0</v>
      </c>
      <c r="S1181" s="8" t="n">
        <v>0</v>
      </c>
      <c r="T1181" s="8" t="n">
        <v>0</v>
      </c>
      <c r="U1181" s="8" t="n">
        <v>0</v>
      </c>
      <c r="V1181" s="8" t="n">
        <v>0</v>
      </c>
      <c r="W1181" s="8" t="n">
        <v>0</v>
      </c>
      <c r="X1181" s="8" t="n">
        <v>0</v>
      </c>
      <c r="Y1181" s="8" t="inlineStr">
        <is>
          <t>PH for C Perkins play #56 (B6); K_S play #56</t>
        </is>
      </c>
    </row>
    <row r="1182" ht="15.75" customHeight="1" s="35">
      <c r="A1182" s="8" t="inlineStr">
        <is>
          <t>2026-03-18_PTXN_at_STHR</t>
        </is>
      </c>
      <c r="B1182" s="3" t="n">
        <v>46099</v>
      </c>
      <c r="C1182" s="8" t="inlineStr">
        <is>
          <t>Patuxent Varsity Panthers 26</t>
        </is>
      </c>
      <c r="D1182" s="8" t="inlineStr">
        <is>
          <t>STHR</t>
        </is>
      </c>
      <c r="E1182" s="8" t="inlineStr">
        <is>
          <t>G Bowen</t>
        </is>
      </c>
      <c r="F1182" s="8" t="n">
        <v>1</v>
      </c>
      <c r="G1182" s="8" t="n">
        <v>1</v>
      </c>
      <c r="H1182" s="8" t="n">
        <v>0</v>
      </c>
      <c r="I1182" s="8" t="n">
        <v>0</v>
      </c>
      <c r="J1182" s="8" t="n">
        <v>0</v>
      </c>
      <c r="K1182" s="8" t="n">
        <v>0</v>
      </c>
      <c r="L1182" s="8" t="n">
        <v>0</v>
      </c>
      <c r="M1182" s="8" t="n">
        <v>0</v>
      </c>
      <c r="N1182" s="8" t="n">
        <v>0</v>
      </c>
      <c r="O1182" s="8" t="n">
        <v>1</v>
      </c>
      <c r="P1182" s="8" t="n">
        <v>1</v>
      </c>
      <c r="Q1182" s="8" t="n">
        <v>0</v>
      </c>
      <c r="R1182" s="8" t="n">
        <v>0</v>
      </c>
      <c r="S1182" s="8" t="n">
        <v>0</v>
      </c>
      <c r="T1182" s="8" t="n">
        <v>0</v>
      </c>
      <c r="U1182" s="8" t="n">
        <v>0</v>
      </c>
      <c r="V1182" s="8" t="n">
        <v>0</v>
      </c>
      <c r="W1182" s="8" t="n">
        <v>0</v>
      </c>
      <c r="X1182" s="8" t="n">
        <v>0</v>
      </c>
      <c r="Y1182" s="8" t="inlineStr">
        <is>
          <t>PH for C Parks play #58 (B6); K_L play #58; also CR for C Parks plays #35-#37 (B4, out on FC play #37); also pitches T2</t>
        </is>
      </c>
    </row>
    <row r="1183" ht="15.75" customHeight="1" s="35">
      <c r="A1183" s="8" t="inlineStr">
        <is>
          <t>2026-03-18_PTXN_at_STHR</t>
        </is>
      </c>
      <c r="B1183" s="3" t="n">
        <v>46099</v>
      </c>
      <c r="C1183" s="8" t="inlineStr">
        <is>
          <t>Patuxent Varsity Panthers 26</t>
        </is>
      </c>
      <c r="D1183" s="8" t="inlineStr">
        <is>
          <t>STHR</t>
        </is>
      </c>
      <c r="E1183" s="8" t="inlineStr">
        <is>
          <t>N Simmons</t>
        </is>
      </c>
      <c r="F1183" s="8" t="n">
        <v>1</v>
      </c>
      <c r="G1183" s="8" t="n">
        <v>0</v>
      </c>
      <c r="H1183" s="8" t="n">
        <v>0</v>
      </c>
      <c r="I1183" s="8" t="n">
        <v>0</v>
      </c>
      <c r="J1183" s="8" t="n">
        <v>0</v>
      </c>
      <c r="K1183" s="8" t="n">
        <v>0</v>
      </c>
      <c r="L1183" s="8" t="n">
        <v>0</v>
      </c>
      <c r="M1183" s="8" t="n">
        <v>1</v>
      </c>
      <c r="N1183" s="8" t="n">
        <v>0</v>
      </c>
      <c r="O1183" s="8" t="n">
        <v>0</v>
      </c>
      <c r="P1183" s="8" t="n">
        <v>0</v>
      </c>
      <c r="Q1183" s="8" t="n">
        <v>0</v>
      </c>
      <c r="R1183" s="8" t="n">
        <v>1</v>
      </c>
      <c r="S1183" s="8" t="n">
        <v>0</v>
      </c>
      <c r="T1183" s="8" t="n">
        <v>0</v>
      </c>
      <c r="U1183" s="8" t="n">
        <v>0</v>
      </c>
      <c r="V1183" s="8" t="n">
        <v>0</v>
      </c>
      <c r="W1183" s="8" t="n">
        <v>0</v>
      </c>
      <c r="X1183" s="8" t="n">
        <v>0</v>
      </c>
      <c r="Y1183" s="8" t="inlineStr">
        <is>
          <t>PH for G Crandell play #63 (B7); BB play #63; R: I Benson walk-in play #68</t>
        </is>
      </c>
    </row>
    <row r="1184" ht="15.75" customHeight="1" s="35">
      <c r="A1184" s="8" t="inlineStr">
        <is>
          <t>2026-03-18_PTXN_at_STHR</t>
        </is>
      </c>
      <c r="B1184" s="3" t="n">
        <v>46099</v>
      </c>
      <c r="C1184" s="8" t="inlineStr">
        <is>
          <t>Patuxent Varsity Panthers 26</t>
        </is>
      </c>
      <c r="D1184" s="8" t="inlineStr">
        <is>
          <t>STHR</t>
        </is>
      </c>
      <c r="E1184" s="8" t="inlineStr">
        <is>
          <t>G Colhoun</t>
        </is>
      </c>
      <c r="F1184" s="8" t="n">
        <v>1</v>
      </c>
      <c r="G1184" s="8" t="n">
        <v>1</v>
      </c>
      <c r="H1184" s="8" t="n">
        <v>0</v>
      </c>
      <c r="I1184" s="8" t="n">
        <v>0</v>
      </c>
      <c r="J1184" s="8" t="n">
        <v>0</v>
      </c>
      <c r="K1184" s="8" t="n">
        <v>0</v>
      </c>
      <c r="L1184" s="8" t="n">
        <v>0</v>
      </c>
      <c r="M1184" s="8" t="n">
        <v>0</v>
      </c>
      <c r="N1184" s="8" t="n">
        <v>0</v>
      </c>
      <c r="O1184" s="8" t="n">
        <v>0</v>
      </c>
      <c r="P1184" s="8" t="n">
        <v>0</v>
      </c>
      <c r="Q1184" s="8" t="n">
        <v>0</v>
      </c>
      <c r="R1184" s="8" t="n">
        <v>0</v>
      </c>
      <c r="S1184" s="8" t="n">
        <v>0</v>
      </c>
      <c r="T1184" s="8" t="n">
        <v>0</v>
      </c>
      <c r="U1184" s="8" t="n">
        <v>0</v>
      </c>
      <c r="V1184" s="8" t="n">
        <v>0</v>
      </c>
      <c r="W1184" s="8" t="n">
        <v>0</v>
      </c>
      <c r="X1184" s="8" t="n">
        <v>0</v>
      </c>
      <c r="Y1184" s="8" t="inlineStr">
        <is>
          <t>PH for N Youmans play #64 (B7); GO play #64</t>
        </is>
      </c>
    </row>
    <row r="1185" ht="15.75" customHeight="1" s="35">
      <c r="A1185" s="8" t="inlineStr">
        <is>
          <t>2026-03-18_PTXN_at_STHR</t>
        </is>
      </c>
      <c r="B1185" s="3" t="n">
        <v>46099</v>
      </c>
      <c r="C1185" s="8" t="inlineStr">
        <is>
          <t>Patuxent Varsity Panthers 26</t>
        </is>
      </c>
      <c r="D1185" s="8" t="inlineStr">
        <is>
          <t>STHR</t>
        </is>
      </c>
      <c r="E1185" s="8" t="inlineStr">
        <is>
          <t>S Lopez</t>
        </is>
      </c>
      <c r="F1185" s="8" t="n">
        <v>1</v>
      </c>
      <c r="G1185" s="8" t="n">
        <v>0</v>
      </c>
      <c r="H1185" s="8" t="n">
        <v>0</v>
      </c>
      <c r="I1185" s="8" t="n">
        <v>0</v>
      </c>
      <c r="J1185" s="8" t="n">
        <v>0</v>
      </c>
      <c r="K1185" s="8" t="n">
        <v>0</v>
      </c>
      <c r="L1185" s="8" t="n">
        <v>0</v>
      </c>
      <c r="M1185" s="8" t="n">
        <v>1</v>
      </c>
      <c r="N1185" s="8" t="n">
        <v>0</v>
      </c>
      <c r="O1185" s="8" t="n">
        <v>0</v>
      </c>
      <c r="P1185" s="8" t="n">
        <v>0</v>
      </c>
      <c r="Q1185" s="8" t="n">
        <v>0</v>
      </c>
      <c r="R1185" s="8" t="n">
        <v>0</v>
      </c>
      <c r="S1185" s="8" t="n">
        <v>0</v>
      </c>
      <c r="T1185" s="8" t="n">
        <v>0</v>
      </c>
      <c r="U1185" s="8" t="n">
        <v>0</v>
      </c>
      <c r="V1185" s="8" t="n">
        <v>0</v>
      </c>
      <c r="W1185" s="8" t="n">
        <v>0</v>
      </c>
      <c r="X1185" s="8" t="n">
        <v>0</v>
      </c>
      <c r="Y1185" s="8" t="inlineStr">
        <is>
          <t>PH for B Bowers play #65 (B7); BB play #65</t>
        </is>
      </c>
    </row>
    <row r="1186" ht="15.75" customHeight="1" s="35">
      <c r="A1186" s="8" t="inlineStr">
        <is>
          <t>2026-03-18_PTXN_at_STHR</t>
        </is>
      </c>
      <c r="B1186" s="3" t="n">
        <v>46099</v>
      </c>
      <c r="C1186" s="8" t="inlineStr">
        <is>
          <t>Patuxent Varsity Panthers 26</t>
        </is>
      </c>
      <c r="D1186" s="8" t="inlineStr">
        <is>
          <t>STHR</t>
        </is>
      </c>
      <c r="E1186" s="8" t="inlineStr">
        <is>
          <t>J Dunkerly</t>
        </is>
      </c>
      <c r="F1186" s="8" t="n">
        <v>1</v>
      </c>
      <c r="G1186" s="8" t="n">
        <v>1</v>
      </c>
      <c r="H1186" s="8" t="n">
        <v>0</v>
      </c>
      <c r="I1186" s="8" t="n">
        <v>0</v>
      </c>
      <c r="J1186" s="8" t="n">
        <v>0</v>
      </c>
      <c r="K1186" s="8" t="n">
        <v>0</v>
      </c>
      <c r="L1186" s="8" t="n">
        <v>0</v>
      </c>
      <c r="M1186" s="8" t="n">
        <v>0</v>
      </c>
      <c r="N1186" s="8" t="n">
        <v>0</v>
      </c>
      <c r="O1186" s="8" t="n">
        <v>1</v>
      </c>
      <c r="P1186" s="8" t="n">
        <v>1</v>
      </c>
      <c r="Q1186" s="8" t="n">
        <v>0</v>
      </c>
      <c r="R1186" s="8" t="n">
        <v>0</v>
      </c>
      <c r="S1186" s="8" t="n">
        <v>0</v>
      </c>
      <c r="T1186" s="8" t="n">
        <v>0</v>
      </c>
      <c r="U1186" s="8" t="n">
        <v>1</v>
      </c>
      <c r="V1186" s="8" t="n">
        <v>0</v>
      </c>
      <c r="W1186" s="8" t="n">
        <v>0</v>
      </c>
      <c r="X1186" s="8" t="n">
        <v>0</v>
      </c>
      <c r="Y1186" s="8" t="inlineStr">
        <is>
          <t>PH for G Godfrey play #66 (B7); K_L play #66; also CR for C Perkins plays #22-#23 (B3); CS play #23 (caught stealing 2nd, catcher L Powell)</t>
        </is>
      </c>
    </row>
    <row r="1187" ht="15.75" customHeight="1" s="35">
      <c r="A1187" s="8" t="inlineStr">
        <is>
          <t>2026-03-26_ANNP_at_STHR</t>
        </is>
      </c>
      <c r="B1187" s="3" t="inlineStr">
        <is>
          <t>2026-03-26</t>
        </is>
      </c>
      <c r="C1187" s="8" t="inlineStr">
        <is>
          <t>Southern Varsity Bulldogs</t>
        </is>
      </c>
      <c r="D1187" s="8" t="inlineStr">
        <is>
          <t>ANNP</t>
        </is>
      </c>
      <c r="E1187" s="8" t="inlineStr">
        <is>
          <t>D Shallcross</t>
        </is>
      </c>
      <c r="F1187" s="8" t="n">
        <v>5</v>
      </c>
      <c r="G1187" s="8" t="n">
        <v>4</v>
      </c>
      <c r="H1187" s="8" t="n">
        <v>0</v>
      </c>
      <c r="I1187" s="8" t="n">
        <v>0</v>
      </c>
      <c r="J1187" s="8" t="n">
        <v>0</v>
      </c>
      <c r="K1187" s="8" t="n">
        <v>0</v>
      </c>
      <c r="L1187" s="8" t="n">
        <v>0</v>
      </c>
      <c r="M1187" s="8" t="n">
        <v>1</v>
      </c>
      <c r="N1187" s="8" t="n">
        <v>0</v>
      </c>
      <c r="O1187" s="8" t="n">
        <v>0</v>
      </c>
      <c r="P1187" s="8" t="n">
        <v>0</v>
      </c>
      <c r="Q1187" s="8" t="n">
        <v>0</v>
      </c>
      <c r="R1187" s="8" t="n">
        <v>1</v>
      </c>
      <c r="S1187" s="8" t="n">
        <v>0</v>
      </c>
      <c r="T1187" s="8" t="n">
        <v>1</v>
      </c>
      <c r="U1187" s="8" t="n">
        <v>0</v>
      </c>
      <c r="V1187" s="8" t="n">
        <v>0</v>
      </c>
      <c r="W1187" s="8" t="n">
        <v>0</v>
      </c>
      <c r="X1187" s="8" t="n">
        <v>1</v>
      </c>
      <c r="Y1187" s="8" t="inlineStr">
        <is>
          <t>BB play #1; FC plays #10; SB play #3 (steals 3rd); ROE play #40 not a hit; scores play #3</t>
        </is>
      </c>
    </row>
    <row r="1188" ht="15.75" customHeight="1" s="35">
      <c r="A1188" s="8" t="inlineStr">
        <is>
          <t>2026-03-26_ANNP_at_STHR</t>
        </is>
      </c>
      <c r="B1188" s="3" t="inlineStr">
        <is>
          <t>2026-03-26</t>
        </is>
      </c>
      <c r="C1188" s="8" t="inlineStr">
        <is>
          <t>Southern Varsity Bulldogs</t>
        </is>
      </c>
      <c r="D1188" s="8" t="inlineStr">
        <is>
          <t>ANNP</t>
        </is>
      </c>
      <c r="E1188" s="8" t="inlineStr">
        <is>
          <t>C LaRouche</t>
        </is>
      </c>
      <c r="F1188" s="8" t="n">
        <v>5</v>
      </c>
      <c r="G1188" s="8" t="n">
        <v>2</v>
      </c>
      <c r="H1188" s="8" t="n">
        <v>0</v>
      </c>
      <c r="I1188" s="8" t="n">
        <v>0</v>
      </c>
      <c r="J1188" s="8" t="n">
        <v>0</v>
      </c>
      <c r="K1188" s="8" t="n">
        <v>0</v>
      </c>
      <c r="L1188" s="8" t="n">
        <v>0</v>
      </c>
      <c r="M1188" s="8" t="n">
        <v>1</v>
      </c>
      <c r="N1188" s="8" t="n">
        <v>2</v>
      </c>
      <c r="O1188" s="8" t="n">
        <v>0</v>
      </c>
      <c r="P1188" s="8" t="n">
        <v>0</v>
      </c>
      <c r="Q1188" s="8" t="n">
        <v>0</v>
      </c>
      <c r="R1188" s="8" t="n">
        <v>3</v>
      </c>
      <c r="S1188" s="8" t="n">
        <v>0</v>
      </c>
      <c r="T1188" s="8" t="n">
        <v>2</v>
      </c>
      <c r="U1188" s="8" t="n">
        <v>0</v>
      </c>
      <c r="V1188" s="8" t="n">
        <v>0</v>
      </c>
      <c r="W1188" s="8" t="n">
        <v>0</v>
      </c>
      <c r="X1188" s="8" t="n">
        <v>1</v>
      </c>
      <c r="Y1188" s="8" t="inlineStr">
        <is>
          <t>HBP plays #2 #50; BB play #15; FC play #30; SB plays #16 (steals 2nd) #17 (steals 3rd); scores plays #4 #17 #52</t>
        </is>
      </c>
    </row>
    <row r="1189" ht="15.75" customHeight="1" s="35">
      <c r="A1189" s="8" t="inlineStr">
        <is>
          <t>2026-03-26_ANNP_at_STHR</t>
        </is>
      </c>
      <c r="B1189" s="3" t="inlineStr">
        <is>
          <t>2026-03-26</t>
        </is>
      </c>
      <c r="C1189" s="8" t="inlineStr">
        <is>
          <t>Southern Varsity Bulldogs</t>
        </is>
      </c>
      <c r="D1189" s="8" t="inlineStr">
        <is>
          <t>ANNP</t>
        </is>
      </c>
      <c r="E1189" s="8" t="inlineStr">
        <is>
          <t>W Meyer</t>
        </is>
      </c>
      <c r="F1189" s="8" t="n">
        <v>5</v>
      </c>
      <c r="G1189" s="8" t="n">
        <v>4</v>
      </c>
      <c r="H1189" s="8" t="n">
        <v>1</v>
      </c>
      <c r="I1189" s="8" t="n">
        <v>1</v>
      </c>
      <c r="J1189" s="8" t="n">
        <v>0</v>
      </c>
      <c r="K1189" s="8" t="n">
        <v>0</v>
      </c>
      <c r="L1189" s="8" t="n">
        <v>0</v>
      </c>
      <c r="M1189" s="8" t="n">
        <v>1</v>
      </c>
      <c r="N1189" s="8" t="n">
        <v>0</v>
      </c>
      <c r="O1189" s="8" t="n">
        <v>1</v>
      </c>
      <c r="P1189" s="8" t="n">
        <v>0</v>
      </c>
      <c r="Q1189" s="8" t="n">
        <v>1</v>
      </c>
      <c r="R1189" s="8" t="n">
        <v>2</v>
      </c>
      <c r="S1189" s="8" t="n">
        <v>1</v>
      </c>
      <c r="T1189" s="8" t="n">
        <v>1</v>
      </c>
      <c r="U1189" s="8" t="n">
        <v>0</v>
      </c>
      <c r="V1189" s="8" t="n">
        <v>0</v>
      </c>
      <c r="W1189" s="8" t="n">
        <v>0</v>
      </c>
      <c r="X1189" s="8" t="n">
        <v>0</v>
      </c>
      <c r="Y1189" s="8" t="inlineStr">
        <is>
          <t>1B play #51; K_S play #34; BB play #16; SB play #52 (steals 2nd); RBI play #3 (GO D Shallcross scores); scores plays #17 #52</t>
        </is>
      </c>
    </row>
    <row r="1190" ht="15.75" customHeight="1" s="35">
      <c r="A1190" s="8" t="inlineStr">
        <is>
          <t>2026-03-26_ANNP_at_STHR</t>
        </is>
      </c>
      <c r="B1190" s="3" t="inlineStr">
        <is>
          <t>2026-03-26</t>
        </is>
      </c>
      <c r="C1190" s="8" t="inlineStr">
        <is>
          <t>Southern Varsity Bulldogs</t>
        </is>
      </c>
      <c r="D1190" s="8" t="inlineStr">
        <is>
          <t>ANNP</t>
        </is>
      </c>
      <c r="E1190" s="8" t="inlineStr">
        <is>
          <t>W Goulet</t>
        </is>
      </c>
      <c r="F1190" s="8" t="n">
        <v>4</v>
      </c>
      <c r="G1190" s="8" t="n">
        <v>4</v>
      </c>
      <c r="H1190" s="8" t="n">
        <v>3</v>
      </c>
      <c r="I1190" s="8" t="n">
        <v>1</v>
      </c>
      <c r="J1190" s="8" t="n">
        <v>2</v>
      </c>
      <c r="K1190" s="8" t="n">
        <v>0</v>
      </c>
      <c r="L1190" s="8" t="n">
        <v>0</v>
      </c>
      <c r="M1190" s="8" t="n">
        <v>0</v>
      </c>
      <c r="N1190" s="8" t="n">
        <v>0</v>
      </c>
      <c r="O1190" s="8" t="n">
        <v>0</v>
      </c>
      <c r="P1190" s="8" t="n">
        <v>0</v>
      </c>
      <c r="Q1190" s="8" t="n">
        <v>0</v>
      </c>
      <c r="R1190" s="8" t="n">
        <v>3</v>
      </c>
      <c r="S1190" s="8" t="n">
        <v>3</v>
      </c>
      <c r="T1190" s="8" t="n">
        <v>0</v>
      </c>
      <c r="U1190" s="8" t="n">
        <v>1</v>
      </c>
      <c r="V1190" s="8" t="n">
        <v>0</v>
      </c>
      <c r="W1190" s="8" t="n">
        <v>0</v>
      </c>
      <c r="X1190" s="8" t="n">
        <v>0</v>
      </c>
      <c r="Y1190" s="8" t="inlineStr">
        <is>
          <t>2B plays #4 #17; 1B play #35; ROE play #52 (not a hit); CS play #36 (catcher C Perkins); RBI play #4 (C LaRouche scores), play #17 (C LaRouche+W Meyer score = 2 RBI); scores plays #7 #19 #55</t>
        </is>
      </c>
    </row>
    <row r="1191" ht="15.75" customHeight="1" s="35">
      <c r="A1191" s="8" t="inlineStr">
        <is>
          <t>2026-03-26_ANNP_at_STHR</t>
        </is>
      </c>
      <c r="B1191" s="3" t="inlineStr">
        <is>
          <t>2026-03-26</t>
        </is>
      </c>
      <c r="C1191" s="8" t="inlineStr">
        <is>
          <t>Southern Varsity Bulldogs</t>
        </is>
      </c>
      <c r="D1191" s="8" t="inlineStr">
        <is>
          <t>ANNP</t>
        </is>
      </c>
      <c r="E1191" s="8" t="inlineStr">
        <is>
          <t>B Sale</t>
        </is>
      </c>
      <c r="F1191" s="8" t="n">
        <v>4</v>
      </c>
      <c r="G1191" s="8" t="n">
        <v>2</v>
      </c>
      <c r="H1191" s="8" t="n">
        <v>0</v>
      </c>
      <c r="I1191" s="8" t="n">
        <v>0</v>
      </c>
      <c r="J1191" s="8" t="n">
        <v>0</v>
      </c>
      <c r="K1191" s="8" t="n">
        <v>0</v>
      </c>
      <c r="L1191" s="8" t="n">
        <v>0</v>
      </c>
      <c r="M1191" s="8" t="n">
        <v>2</v>
      </c>
      <c r="N1191" s="8" t="n">
        <v>0</v>
      </c>
      <c r="O1191" s="8" t="n">
        <v>0</v>
      </c>
      <c r="P1191" s="8" t="n">
        <v>0</v>
      </c>
      <c r="Q1191" s="8" t="n">
        <v>0</v>
      </c>
      <c r="R1191" s="8" t="n">
        <v>1</v>
      </c>
      <c r="S1191" s="8" t="n">
        <v>0</v>
      </c>
      <c r="T1191" s="8" t="n">
        <v>0</v>
      </c>
      <c r="U1191" s="8" t="n">
        <v>0</v>
      </c>
      <c r="V1191" s="8" t="n">
        <v>0</v>
      </c>
      <c r="W1191" s="8" t="n">
        <v>0</v>
      </c>
      <c r="X1191" s="8" t="n">
        <v>0</v>
      </c>
      <c r="Y1191" s="8" t="inlineStr">
        <is>
          <t>BB plays #5 #53; GO play #18; PO play #36; pickoff play #54 (not CS); scores play #8 (J Claxton walk bases loaded); also starting pitcher Bottom 1-5 for ANNP (entry inferred, no lineup-change note)</t>
        </is>
      </c>
    </row>
    <row r="1192" ht="15.75" customHeight="1" s="35">
      <c r="A1192" s="8" t="inlineStr">
        <is>
          <t>2026-03-26_ANNP_at_STHR</t>
        </is>
      </c>
      <c r="B1192" s="3" t="inlineStr">
        <is>
          <t>2026-03-26</t>
        </is>
      </c>
      <c r="C1192" s="8" t="inlineStr">
        <is>
          <t>Southern Varsity Bulldogs</t>
        </is>
      </c>
      <c r="D1192" s="8" t="inlineStr">
        <is>
          <t>ANNP</t>
        </is>
      </c>
      <c r="E1192" s="8" t="inlineStr">
        <is>
          <t>J Davis</t>
        </is>
      </c>
      <c r="F1192" s="8" t="n">
        <v>4</v>
      </c>
      <c r="G1192" s="8" t="n">
        <v>4</v>
      </c>
      <c r="H1192" s="8" t="n">
        <v>1</v>
      </c>
      <c r="I1192" s="8" t="n">
        <v>1</v>
      </c>
      <c r="J1192" s="8" t="n">
        <v>0</v>
      </c>
      <c r="K1192" s="8" t="n">
        <v>0</v>
      </c>
      <c r="L1192" s="8" t="n">
        <v>0</v>
      </c>
      <c r="M1192" s="8" t="n">
        <v>0</v>
      </c>
      <c r="N1192" s="8" t="n">
        <v>0</v>
      </c>
      <c r="O1192" s="8" t="n">
        <v>1</v>
      </c>
      <c r="P1192" s="8" t="n">
        <v>0</v>
      </c>
      <c r="Q1192" s="8" t="n">
        <v>1</v>
      </c>
      <c r="R1192" s="8" t="n">
        <v>0</v>
      </c>
      <c r="S1192" s="8" t="n">
        <v>1</v>
      </c>
      <c r="T1192" s="8" t="n">
        <v>0</v>
      </c>
      <c r="U1192" s="8" t="n">
        <v>0</v>
      </c>
      <c r="V1192" s="8" t="n">
        <v>0</v>
      </c>
      <c r="W1192" s="8" t="n">
        <v>0</v>
      </c>
      <c r="X1192" s="8" t="n">
        <v>0</v>
      </c>
      <c r="Y1192" s="8" t="inlineStr">
        <is>
          <t>1B play #6; K_S play #54; ROE play #40 (not a hit); RBI play #19 (GO W Goulet scores)</t>
        </is>
      </c>
    </row>
    <row r="1193" ht="15.75" customHeight="1" s="35">
      <c r="A1193" s="8" t="inlineStr">
        <is>
          <t>2026-03-26_ANNP_at_STHR</t>
        </is>
      </c>
      <c r="B1193" s="3" t="inlineStr">
        <is>
          <t>2026-03-26</t>
        </is>
      </c>
      <c r="C1193" s="8" t="inlineStr">
        <is>
          <t>Southern Varsity Bulldogs</t>
        </is>
      </c>
      <c r="D1193" s="8" t="inlineStr">
        <is>
          <t>ANNP</t>
        </is>
      </c>
      <c r="E1193" s="8" t="inlineStr">
        <is>
          <t>D Capo</t>
        </is>
      </c>
      <c r="F1193" s="8" t="n">
        <v>4</v>
      </c>
      <c r="G1193" s="8" t="n">
        <v>4</v>
      </c>
      <c r="H1193" s="8" t="n">
        <v>1</v>
      </c>
      <c r="I1193" s="8" t="n">
        <v>0</v>
      </c>
      <c r="J1193" s="8" t="n">
        <v>0</v>
      </c>
      <c r="K1193" s="8" t="n">
        <v>1</v>
      </c>
      <c r="L1193" s="8" t="n">
        <v>0</v>
      </c>
      <c r="M1193" s="8" t="n">
        <v>0</v>
      </c>
      <c r="N1193" s="8" t="n">
        <v>0</v>
      </c>
      <c r="O1193" s="8" t="n">
        <v>1</v>
      </c>
      <c r="P1193" s="8" t="n">
        <v>0</v>
      </c>
      <c r="Q1193" s="8" t="n">
        <v>1</v>
      </c>
      <c r="R1193" s="8" t="n">
        <v>1</v>
      </c>
      <c r="S1193" s="8" t="n">
        <v>2</v>
      </c>
      <c r="T1193" s="8" t="n">
        <v>0</v>
      </c>
      <c r="U1193" s="8" t="n">
        <v>0</v>
      </c>
      <c r="V1193" s="8" t="n">
        <v>0</v>
      </c>
      <c r="W1193" s="8" t="n">
        <v>0</v>
      </c>
      <c r="X1193" s="8" t="n">
        <v>2</v>
      </c>
      <c r="Y1193" s="8" t="inlineStr">
        <is>
          <t>FC plays #7 #41; 3B play #55; K_S play #20; RBI play #7 (FC W Goulet scores) play #55 (3B W Goulet scores); scores play #56 (M Keen 1B)</t>
        </is>
      </c>
    </row>
    <row r="1194" ht="15.75" customHeight="1" s="35">
      <c r="A1194" s="8" t="inlineStr">
        <is>
          <t>2026-03-26_ANNP_at_STHR</t>
        </is>
      </c>
      <c r="B1194" s="3" t="inlineStr">
        <is>
          <t>2026-03-26</t>
        </is>
      </c>
      <c r="C1194" s="8" t="inlineStr">
        <is>
          <t>Southern Varsity Bulldogs</t>
        </is>
      </c>
      <c r="D1194" s="8" t="inlineStr">
        <is>
          <t>ANNP</t>
        </is>
      </c>
      <c r="E1194" s="8" t="inlineStr">
        <is>
          <t>J Claxton</t>
        </is>
      </c>
      <c r="F1194" s="8" t="n">
        <v>3</v>
      </c>
      <c r="G1194" s="8" t="n">
        <v>2</v>
      </c>
      <c r="H1194" s="8" t="n">
        <v>0</v>
      </c>
      <c r="I1194" s="8" t="n">
        <v>0</v>
      </c>
      <c r="J1194" s="8" t="n">
        <v>0</v>
      </c>
      <c r="K1194" s="8" t="n">
        <v>0</v>
      </c>
      <c r="L1194" s="8" t="n">
        <v>0</v>
      </c>
      <c r="M1194" s="8" t="n">
        <v>1</v>
      </c>
      <c r="N1194" s="8" t="n">
        <v>0</v>
      </c>
      <c r="O1194" s="8" t="n">
        <v>0</v>
      </c>
      <c r="P1194" s="8" t="n">
        <v>0</v>
      </c>
      <c r="Q1194" s="8" t="n">
        <v>0</v>
      </c>
      <c r="R1194" s="8" t="n">
        <v>0</v>
      </c>
      <c r="S1194" s="8" t="n">
        <v>1</v>
      </c>
      <c r="T1194" s="8" t="n">
        <v>0</v>
      </c>
      <c r="U1194" s="8" t="n">
        <v>0</v>
      </c>
      <c r="V1194" s="8" t="n">
        <v>0</v>
      </c>
      <c r="W1194" s="8" t="n">
        <v>0</v>
      </c>
      <c r="X1194" s="8" t="n">
        <v>0</v>
      </c>
      <c r="Y1194" s="8" t="inlineStr">
        <is>
          <t>BB play #8 (bases loaded walk RBI B Sale scores); GO play #27; FO play #42; replaced by M Keen (PH) play #56</t>
        </is>
      </c>
    </row>
    <row r="1195" ht="15.75" customHeight="1" s="35">
      <c r="A1195" s="8" t="inlineStr">
        <is>
          <t>2026-03-26_ANNP_at_STHR</t>
        </is>
      </c>
      <c r="B1195" s="3" t="inlineStr">
        <is>
          <t>2026-03-26</t>
        </is>
      </c>
      <c r="C1195" s="8" t="inlineStr">
        <is>
          <t>Southern Varsity Bulldogs</t>
        </is>
      </c>
      <c r="D1195" s="8" t="inlineStr">
        <is>
          <t>ANNP</t>
        </is>
      </c>
      <c r="E1195" s="8" t="inlineStr">
        <is>
          <t>L Keohan</t>
        </is>
      </c>
      <c r="F1195" s="8" t="n">
        <v>4</v>
      </c>
      <c r="G1195" s="8" t="n">
        <v>2</v>
      </c>
      <c r="H1195" s="8" t="n">
        <v>0</v>
      </c>
      <c r="I1195" s="8" t="n">
        <v>0</v>
      </c>
      <c r="J1195" s="8" t="n">
        <v>0</v>
      </c>
      <c r="K1195" s="8" t="n">
        <v>0</v>
      </c>
      <c r="L1195" s="8" t="n">
        <v>0</v>
      </c>
      <c r="M1195" s="8" t="n">
        <v>1</v>
      </c>
      <c r="N1195" s="8" t="n">
        <v>1</v>
      </c>
      <c r="O1195" s="8" t="n">
        <v>0</v>
      </c>
      <c r="P1195" s="8" t="n">
        <v>0</v>
      </c>
      <c r="Q1195" s="8" t="n">
        <v>0</v>
      </c>
      <c r="R1195" s="8" t="n">
        <v>0</v>
      </c>
      <c r="S1195" s="8" t="n">
        <v>0</v>
      </c>
      <c r="T1195" s="8" t="n">
        <v>0</v>
      </c>
      <c r="U1195" s="8" t="n">
        <v>0</v>
      </c>
      <c r="V1195" s="8" t="n">
        <v>0</v>
      </c>
      <c r="W1195" s="8" t="n">
        <v>0</v>
      </c>
      <c r="X1195" s="8" t="n">
        <v>0</v>
      </c>
      <c r="Y1195" s="8" t="inlineStr">
        <is>
          <t>PO play #9; BB play #28; HBP play #43; GO play #57</t>
        </is>
      </c>
    </row>
    <row r="1196" ht="15.75" customHeight="1" s="35">
      <c r="A1196" s="8" t="inlineStr">
        <is>
          <t>2026-03-26_ANNP_at_STHR</t>
        </is>
      </c>
      <c r="B1196" s="3" t="inlineStr">
        <is>
          <t>2026-03-26</t>
        </is>
      </c>
      <c r="C1196" s="8" t="inlineStr">
        <is>
          <t>Southern Varsity Bulldogs</t>
        </is>
      </c>
      <c r="D1196" s="8" t="inlineStr">
        <is>
          <t>ANNP</t>
        </is>
      </c>
      <c r="E1196" s="8" t="inlineStr">
        <is>
          <t>M Keen</t>
        </is>
      </c>
      <c r="F1196" s="8" t="n">
        <v>1</v>
      </c>
      <c r="G1196" s="8" t="n">
        <v>1</v>
      </c>
      <c r="H1196" s="8" t="n">
        <v>1</v>
      </c>
      <c r="I1196" s="8" t="n">
        <v>1</v>
      </c>
      <c r="J1196" s="8" t="n">
        <v>0</v>
      </c>
      <c r="K1196" s="8" t="n">
        <v>0</v>
      </c>
      <c r="L1196" s="8" t="n">
        <v>0</v>
      </c>
      <c r="M1196" s="8" t="n">
        <v>0</v>
      </c>
      <c r="N1196" s="8" t="n">
        <v>0</v>
      </c>
      <c r="O1196" s="8" t="n">
        <v>0</v>
      </c>
      <c r="P1196" s="8" t="n">
        <v>0</v>
      </c>
      <c r="Q1196" s="8" t="n">
        <v>0</v>
      </c>
      <c r="R1196" s="8" t="n">
        <v>0</v>
      </c>
      <c r="S1196" s="8" t="n">
        <v>1</v>
      </c>
      <c r="T1196" s="8" t="n">
        <v>0</v>
      </c>
      <c r="U1196" s="8" t="n">
        <v>0</v>
      </c>
      <c r="V1196" s="8" t="n">
        <v>0</v>
      </c>
      <c r="W1196" s="8" t="n">
        <v>0</v>
      </c>
      <c r="X1196" s="8" t="n">
        <v>0</v>
      </c>
      <c r="Y1196" s="8" t="inlineStr">
        <is>
          <t>PH for J Claxton play #56 (Top 6); 1B play #56; RBI play #56 (D Capo scores); Courtesy runner J Boivin in for M Keen play #57 — J Boivin does not score; also pitches Bottom 5-7 for ANNP (entry documented play #48 note)</t>
        </is>
      </c>
    </row>
    <row r="1197" ht="15.75" customHeight="1" s="35">
      <c r="A1197" s="8" t="inlineStr">
        <is>
          <t>2026-03-26_ANNP_at_STHR</t>
        </is>
      </c>
      <c r="B1197" s="3" t="inlineStr">
        <is>
          <t>2026-03-26</t>
        </is>
      </c>
      <c r="C1197" s="8" t="inlineStr">
        <is>
          <t>Annapolis Varsity Panthers 2026</t>
        </is>
      </c>
      <c r="D1197" s="8" t="inlineStr">
        <is>
          <t>STHR</t>
        </is>
      </c>
      <c r="E1197" s="8" t="inlineStr">
        <is>
          <t>B Crandell</t>
        </is>
      </c>
      <c r="F1197" s="8" t="n">
        <v>4</v>
      </c>
      <c r="G1197" s="8" t="n">
        <v>3</v>
      </c>
      <c r="H1197" s="8" t="n">
        <v>1</v>
      </c>
      <c r="I1197" s="8" t="n">
        <v>0</v>
      </c>
      <c r="J1197" s="8" t="n">
        <v>0</v>
      </c>
      <c r="K1197" s="8" t="n">
        <v>1</v>
      </c>
      <c r="L1197" s="8" t="n">
        <v>0</v>
      </c>
      <c r="M1197" s="8" t="n">
        <v>1</v>
      </c>
      <c r="N1197" s="8" t="n">
        <v>0</v>
      </c>
      <c r="O1197" s="8" t="n">
        <v>0</v>
      </c>
      <c r="P1197" s="8" t="n">
        <v>0</v>
      </c>
      <c r="Q1197" s="8" t="n">
        <v>0</v>
      </c>
      <c r="R1197" s="8" t="n">
        <v>0</v>
      </c>
      <c r="S1197" s="8" t="n">
        <v>3</v>
      </c>
      <c r="T1197" s="8" t="n">
        <v>0</v>
      </c>
      <c r="U1197" s="8" t="n">
        <v>0</v>
      </c>
      <c r="V1197" s="8" t="n">
        <v>0</v>
      </c>
      <c r="W1197" s="8" t="n">
        <v>0</v>
      </c>
      <c r="X1197" s="8" t="n">
        <v>1</v>
      </c>
      <c r="Y1197" s="8" t="inlineStr">
        <is>
          <t>GO play #11; FC play #26; BB play #47; 3B play #64 (3 RBI: J Dunkerly+G Godfrey+C Perkins score)</t>
        </is>
      </c>
    </row>
    <row r="1198" ht="15.75" customHeight="1" s="35">
      <c r="A1198" s="8" t="inlineStr">
        <is>
          <t>2026-03-26_ANNP_at_STHR</t>
        </is>
      </c>
      <c r="B1198" s="3" t="inlineStr">
        <is>
          <t>2026-03-26</t>
        </is>
      </c>
      <c r="C1198" s="8" t="inlineStr">
        <is>
          <t>Annapolis Varsity Panthers 2026</t>
        </is>
      </c>
      <c r="D1198" s="8" t="inlineStr">
        <is>
          <t>STHR</t>
        </is>
      </c>
      <c r="E1198" s="8" t="inlineStr">
        <is>
          <t>C Parks</t>
        </is>
      </c>
      <c r="F1198" s="8" t="n">
        <v>4</v>
      </c>
      <c r="G1198" s="8" t="n">
        <v>3</v>
      </c>
      <c r="H1198" s="8" t="n">
        <v>0</v>
      </c>
      <c r="I1198" s="8" t="n">
        <v>0</v>
      </c>
      <c r="J1198" s="8" t="n">
        <v>0</v>
      </c>
      <c r="K1198" s="8" t="n">
        <v>0</v>
      </c>
      <c r="L1198" s="8" t="n">
        <v>0</v>
      </c>
      <c r="M1198" s="8" t="n">
        <v>1</v>
      </c>
      <c r="N1198" s="8" t="n">
        <v>0</v>
      </c>
      <c r="O1198" s="8" t="n">
        <v>0</v>
      </c>
      <c r="P1198" s="8" t="n">
        <v>0</v>
      </c>
      <c r="Q1198" s="8" t="n">
        <v>0</v>
      </c>
      <c r="R1198" s="8" t="n">
        <v>0</v>
      </c>
      <c r="S1198" s="8" t="n">
        <v>1</v>
      </c>
      <c r="T1198" s="8" t="n">
        <v>0</v>
      </c>
      <c r="U1198" s="8" t="n">
        <v>0</v>
      </c>
      <c r="V1198" s="8" t="n">
        <v>0</v>
      </c>
      <c r="W1198" s="8" t="n">
        <v>0</v>
      </c>
      <c r="X1198" s="8" t="n">
        <v>0</v>
      </c>
      <c r="Y1198" s="8" t="inlineStr">
        <is>
          <t>BB play #12; GO plays #31 #48; FO play #65; RBI play #48 (GO C Perkins scores); also pitches Top 4-6 for STHR (entry inferred, no lineup-change note — Flag #1)</t>
        </is>
      </c>
    </row>
    <row r="1199" ht="15.75" customHeight="1" s="35">
      <c r="A1199" s="8" t="inlineStr">
        <is>
          <t>2026-03-26_ANNP_at_STHR</t>
        </is>
      </c>
      <c r="B1199" s="3" t="inlineStr">
        <is>
          <t>2026-03-26</t>
        </is>
      </c>
      <c r="C1199" s="8" t="inlineStr">
        <is>
          <t>Annapolis Varsity Panthers 2026</t>
        </is>
      </c>
      <c r="D1199" s="8" t="inlineStr">
        <is>
          <t>STHR</t>
        </is>
      </c>
      <c r="E1199" s="8" t="inlineStr">
        <is>
          <t>G Crandell</t>
        </is>
      </c>
      <c r="F1199" s="8" t="n">
        <v>4</v>
      </c>
      <c r="G1199" s="8" t="n">
        <v>4</v>
      </c>
      <c r="H1199" s="8" t="n">
        <v>1</v>
      </c>
      <c r="I1199" s="8" t="n">
        <v>0</v>
      </c>
      <c r="J1199" s="8" t="n">
        <v>0</v>
      </c>
      <c r="K1199" s="8" t="n">
        <v>1</v>
      </c>
      <c r="L1199" s="8" t="n">
        <v>0</v>
      </c>
      <c r="M1199" s="8" t="n">
        <v>0</v>
      </c>
      <c r="N1199" s="8" t="n">
        <v>0</v>
      </c>
      <c r="O1199" s="8" t="n">
        <v>1</v>
      </c>
      <c r="P1199" s="8" t="n">
        <v>0</v>
      </c>
      <c r="Q1199" s="8" t="n">
        <v>1</v>
      </c>
      <c r="R1199" s="8" t="n">
        <v>1</v>
      </c>
      <c r="S1199" s="8" t="n">
        <v>0</v>
      </c>
      <c r="T1199" s="8" t="n">
        <v>0</v>
      </c>
      <c r="U1199" s="8" t="n">
        <v>0</v>
      </c>
      <c r="V1199" s="8" t="n">
        <v>0</v>
      </c>
      <c r="W1199" s="8" t="n">
        <v>0</v>
      </c>
      <c r="X1199" s="8" t="n">
        <v>0</v>
      </c>
      <c r="Y1199" s="8" t="inlineStr">
        <is>
          <t>K_S play #13; LO play #32; PO play #49; 3B play #69; scores play #70 (error by W Goulet); also starting pitcher Top 1 for STHR (entry documented play #1)</t>
        </is>
      </c>
    </row>
    <row r="1200" ht="15.75" customHeight="1" s="35">
      <c r="A1200" s="8" t="inlineStr">
        <is>
          <t>2026-03-26_ANNP_at_STHR</t>
        </is>
      </c>
      <c r="B1200" s="3" t="inlineStr">
        <is>
          <t>2026-03-26</t>
        </is>
      </c>
      <c r="C1200" s="8" t="inlineStr">
        <is>
          <t>Annapolis Varsity Panthers 2026</t>
        </is>
      </c>
      <c r="D1200" s="8" t="inlineStr">
        <is>
          <t>STHR</t>
        </is>
      </c>
      <c r="E1200" s="8" t="inlineStr">
        <is>
          <t>N Youmans</t>
        </is>
      </c>
      <c r="F1200" s="8" t="n">
        <v>4</v>
      </c>
      <c r="G1200" s="8" t="n">
        <v>4</v>
      </c>
      <c r="H1200" s="8" t="n">
        <v>0</v>
      </c>
      <c r="I1200" s="8" t="n">
        <v>0</v>
      </c>
      <c r="J1200" s="8" t="n">
        <v>0</v>
      </c>
      <c r="K1200" s="8" t="n">
        <v>0</v>
      </c>
      <c r="L1200" s="8" t="n">
        <v>0</v>
      </c>
      <c r="M1200" s="8" t="n">
        <v>0</v>
      </c>
      <c r="N1200" s="8" t="n">
        <v>0</v>
      </c>
      <c r="O1200" s="8" t="n">
        <v>2</v>
      </c>
      <c r="P1200" s="8" t="n">
        <v>2</v>
      </c>
      <c r="Q1200" s="8" t="n">
        <v>0</v>
      </c>
      <c r="R1200" s="8" t="n">
        <v>1</v>
      </c>
      <c r="S1200" s="8" t="n">
        <v>0</v>
      </c>
      <c r="T1200" s="8" t="n">
        <v>0</v>
      </c>
      <c r="U1200" s="8" t="n">
        <v>0</v>
      </c>
      <c r="V1200" s="8" t="n">
        <v>0</v>
      </c>
      <c r="W1200" s="8" t="n">
        <v>0</v>
      </c>
      <c r="X1200" s="8" t="n">
        <v>0</v>
      </c>
      <c r="Y1200" s="8" t="inlineStr">
        <is>
          <t>K_L plays #14 #33; GO play #58; ROE play #70 (not a hit); scores play #71 (J Colton 2B); also plays SS (commits error play #52)</t>
        </is>
      </c>
    </row>
    <row r="1201" ht="15.75" customHeight="1" s="35">
      <c r="A1201" s="8" t="inlineStr">
        <is>
          <t>2026-03-26_ANNP_at_STHR</t>
        </is>
      </c>
      <c r="B1201" s="3" t="inlineStr">
        <is>
          <t>2026-03-26</t>
        </is>
      </c>
      <c r="C1201" s="8" t="inlineStr">
        <is>
          <t>Annapolis Varsity Panthers 2026</t>
        </is>
      </c>
      <c r="D1201" s="8" t="inlineStr">
        <is>
          <t>STHR</t>
        </is>
      </c>
      <c r="E1201" s="8" t="inlineStr">
        <is>
          <t>J Colton</t>
        </is>
      </c>
      <c r="F1201" s="8" t="n">
        <v>4</v>
      </c>
      <c r="G1201" s="8" t="n">
        <v>3</v>
      </c>
      <c r="H1201" s="8" t="n">
        <v>2</v>
      </c>
      <c r="I1201" s="8" t="n">
        <v>1</v>
      </c>
      <c r="J1201" s="8" t="n">
        <v>1</v>
      </c>
      <c r="K1201" s="8" t="n">
        <v>0</v>
      </c>
      <c r="L1201" s="8" t="n">
        <v>0</v>
      </c>
      <c r="M1201" s="8" t="n">
        <v>1</v>
      </c>
      <c r="N1201" s="8" t="n">
        <v>0</v>
      </c>
      <c r="O1201" s="8" t="n">
        <v>1</v>
      </c>
      <c r="P1201" s="8" t="n">
        <v>0</v>
      </c>
      <c r="Q1201" s="8" t="n">
        <v>1</v>
      </c>
      <c r="R1201" s="8" t="n">
        <v>3</v>
      </c>
      <c r="S1201" s="8" t="n">
        <v>1</v>
      </c>
      <c r="T1201" s="8" t="n">
        <v>0</v>
      </c>
      <c r="U1201" s="8" t="n">
        <v>0</v>
      </c>
      <c r="V1201" s="8" t="n">
        <v>0</v>
      </c>
      <c r="W1201" s="8" t="n">
        <v>0</v>
      </c>
      <c r="X1201" s="8" t="n">
        <v>0</v>
      </c>
      <c r="Y1201" s="8" t="inlineStr">
        <is>
          <t>1B play #21; K_S play #37; BB play #59; 2B play #71 (RBI N Youmans scores); scores plays #23 (W Thomas GO) #61 (W Thomas SAC FLY via WP advance) #74 (WP during G Godfrey LO)</t>
        </is>
      </c>
    </row>
    <row r="1202" ht="15.75" customHeight="1" s="35">
      <c r="A1202" s="8" t="inlineStr">
        <is>
          <t>2026-03-26_ANNP_at_STHR</t>
        </is>
      </c>
      <c r="B1202" s="3" t="inlineStr">
        <is>
          <t>2026-03-26</t>
        </is>
      </c>
      <c r="C1202" s="8" t="inlineStr">
        <is>
          <t>Annapolis Varsity Panthers 2026</t>
        </is>
      </c>
      <c r="D1202" s="8" t="inlineStr">
        <is>
          <t>STHR</t>
        </is>
      </c>
      <c r="E1202" s="8" t="inlineStr">
        <is>
          <t>B Bowers</t>
        </is>
      </c>
      <c r="F1202" s="8" t="n">
        <v>3</v>
      </c>
      <c r="G1202" s="8" t="n">
        <v>3</v>
      </c>
      <c r="H1202" s="8" t="n">
        <v>1</v>
      </c>
      <c r="I1202" s="8" t="n">
        <v>1</v>
      </c>
      <c r="J1202" s="8" t="n">
        <v>0</v>
      </c>
      <c r="K1202" s="8" t="n">
        <v>0</v>
      </c>
      <c r="L1202" s="8" t="n">
        <v>0</v>
      </c>
      <c r="M1202" s="8" t="n">
        <v>0</v>
      </c>
      <c r="N1202" s="8" t="n">
        <v>0</v>
      </c>
      <c r="O1202" s="8" t="n">
        <v>0</v>
      </c>
      <c r="P1202" s="8" t="n">
        <v>0</v>
      </c>
      <c r="Q1202" s="8" t="n">
        <v>0</v>
      </c>
      <c r="R1202" s="8" t="n">
        <v>0</v>
      </c>
      <c r="S1202" s="8" t="n">
        <v>0</v>
      </c>
      <c r="T1202" s="8" t="n">
        <v>0</v>
      </c>
      <c r="U1202" s="8" t="n">
        <v>0</v>
      </c>
      <c r="V1202" s="8" t="n">
        <v>0</v>
      </c>
      <c r="W1202" s="8" t="n">
        <v>0</v>
      </c>
      <c r="X1202" s="8" t="n">
        <v>0</v>
      </c>
      <c r="Y1202" s="8" t="inlineStr">
        <is>
          <t>GO play #22; PO play #38; 1B play #60; permanent pinch runner J Dunkerly in for B Bowers play #60</t>
        </is>
      </c>
    </row>
    <row r="1203" ht="15.75" customHeight="1" s="35">
      <c r="A1203" s="8" t="inlineStr">
        <is>
          <t>2026-03-26_ANNP_at_STHR</t>
        </is>
      </c>
      <c r="B1203" s="3" t="inlineStr">
        <is>
          <t>2026-03-26</t>
        </is>
      </c>
      <c r="C1203" s="8" t="inlineStr">
        <is>
          <t>Annapolis Varsity Panthers 2026</t>
        </is>
      </c>
      <c r="D1203" s="8" t="inlineStr">
        <is>
          <t>STHR</t>
        </is>
      </c>
      <c r="E1203" s="8" t="inlineStr">
        <is>
          <t>J Dunkerly</t>
        </is>
      </c>
      <c r="F1203" s="8" t="n">
        <v>0</v>
      </c>
      <c r="G1203" s="8" t="n">
        <v>0</v>
      </c>
      <c r="H1203" s="8" t="n">
        <v>0</v>
      </c>
      <c r="I1203" s="8" t="n">
        <v>0</v>
      </c>
      <c r="J1203" s="8" t="n">
        <v>0</v>
      </c>
      <c r="K1203" s="8" t="n">
        <v>0</v>
      </c>
      <c r="L1203" s="8" t="n">
        <v>0</v>
      </c>
      <c r="M1203" s="8" t="n">
        <v>0</v>
      </c>
      <c r="N1203" s="8" t="n">
        <v>0</v>
      </c>
      <c r="O1203" s="8" t="n">
        <v>0</v>
      </c>
      <c r="P1203" s="8" t="n">
        <v>0</v>
      </c>
      <c r="Q1203" s="8" t="n">
        <v>0</v>
      </c>
      <c r="R1203" s="8" t="n">
        <v>1</v>
      </c>
      <c r="S1203" s="8" t="n">
        <v>0</v>
      </c>
      <c r="T1203" s="8" t="n">
        <v>0</v>
      </c>
      <c r="U1203" s="8" t="n">
        <v>0</v>
      </c>
      <c r="V1203" s="8" t="n">
        <v>0</v>
      </c>
      <c r="W1203" s="8" t="n">
        <v>0</v>
      </c>
      <c r="X1203" s="8" t="n">
        <v>0</v>
      </c>
      <c r="Y1203" s="8" t="inlineStr">
        <is>
          <t>Permanent pinch runner for B Bowers play #60 (Bottom 6); scores on B Crandell 3B play #64</t>
        </is>
      </c>
    </row>
    <row r="1204" ht="15.75" customHeight="1" s="35">
      <c r="A1204" s="8" t="inlineStr">
        <is>
          <t>2026-03-26_ANNP_at_STHR</t>
        </is>
      </c>
      <c r="B1204" s="3" t="inlineStr">
        <is>
          <t>2026-03-26</t>
        </is>
      </c>
      <c r="C1204" s="8" t="inlineStr">
        <is>
          <t>Annapolis Varsity Panthers 2026</t>
        </is>
      </c>
      <c r="D1204" s="8" t="inlineStr">
        <is>
          <t>STHR</t>
        </is>
      </c>
      <c r="E1204" s="8" t="inlineStr">
        <is>
          <t>W Thomas</t>
        </is>
      </c>
      <c r="F1204" s="8" t="n">
        <v>4</v>
      </c>
      <c r="G1204" s="8" t="n">
        <v>3</v>
      </c>
      <c r="H1204" s="8" t="n">
        <v>0</v>
      </c>
      <c r="I1204" s="8" t="n">
        <v>0</v>
      </c>
      <c r="J1204" s="8" t="n">
        <v>0</v>
      </c>
      <c r="K1204" s="8" t="n">
        <v>0</v>
      </c>
      <c r="L1204" s="8" t="n">
        <v>0</v>
      </c>
      <c r="M1204" s="8" t="n">
        <v>0</v>
      </c>
      <c r="N1204" s="8" t="n">
        <v>0</v>
      </c>
      <c r="O1204" s="8" t="n">
        <v>0</v>
      </c>
      <c r="P1204" s="8" t="n">
        <v>0</v>
      </c>
      <c r="Q1204" s="8" t="n">
        <v>0</v>
      </c>
      <c r="R1204" s="8" t="n">
        <v>0</v>
      </c>
      <c r="S1204" s="8" t="n">
        <v>2</v>
      </c>
      <c r="T1204" s="8" t="n">
        <v>0</v>
      </c>
      <c r="U1204" s="8" t="n">
        <v>0</v>
      </c>
      <c r="V1204" s="8" t="n">
        <v>0</v>
      </c>
      <c r="W1204" s="8" t="n">
        <v>0</v>
      </c>
      <c r="X1204" s="8" t="n">
        <v>0</v>
      </c>
      <c r="Y1204" s="8" t="inlineStr">
        <is>
          <t>GO play #22; GO play #23 (RBI J Colton scores); GO play #39; SAC FLY play #61 (PA=1 AB=0 RBI=1 J Colton scores); PH for S Lopez play #61 (Bottom 6); also pitches Top 6-7 for STHR (entry play #56 documented; duplicate notation play #66 is re-confirmation — Flag #6)</t>
        </is>
      </c>
    </row>
    <row r="1205" ht="15.75" customHeight="1" s="35">
      <c r="A1205" s="8" t="inlineStr">
        <is>
          <t>2026-03-26_ANNP_at_STHR</t>
        </is>
      </c>
      <c r="B1205" s="3" t="inlineStr">
        <is>
          <t>2026-03-26</t>
        </is>
      </c>
      <c r="C1205" s="8" t="inlineStr">
        <is>
          <t>Annapolis Varsity Panthers 2026</t>
        </is>
      </c>
      <c r="D1205" s="8" t="inlineStr">
        <is>
          <t>STHR</t>
        </is>
      </c>
      <c r="E1205" s="8" t="inlineStr">
        <is>
          <t>G Godfrey</t>
        </is>
      </c>
      <c r="F1205" s="8" t="n">
        <v>4</v>
      </c>
      <c r="G1205" s="8" t="n">
        <v>2</v>
      </c>
      <c r="H1205" s="8" t="n">
        <v>0</v>
      </c>
      <c r="I1205" s="8" t="n">
        <v>0</v>
      </c>
      <c r="J1205" s="8" t="n">
        <v>0</v>
      </c>
      <c r="K1205" s="8" t="n">
        <v>0</v>
      </c>
      <c r="L1205" s="8" t="n">
        <v>0</v>
      </c>
      <c r="M1205" s="8" t="n">
        <v>2</v>
      </c>
      <c r="N1205" s="8" t="n">
        <v>0</v>
      </c>
      <c r="O1205" s="8" t="n">
        <v>0</v>
      </c>
      <c r="P1205" s="8" t="n">
        <v>0</v>
      </c>
      <c r="Q1205" s="8" t="n">
        <v>0</v>
      </c>
      <c r="R1205" s="8" t="n">
        <v>1</v>
      </c>
      <c r="S1205" s="8" t="n">
        <v>0</v>
      </c>
      <c r="T1205" s="8" t="n">
        <v>0</v>
      </c>
      <c r="U1205" s="8" t="n">
        <v>0</v>
      </c>
      <c r="V1205" s="8" t="n">
        <v>0</v>
      </c>
      <c r="W1205" s="8" t="n">
        <v>0</v>
      </c>
      <c r="X1205" s="8" t="n">
        <v>0</v>
      </c>
      <c r="Y1205" s="8" t="inlineStr">
        <is>
          <t>BB plays #24 #62; GO play #45; LO play #74; scores play #64 (B Crandell 3B); also commits error play #40 (3B position)</t>
        </is>
      </c>
    </row>
    <row r="1206" ht="15.75" customHeight="1" s="35">
      <c r="A1206" s="8" t="inlineStr">
        <is>
          <t>2026-03-26_ANNP_at_STHR</t>
        </is>
      </c>
      <c r="B1206" s="3" t="inlineStr">
        <is>
          <t>2026-03-26</t>
        </is>
      </c>
      <c r="C1206" s="8" t="inlineStr">
        <is>
          <t>Annapolis Varsity Panthers 2026</t>
        </is>
      </c>
      <c r="D1206" s="8" t="inlineStr">
        <is>
          <t>STHR</t>
        </is>
      </c>
      <c r="E1206" s="8" t="inlineStr">
        <is>
          <t>C Perkins</t>
        </is>
      </c>
      <c r="F1206" s="8" t="n">
        <v>3</v>
      </c>
      <c r="G1206" s="8" t="n">
        <v>1</v>
      </c>
      <c r="H1206" s="8" t="n">
        <v>1</v>
      </c>
      <c r="I1206" s="8" t="n">
        <v>1</v>
      </c>
      <c r="J1206" s="8" t="n">
        <v>0</v>
      </c>
      <c r="K1206" s="8" t="n">
        <v>0</v>
      </c>
      <c r="L1206" s="8" t="n">
        <v>0</v>
      </c>
      <c r="M1206" s="8" t="n">
        <v>2</v>
      </c>
      <c r="N1206" s="8" t="n">
        <v>0</v>
      </c>
      <c r="O1206" s="8" t="n">
        <v>0</v>
      </c>
      <c r="P1206" s="8" t="n">
        <v>0</v>
      </c>
      <c r="Q1206" s="8" t="n">
        <v>0</v>
      </c>
      <c r="R1206" s="8" t="n">
        <v>2</v>
      </c>
      <c r="S1206" s="8" t="n">
        <v>0</v>
      </c>
      <c r="T1206" s="8" t="n">
        <v>0</v>
      </c>
      <c r="U1206" s="8" t="n">
        <v>0</v>
      </c>
      <c r="V1206" s="8" t="n">
        <v>0</v>
      </c>
      <c r="W1206" s="8" t="n">
        <v>0</v>
      </c>
      <c r="X1206" s="8" t="n">
        <v>0</v>
      </c>
      <c r="Y1206" s="8" t="inlineStr">
        <is>
          <t>BB plays #25 #63; 1B play #46; scores plays #48 (C Parks GO from 3rd) #64 (B Crandell 3B)</t>
        </is>
      </c>
    </row>
    <row r="1207" ht="15.75" customHeight="1" s="35">
      <c r="A1207" s="8" t="inlineStr">
        <is>
          <t>2026-03-26_ANNP_at_STHR</t>
        </is>
      </c>
      <c r="B1207" s="3" t="inlineStr">
        <is>
          <t>2026-03-26</t>
        </is>
      </c>
      <c r="C1207" s="8" t="inlineStr">
        <is>
          <t>Annapolis Varsity Panthers 2026</t>
        </is>
      </c>
      <c r="D1207" s="8" t="inlineStr">
        <is>
          <t>STHR</t>
        </is>
      </c>
      <c r="E1207" s="8" t="inlineStr">
        <is>
          <t>I Benson</t>
        </is>
      </c>
      <c r="F1207" s="8" t="n">
        <v>1</v>
      </c>
      <c r="G1207" s="8" t="n">
        <v>1</v>
      </c>
      <c r="H1207" s="8" t="n">
        <v>0</v>
      </c>
      <c r="I1207" s="8" t="n">
        <v>0</v>
      </c>
      <c r="J1207" s="8" t="n">
        <v>0</v>
      </c>
      <c r="K1207" s="8" t="n">
        <v>0</v>
      </c>
      <c r="L1207" s="8" t="n">
        <v>0</v>
      </c>
      <c r="M1207" s="8" t="n">
        <v>0</v>
      </c>
      <c r="N1207" s="8" t="n">
        <v>0</v>
      </c>
      <c r="O1207" s="8" t="n">
        <v>1</v>
      </c>
      <c r="P1207" s="8" t="n">
        <v>0</v>
      </c>
      <c r="Q1207" s="8" t="n">
        <v>1</v>
      </c>
      <c r="R1207" s="8" t="n">
        <v>0</v>
      </c>
      <c r="S1207" s="8" t="n">
        <v>0</v>
      </c>
      <c r="T1207" s="8" t="n">
        <v>0</v>
      </c>
      <c r="U1207" s="8" t="n">
        <v>0</v>
      </c>
      <c r="V1207" s="8" t="n">
        <v>0</v>
      </c>
      <c r="W1207" s="8" t="n">
        <v>0</v>
      </c>
      <c r="X1207" s="8" t="n">
        <v>0</v>
      </c>
      <c r="Y1207" s="8" t="inlineStr">
        <is>
          <t>K_S play #72 (Bottom 7); appears in lineup Bottom 7</t>
        </is>
      </c>
    </row>
    <row r="1208" ht="15.75" customHeight="1" s="35">
      <c r="A1208" s="8" t="inlineStr">
        <is>
          <t>2026-03-28_PRKS_at_STHR</t>
        </is>
      </c>
      <c r="B1208" s="3" t="inlineStr">
        <is>
          <t>2026-03-28</t>
        </is>
      </c>
      <c r="C1208" s="8" t="inlineStr">
        <is>
          <t>Southern Varsity Bulldogs</t>
        </is>
      </c>
      <c r="D1208" s="8" t="inlineStr">
        <is>
          <t>PRKS</t>
        </is>
      </c>
      <c r="E1208" s="8" t="inlineStr">
        <is>
          <t>R Lewis</t>
        </is>
      </c>
      <c r="F1208" s="8" t="n">
        <v>5</v>
      </c>
      <c r="G1208" s="8" t="n">
        <v>4</v>
      </c>
      <c r="H1208" s="8" t="n">
        <v>3</v>
      </c>
      <c r="I1208" s="8" t="n">
        <v>2</v>
      </c>
      <c r="J1208" s="8" t="n">
        <v>1</v>
      </c>
      <c r="K1208" s="8" t="n">
        <v>0</v>
      </c>
      <c r="L1208" s="8" t="n">
        <v>0</v>
      </c>
      <c r="M1208" s="8" t="n">
        <v>1</v>
      </c>
      <c r="N1208" s="8" t="n">
        <v>0</v>
      </c>
      <c r="O1208" s="8" t="n">
        <v>1</v>
      </c>
      <c r="P1208" s="8" t="n">
        <v>1</v>
      </c>
      <c r="Q1208" s="8" t="n">
        <v>0</v>
      </c>
      <c r="R1208" s="8" t="n">
        <v>4</v>
      </c>
      <c r="S1208" s="8" t="n">
        <v>1</v>
      </c>
      <c r="T1208" s="8" t="n">
        <v>2</v>
      </c>
      <c r="U1208" s="8" t="n">
        <v>0</v>
      </c>
      <c r="V1208" s="8" t="n">
        <v>0</v>
      </c>
      <c r="W1208" s="8" t="n">
        <v>0</v>
      </c>
      <c r="X1208" s="8" t="n">
        <v>0</v>
      </c>
      <c r="Y1208" s="8" t="inlineStr">
        <is>
          <t>K_L play #1; 2B play #19; BB play #37; 1B plays #52 #65; SB plays #38 (steals 2nd) #66 (steals 2nd); RBI play #65 (1B F Harrison scores); scores plays #20 (G Jones ROE) #38 (G Jones 2B) #53 (G Jones 1B) #67 (T Gormley 2B)</t>
        </is>
      </c>
    </row>
    <row r="1209" ht="15.75" customHeight="1" s="35">
      <c r="A1209" s="8" t="inlineStr">
        <is>
          <t>2026-03-28_PRKS_at_STHR</t>
        </is>
      </c>
      <c r="B1209" s="3" t="inlineStr">
        <is>
          <t>2026-03-28</t>
        </is>
      </c>
      <c r="C1209" s="8" t="inlineStr">
        <is>
          <t>Southern Varsity Bulldogs</t>
        </is>
      </c>
      <c r="D1209" s="8" t="inlineStr">
        <is>
          <t>PRKS</t>
        </is>
      </c>
      <c r="E1209" s="8" t="inlineStr">
        <is>
          <t>G Jones</t>
        </is>
      </c>
      <c r="F1209" s="8" t="n">
        <v>5</v>
      </c>
      <c r="G1209" s="8" t="n">
        <v>4</v>
      </c>
      <c r="H1209" s="8" t="n">
        <v>3</v>
      </c>
      <c r="I1209" s="8" t="n">
        <v>2</v>
      </c>
      <c r="J1209" s="8" t="n">
        <v>1</v>
      </c>
      <c r="K1209" s="8" t="n">
        <v>0</v>
      </c>
      <c r="L1209" s="8" t="n">
        <v>0</v>
      </c>
      <c r="M1209" s="8" t="n">
        <v>0</v>
      </c>
      <c r="N1209" s="8" t="n">
        <v>1</v>
      </c>
      <c r="O1209" s="8" t="n">
        <v>0</v>
      </c>
      <c r="P1209" s="8" t="n">
        <v>0</v>
      </c>
      <c r="Q1209" s="8" t="n">
        <v>0</v>
      </c>
      <c r="R1209" s="8" t="n">
        <v>3</v>
      </c>
      <c r="S1209" s="8" t="n">
        <v>3</v>
      </c>
      <c r="T1209" s="8" t="n">
        <v>1</v>
      </c>
      <c r="U1209" s="8" t="n">
        <v>0</v>
      </c>
      <c r="V1209" s="8" t="n">
        <v>0</v>
      </c>
      <c r="W1209" s="8" t="n">
        <v>0</v>
      </c>
      <c r="X1209" s="8" t="n">
        <v>0</v>
      </c>
      <c r="Y1209" s="8" t="inlineStr">
        <is>
          <t>HBP play #2; ROE play #20 (not a hit); 2B play #38 (RBI R Lewis scores); 1B plays #53 (RBI P Green+R Lewis score = 2 RBI) #66; SB play #3 (steals 2nd); scores plays #41 (WP during A Headley SAC FLY) #57 (C Parks error) #67 (T Gormley 2B)</t>
        </is>
      </c>
    </row>
    <row r="1210" ht="15.75" customHeight="1" s="35">
      <c r="A1210" s="8" t="inlineStr">
        <is>
          <t>2026-03-28_PRKS_at_STHR</t>
        </is>
      </c>
      <c r="B1210" s="3" t="inlineStr">
        <is>
          <t>2026-03-28</t>
        </is>
      </c>
      <c r="C1210" s="8" t="inlineStr">
        <is>
          <t>Southern Varsity Bulldogs</t>
        </is>
      </c>
      <c r="D1210" s="8" t="inlineStr">
        <is>
          <t>PRKS</t>
        </is>
      </c>
      <c r="E1210" s="8" t="inlineStr">
        <is>
          <t>T Gormley</t>
        </is>
      </c>
      <c r="F1210" s="8" t="n">
        <v>5</v>
      </c>
      <c r="G1210" s="8" t="n">
        <v>5</v>
      </c>
      <c r="H1210" s="8" t="n">
        <v>2</v>
      </c>
      <c r="I1210" s="8" t="n">
        <v>1</v>
      </c>
      <c r="J1210" s="8" t="n">
        <v>1</v>
      </c>
      <c r="K1210" s="8" t="n">
        <v>0</v>
      </c>
      <c r="L1210" s="8" t="n">
        <v>0</v>
      </c>
      <c r="M1210" s="8" t="n">
        <v>0</v>
      </c>
      <c r="N1210" s="8" t="n">
        <v>0</v>
      </c>
      <c r="O1210" s="8" t="n">
        <v>1</v>
      </c>
      <c r="P1210" s="8" t="n">
        <v>0</v>
      </c>
      <c r="Q1210" s="8" t="n">
        <v>1</v>
      </c>
      <c r="R1210" s="8" t="n">
        <v>2</v>
      </c>
      <c r="S1210" s="8" t="n">
        <v>2</v>
      </c>
      <c r="T1210" s="8" t="n">
        <v>1</v>
      </c>
      <c r="U1210" s="8" t="n">
        <v>0</v>
      </c>
      <c r="V1210" s="8" t="n">
        <v>0</v>
      </c>
      <c r="W1210" s="8" t="n">
        <v>0</v>
      </c>
      <c r="X1210" s="8" t="n">
        <v>0</v>
      </c>
      <c r="Y1210" s="8" t="inlineStr">
        <is>
          <t>K_S play #3; ROE play #39 (not a hit); 1B play #54; 2B play #67 (2 RBI G Jones+R Lewis score); SB play #41 (steals 2nd); scores plays #41 (SAC FLY A Headley) #57 (C Parks error)</t>
        </is>
      </c>
    </row>
    <row r="1211" ht="15.75" customHeight="1" s="35">
      <c r="A1211" s="8" t="inlineStr">
        <is>
          <t>2026-03-28_PRKS_at_STHR</t>
        </is>
      </c>
      <c r="B1211" s="3" t="inlineStr">
        <is>
          <t>2026-03-28</t>
        </is>
      </c>
      <c r="C1211" s="8" t="inlineStr">
        <is>
          <t>Southern Varsity Bulldogs</t>
        </is>
      </c>
      <c r="D1211" s="8" t="inlineStr">
        <is>
          <t>PRKS</t>
        </is>
      </c>
      <c r="E1211" s="8" t="inlineStr">
        <is>
          <t>A Agoglia</t>
        </is>
      </c>
      <c r="F1211" s="8" t="n">
        <v>5</v>
      </c>
      <c r="G1211" s="8" t="n">
        <v>5</v>
      </c>
      <c r="H1211" s="8" t="n">
        <v>1</v>
      </c>
      <c r="I1211" s="8" t="n">
        <v>1</v>
      </c>
      <c r="J1211" s="8" t="n">
        <v>0</v>
      </c>
      <c r="K1211" s="8" t="n">
        <v>0</v>
      </c>
      <c r="L1211" s="8" t="n">
        <v>0</v>
      </c>
      <c r="M1211" s="8" t="n">
        <v>0</v>
      </c>
      <c r="N1211" s="8" t="n">
        <v>0</v>
      </c>
      <c r="O1211" s="8" t="n">
        <v>2</v>
      </c>
      <c r="P1211" s="8" t="n">
        <v>1</v>
      </c>
      <c r="Q1211" s="8" t="n">
        <v>1</v>
      </c>
      <c r="R1211" s="8" t="n">
        <v>0</v>
      </c>
      <c r="S1211" s="8" t="n">
        <v>0</v>
      </c>
      <c r="T1211" s="8" t="n">
        <v>0</v>
      </c>
      <c r="U1211" s="8" t="n">
        <v>0</v>
      </c>
      <c r="V1211" s="8" t="n">
        <v>0</v>
      </c>
      <c r="W1211" s="8" t="n">
        <v>0</v>
      </c>
      <c r="X1211" s="8" t="n">
        <v>0</v>
      </c>
      <c r="Y1211" s="8" t="inlineStr">
        <is>
          <t>K_L play #4; K_S play #22; PO play #40; 1B play #55; FO play #68</t>
        </is>
      </c>
    </row>
    <row r="1212" ht="15.75" customHeight="1" s="35">
      <c r="A1212" s="8" t="inlineStr">
        <is>
          <t>2026-03-28_PRKS_at_STHR</t>
        </is>
      </c>
      <c r="B1212" s="3" t="inlineStr">
        <is>
          <t>2026-03-28</t>
        </is>
      </c>
      <c r="C1212" s="8" t="inlineStr">
        <is>
          <t>Southern Varsity Bulldogs</t>
        </is>
      </c>
      <c r="D1212" s="8" t="inlineStr">
        <is>
          <t>PRKS</t>
        </is>
      </c>
      <c r="E1212" s="8" t="inlineStr">
        <is>
          <t>A Headley</t>
        </is>
      </c>
      <c r="F1212" s="8" t="n">
        <v>5</v>
      </c>
      <c r="G1212" s="8" t="n">
        <v>3</v>
      </c>
      <c r="H1212" s="8" t="n">
        <v>0</v>
      </c>
      <c r="I1212" s="8" t="n">
        <v>0</v>
      </c>
      <c r="J1212" s="8" t="n">
        <v>0</v>
      </c>
      <c r="K1212" s="8" t="n">
        <v>0</v>
      </c>
      <c r="L1212" s="8" t="n">
        <v>0</v>
      </c>
      <c r="M1212" s="8" t="n">
        <v>1</v>
      </c>
      <c r="N1212" s="8" t="n">
        <v>0</v>
      </c>
      <c r="O1212" s="8" t="n">
        <v>0</v>
      </c>
      <c r="P1212" s="8" t="n">
        <v>0</v>
      </c>
      <c r="Q1212" s="8" t="n">
        <v>0</v>
      </c>
      <c r="R1212" s="8" t="n">
        <v>1</v>
      </c>
      <c r="S1212" s="8" t="n">
        <v>1</v>
      </c>
      <c r="T1212" s="8" t="n">
        <v>1</v>
      </c>
      <c r="U1212" s="8" t="n">
        <v>0</v>
      </c>
      <c r="V1212" s="8" t="n">
        <v>0</v>
      </c>
      <c r="W1212" s="8" t="n">
        <v>0</v>
      </c>
      <c r="X1212" s="8" t="n">
        <v>0</v>
      </c>
      <c r="Y1212" s="8" t="inlineStr">
        <is>
          <t>FO play #9; BB play #28; SAC FLY play #41 (PA=1 AB=0 SAC=0 RBI=1 T Gormley scores); IF play #56; FO play #69; SB play #29 (steals 2nd); scores play #29 (error by catcher C Perkins embedded)</t>
        </is>
      </c>
    </row>
    <row r="1213" ht="15.75" customHeight="1" s="35">
      <c r="A1213" s="8" t="inlineStr">
        <is>
          <t>2026-03-28_PRKS_at_STHR</t>
        </is>
      </c>
      <c r="B1213" s="3" t="inlineStr">
        <is>
          <t>2026-03-28</t>
        </is>
      </c>
      <c r="C1213" s="8" t="inlineStr">
        <is>
          <t>Southern Varsity Bulldogs</t>
        </is>
      </c>
      <c r="D1213" s="8" t="inlineStr">
        <is>
          <t>PRKS</t>
        </is>
      </c>
      <c r="E1213" s="8" t="inlineStr">
        <is>
          <t>A Kinhart</t>
        </is>
      </c>
      <c r="F1213" s="8" t="n">
        <v>4</v>
      </c>
      <c r="G1213" s="8" t="n">
        <v>3</v>
      </c>
      <c r="H1213" s="8" t="n">
        <v>1</v>
      </c>
      <c r="I1213" s="8" t="n">
        <v>1</v>
      </c>
      <c r="J1213" s="8" t="n">
        <v>0</v>
      </c>
      <c r="K1213" s="8" t="n">
        <v>0</v>
      </c>
      <c r="L1213" s="8" t="n">
        <v>0</v>
      </c>
      <c r="M1213" s="8" t="n">
        <v>0</v>
      </c>
      <c r="N1213" s="8" t="n">
        <v>1</v>
      </c>
      <c r="O1213" s="8" t="n">
        <v>1</v>
      </c>
      <c r="P1213" s="8" t="n">
        <v>0</v>
      </c>
      <c r="Q1213" s="8" t="n">
        <v>1</v>
      </c>
      <c r="R1213" s="8" t="n">
        <v>0</v>
      </c>
      <c r="S1213" s="8" t="n">
        <v>0</v>
      </c>
      <c r="T1213" s="8" t="n">
        <v>0</v>
      </c>
      <c r="U1213" s="8" t="n">
        <v>0</v>
      </c>
      <c r="V1213" s="8" t="n">
        <v>0</v>
      </c>
      <c r="W1213" s="8" t="n">
        <v>0</v>
      </c>
      <c r="X1213" s="8" t="n">
        <v>0</v>
      </c>
      <c r="Y1213" s="8" t="inlineStr">
        <is>
          <t>HBP play #10; K_S play #29; 1B play #42; LO play #57; replaced by B Smith in Top 7; also pitches Bottom 4-6 for PRKS (entry inferred — Flag #2)</t>
        </is>
      </c>
    </row>
    <row r="1214" ht="15.75" customHeight="1" s="35">
      <c r="A1214" s="8" t="inlineStr">
        <is>
          <t>2026-03-28_PRKS_at_STHR</t>
        </is>
      </c>
      <c r="B1214" s="3" t="inlineStr">
        <is>
          <t>2026-03-28</t>
        </is>
      </c>
      <c r="C1214" s="8" t="inlineStr">
        <is>
          <t>Southern Varsity Bulldogs</t>
        </is>
      </c>
      <c r="D1214" s="8" t="inlineStr">
        <is>
          <t>PRKS</t>
        </is>
      </c>
      <c r="E1214" s="8" t="inlineStr">
        <is>
          <t>D Smith</t>
        </is>
      </c>
      <c r="F1214" s="8" t="n">
        <v>4</v>
      </c>
      <c r="G1214" s="8" t="n">
        <v>3</v>
      </c>
      <c r="H1214" s="8" t="n">
        <v>0</v>
      </c>
      <c r="I1214" s="8" t="n">
        <v>0</v>
      </c>
      <c r="J1214" s="8" t="n">
        <v>0</v>
      </c>
      <c r="K1214" s="8" t="n">
        <v>0</v>
      </c>
      <c r="L1214" s="8" t="n">
        <v>0</v>
      </c>
      <c r="M1214" s="8" t="n">
        <v>0</v>
      </c>
      <c r="N1214" s="8" t="n">
        <v>1</v>
      </c>
      <c r="O1214" s="8" t="n">
        <v>0</v>
      </c>
      <c r="P1214" s="8" t="n">
        <v>0</v>
      </c>
      <c r="Q1214" s="8" t="n">
        <v>0</v>
      </c>
      <c r="R1214" s="8" t="n">
        <v>0</v>
      </c>
      <c r="S1214" s="8" t="n">
        <v>0</v>
      </c>
      <c r="T1214" s="8" t="n">
        <v>0</v>
      </c>
      <c r="U1214" s="8" t="n">
        <v>0</v>
      </c>
      <c r="V1214" s="8" t="n">
        <v>0</v>
      </c>
      <c r="W1214" s="8" t="n">
        <v>0</v>
      </c>
      <c r="X1214" s="8" t="n">
        <v>0</v>
      </c>
      <c r="Y1214" s="8" t="inlineStr">
        <is>
          <t>FO play #11; PO play #30; HBP play #43; FO play #58</t>
        </is>
      </c>
    </row>
    <row r="1215" ht="15.75" customHeight="1" s="35">
      <c r="A1215" s="8" t="inlineStr">
        <is>
          <t>2026-03-28_PRKS_at_STHR</t>
        </is>
      </c>
      <c r="B1215" s="3" t="inlineStr">
        <is>
          <t>2026-03-28</t>
        </is>
      </c>
      <c r="C1215" s="8" t="inlineStr">
        <is>
          <t>Southern Varsity Bulldogs</t>
        </is>
      </c>
      <c r="D1215" s="8" t="inlineStr">
        <is>
          <t>PRKS</t>
        </is>
      </c>
      <c r="E1215" s="8" t="inlineStr">
        <is>
          <t>F Harrison</t>
        </is>
      </c>
      <c r="F1215" s="8" t="n">
        <v>4</v>
      </c>
      <c r="G1215" s="8" t="n">
        <v>3</v>
      </c>
      <c r="H1215" s="8" t="n">
        <v>0</v>
      </c>
      <c r="I1215" s="8" t="n">
        <v>0</v>
      </c>
      <c r="J1215" s="8" t="n">
        <v>0</v>
      </c>
      <c r="K1215" s="8" t="n">
        <v>0</v>
      </c>
      <c r="L1215" s="8" t="n">
        <v>0</v>
      </c>
      <c r="M1215" s="8" t="n">
        <v>1</v>
      </c>
      <c r="N1215" s="8" t="n">
        <v>0</v>
      </c>
      <c r="O1215" s="8" t="n">
        <v>1</v>
      </c>
      <c r="P1215" s="8" t="n">
        <v>0</v>
      </c>
      <c r="Q1215" s="8" t="n">
        <v>1</v>
      </c>
      <c r="R1215" s="8" t="n">
        <v>1</v>
      </c>
      <c r="S1215" s="8" t="n">
        <v>0</v>
      </c>
      <c r="T1215" s="8" t="n">
        <v>1</v>
      </c>
      <c r="U1215" s="8" t="n">
        <v>0</v>
      </c>
      <c r="V1215" s="8" t="n">
        <v>0</v>
      </c>
      <c r="W1215" s="8" t="n">
        <v>0</v>
      </c>
      <c r="X1215" s="8" t="n">
        <v>0</v>
      </c>
      <c r="Y1215" s="8" t="inlineStr">
        <is>
          <t>GO play #12; GO play #31; K_S play #44; BB play #63; SB play #64 (steals 2nd, then WP advances to 3rd play #65); scores play #65 (R Lewis 1B)</t>
        </is>
      </c>
    </row>
    <row r="1216" ht="15.75" customHeight="1" s="35">
      <c r="A1216" s="8" t="inlineStr">
        <is>
          <t>2026-03-28_PRKS_at_STHR</t>
        </is>
      </c>
      <c r="B1216" s="3" t="inlineStr">
        <is>
          <t>2026-03-28</t>
        </is>
      </c>
      <c r="C1216" s="8" t="inlineStr">
        <is>
          <t>Southern Varsity Bulldogs</t>
        </is>
      </c>
      <c r="D1216" s="8" t="inlineStr">
        <is>
          <t>PRKS</t>
        </is>
      </c>
      <c r="E1216" s="8" t="inlineStr">
        <is>
          <t>P Green</t>
        </is>
      </c>
      <c r="F1216" s="8" t="n">
        <v>4</v>
      </c>
      <c r="G1216" s="8" t="n">
        <v>3</v>
      </c>
      <c r="H1216" s="8" t="n">
        <v>2</v>
      </c>
      <c r="I1216" s="8" t="n">
        <v>1</v>
      </c>
      <c r="J1216" s="8" t="n">
        <v>0</v>
      </c>
      <c r="K1216" s="8" t="n">
        <v>1</v>
      </c>
      <c r="L1216" s="8" t="n">
        <v>0</v>
      </c>
      <c r="M1216" s="8" t="n">
        <v>1</v>
      </c>
      <c r="N1216" s="8" t="n">
        <v>0</v>
      </c>
      <c r="O1216" s="8" t="n">
        <v>1</v>
      </c>
      <c r="P1216" s="8" t="n">
        <v>1</v>
      </c>
      <c r="Q1216" s="8" t="n">
        <v>0</v>
      </c>
      <c r="R1216" s="8" t="n">
        <v>3</v>
      </c>
      <c r="S1216" s="8" t="n">
        <v>0</v>
      </c>
      <c r="T1216" s="8" t="n">
        <v>0</v>
      </c>
      <c r="U1216" s="8" t="n">
        <v>0</v>
      </c>
      <c r="V1216" s="8" t="n">
        <v>0</v>
      </c>
      <c r="W1216" s="8" t="n">
        <v>0</v>
      </c>
      <c r="X1216" s="8" t="n">
        <v>0</v>
      </c>
      <c r="Y1216" s="8" t="inlineStr">
        <is>
          <t>K_L play #18; 3B play #36; 1B play #51; BB play #64; scores plays #38 (G Jones 2B via C Parks error) #53 (G Jones 1B) #66 (steal of home embedded); also starting pitcher Bottom 1-3 for PRKS (entry inferred — Flag #2)</t>
        </is>
      </c>
    </row>
    <row r="1217" ht="15.75" customHeight="1" s="35">
      <c r="A1217" s="8" t="inlineStr">
        <is>
          <t>2026-03-28_PRKS_at_STHR</t>
        </is>
      </c>
      <c r="B1217" s="3" t="inlineStr">
        <is>
          <t>2026-03-28</t>
        </is>
      </c>
      <c r="C1217" s="8" t="inlineStr">
        <is>
          <t>Southern Varsity Bulldogs</t>
        </is>
      </c>
      <c r="D1217" s="8" t="inlineStr">
        <is>
          <t>PRKS</t>
        </is>
      </c>
      <c r="E1217" s="8" t="inlineStr">
        <is>
          <t>B Smith</t>
        </is>
      </c>
      <c r="F1217" s="8" t="n">
        <v>1</v>
      </c>
      <c r="G1217" s="8" t="n">
        <v>1</v>
      </c>
      <c r="H1217" s="8" t="n">
        <v>0</v>
      </c>
      <c r="I1217" s="8" t="n">
        <v>0</v>
      </c>
      <c r="J1217" s="8" t="n">
        <v>0</v>
      </c>
      <c r="K1217" s="8" t="n">
        <v>0</v>
      </c>
      <c r="L1217" s="8" t="n">
        <v>0</v>
      </c>
      <c r="M1217" s="8" t="n">
        <v>0</v>
      </c>
      <c r="N1217" s="8" t="n">
        <v>0</v>
      </c>
      <c r="O1217" s="8" t="n">
        <v>1</v>
      </c>
      <c r="P1217" s="8" t="n">
        <v>0</v>
      </c>
      <c r="Q1217" s="8" t="n">
        <v>1</v>
      </c>
      <c r="R1217" s="8" t="n">
        <v>0</v>
      </c>
      <c r="S1217" s="8" t="n">
        <v>0</v>
      </c>
      <c r="T1217" s="8" t="n">
        <v>0</v>
      </c>
      <c r="U1217" s="8" t="n">
        <v>0</v>
      </c>
      <c r="V1217" s="8" t="n">
        <v>0</v>
      </c>
      <c r="W1217" s="8" t="n">
        <v>0</v>
      </c>
      <c r="X1217" s="8" t="n">
        <v>0</v>
      </c>
      <c r="Y1217" s="8" t="inlineStr">
        <is>
          <t>K_S play #70; enters as substitute in Top 7 (replaces A Kinhart in lineup; no lineup-change note)</t>
        </is>
      </c>
    </row>
    <row r="1218" ht="15.75" customHeight="1" s="35">
      <c r="A1218" s="8" t="inlineStr">
        <is>
          <t>2026-03-28_PRKS_at_STHR</t>
        </is>
      </c>
      <c r="B1218" s="3" t="inlineStr">
        <is>
          <t>2026-03-28</t>
        </is>
      </c>
      <c r="C1218" s="8" t="inlineStr">
        <is>
          <t>Parkside Varsity Rams</t>
        </is>
      </c>
      <c r="D1218" s="8" t="inlineStr">
        <is>
          <t>STHR</t>
        </is>
      </c>
      <c r="E1218" s="8" t="inlineStr">
        <is>
          <t>B Crandell</t>
        </is>
      </c>
      <c r="F1218" s="8" t="n">
        <v>4</v>
      </c>
      <c r="G1218" s="8" t="n">
        <v>4</v>
      </c>
      <c r="H1218" s="8" t="n">
        <v>3</v>
      </c>
      <c r="I1218" s="8" t="n">
        <v>2</v>
      </c>
      <c r="J1218" s="8" t="n">
        <v>0</v>
      </c>
      <c r="K1218" s="8" t="n">
        <v>1</v>
      </c>
      <c r="L1218" s="8" t="n">
        <v>0</v>
      </c>
      <c r="M1218" s="8" t="n">
        <v>0</v>
      </c>
      <c r="N1218" s="8" t="n">
        <v>0</v>
      </c>
      <c r="O1218" s="8" t="n">
        <v>1</v>
      </c>
      <c r="P1218" s="8" t="n">
        <v>0</v>
      </c>
      <c r="Q1218" s="8" t="n">
        <v>1</v>
      </c>
      <c r="R1218" s="8" t="n">
        <v>2</v>
      </c>
      <c r="S1218" s="8" t="n">
        <v>0</v>
      </c>
      <c r="T1218" s="8" t="n">
        <v>1</v>
      </c>
      <c r="U1218" s="8" t="n">
        <v>0</v>
      </c>
      <c r="V1218" s="8" t="n">
        <v>0</v>
      </c>
      <c r="W1218" s="8" t="n">
        <v>0</v>
      </c>
      <c r="X1218" s="8" t="n">
        <v>0</v>
      </c>
      <c r="Y1218" s="8" t="inlineStr">
        <is>
          <t>K_S play #5; 3B play #23; 1B plays #45 #62; SB play #47 (steals 3rd during G Crandell AB); scores plays #24 (reaches on A Agoglia error — B Crandell scores from 3rd) #47 (G Crandell 1B)</t>
        </is>
      </c>
    </row>
    <row r="1219" ht="15.75" customHeight="1" s="35">
      <c r="A1219" s="8" t="inlineStr">
        <is>
          <t>2026-03-28_PRKS_at_STHR</t>
        </is>
      </c>
      <c r="B1219" s="3" t="inlineStr">
        <is>
          <t>2026-03-28</t>
        </is>
      </c>
      <c r="C1219" s="8" t="inlineStr">
        <is>
          <t>Parkside Varsity Rams</t>
        </is>
      </c>
      <c r="D1219" s="8" t="inlineStr">
        <is>
          <t>STHR</t>
        </is>
      </c>
      <c r="E1219" s="8" t="inlineStr">
        <is>
          <t>C Parks</t>
        </is>
      </c>
      <c r="F1219" s="8" t="n">
        <v>4</v>
      </c>
      <c r="G1219" s="8" t="n">
        <v>4</v>
      </c>
      <c r="H1219" s="8" t="n">
        <v>0</v>
      </c>
      <c r="I1219" s="8" t="n">
        <v>0</v>
      </c>
      <c r="J1219" s="8" t="n">
        <v>0</v>
      </c>
      <c r="K1219" s="8" t="n">
        <v>0</v>
      </c>
      <c r="L1219" s="8" t="n">
        <v>0</v>
      </c>
      <c r="M1219" s="8" t="n">
        <v>0</v>
      </c>
      <c r="N1219" s="8" t="n">
        <v>0</v>
      </c>
      <c r="O1219" s="8" t="n">
        <v>0</v>
      </c>
      <c r="P1219" s="8" t="n">
        <v>0</v>
      </c>
      <c r="Q1219" s="8" t="n">
        <v>0</v>
      </c>
      <c r="R1219" s="8" t="n">
        <v>0</v>
      </c>
      <c r="S1219" s="8" t="n">
        <v>0</v>
      </c>
      <c r="T1219" s="8" t="n">
        <v>0</v>
      </c>
      <c r="U1219" s="8" t="n">
        <v>1</v>
      </c>
      <c r="V1219" s="8" t="n">
        <v>0</v>
      </c>
      <c r="W1219" s="8" t="n">
        <v>0</v>
      </c>
      <c r="X1219" s="8" t="n">
        <v>0</v>
      </c>
      <c r="Y1219" s="8" t="inlineStr">
        <is>
          <t>GO play #6; ROE play #24 (A Agoglia error — not a hit); GO play #46; ROE play #71 (T Gormley error — not a hit); CS play #25 (caught stealing 2nd, catcher R Lewis to 2B G Jones, during G Crandell AB)</t>
        </is>
      </c>
    </row>
    <row r="1220" ht="15.75" customHeight="1" s="35">
      <c r="A1220" s="8" t="inlineStr">
        <is>
          <t>2026-03-28_PRKS_at_STHR</t>
        </is>
      </c>
      <c r="B1220" s="3" t="inlineStr">
        <is>
          <t>2026-03-28</t>
        </is>
      </c>
      <c r="C1220" s="8" t="inlineStr">
        <is>
          <t>Parkside Varsity Rams</t>
        </is>
      </c>
      <c r="D1220" s="8" t="inlineStr">
        <is>
          <t>STHR</t>
        </is>
      </c>
      <c r="E1220" s="8" t="inlineStr">
        <is>
          <t>G Crandell</t>
        </is>
      </c>
      <c r="F1220" s="8" t="n">
        <v>4</v>
      </c>
      <c r="G1220" s="8" t="n">
        <v>2</v>
      </c>
      <c r="H1220" s="8" t="n">
        <v>1</v>
      </c>
      <c r="I1220" s="8" t="n">
        <v>1</v>
      </c>
      <c r="J1220" s="8" t="n">
        <v>0</v>
      </c>
      <c r="K1220" s="8" t="n">
        <v>0</v>
      </c>
      <c r="L1220" s="8" t="n">
        <v>0</v>
      </c>
      <c r="M1220" s="8" t="n">
        <v>1</v>
      </c>
      <c r="N1220" s="8" t="n">
        <v>1</v>
      </c>
      <c r="O1220" s="8" t="n">
        <v>1</v>
      </c>
      <c r="P1220" s="8" t="n">
        <v>0</v>
      </c>
      <c r="Q1220" s="8" t="n">
        <v>1</v>
      </c>
      <c r="R1220" s="8" t="n">
        <v>0</v>
      </c>
      <c r="S1220" s="8" t="n">
        <v>1</v>
      </c>
      <c r="T1220" s="8" t="n">
        <v>1</v>
      </c>
      <c r="U1220" s="8" t="n">
        <v>0</v>
      </c>
      <c r="V1220" s="8" t="n">
        <v>0</v>
      </c>
      <c r="W1220" s="8" t="n">
        <v>0</v>
      </c>
      <c r="X1220" s="8" t="n">
        <v>0</v>
      </c>
      <c r="Y1220" s="8" t="inlineStr">
        <is>
          <t>BB play #7; HBP play #25; 1B play #47 (RBI B Crandell scores); K_S play #72; SB play #27 (steals 2nd); also pitches Top 5-6 for STHR (not as pitcher — G Godfrey pitches)</t>
        </is>
      </c>
    </row>
    <row r="1221" ht="15.75" customHeight="1" s="35">
      <c r="A1221" s="8" t="inlineStr">
        <is>
          <t>2026-03-28_PRKS_at_STHR</t>
        </is>
      </c>
      <c r="B1221" s="3" t="inlineStr">
        <is>
          <t>2026-03-28</t>
        </is>
      </c>
      <c r="C1221" s="8" t="inlineStr">
        <is>
          <t>Parkside Varsity Rams</t>
        </is>
      </c>
      <c r="D1221" s="8" t="inlineStr">
        <is>
          <t>STHR</t>
        </is>
      </c>
      <c r="E1221" s="8" t="inlineStr">
        <is>
          <t>J Colton</t>
        </is>
      </c>
      <c r="F1221" s="8" t="n">
        <v>4</v>
      </c>
      <c r="G1221" s="8" t="n">
        <v>4</v>
      </c>
      <c r="H1221" s="8" t="n">
        <v>1</v>
      </c>
      <c r="I1221" s="8" t="n">
        <v>1</v>
      </c>
      <c r="J1221" s="8" t="n">
        <v>0</v>
      </c>
      <c r="K1221" s="8" t="n">
        <v>0</v>
      </c>
      <c r="L1221" s="8" t="n">
        <v>0</v>
      </c>
      <c r="M1221" s="8" t="n">
        <v>0</v>
      </c>
      <c r="N1221" s="8" t="n">
        <v>0</v>
      </c>
      <c r="O1221" s="8" t="n">
        <v>2</v>
      </c>
      <c r="P1221" s="8" t="n">
        <v>0</v>
      </c>
      <c r="Q1221" s="8" t="n">
        <v>2</v>
      </c>
      <c r="R1221" s="8" t="n">
        <v>0</v>
      </c>
      <c r="S1221" s="8" t="n">
        <v>0</v>
      </c>
      <c r="T1221" s="8" t="n">
        <v>0</v>
      </c>
      <c r="U1221" s="8" t="n">
        <v>0</v>
      </c>
      <c r="V1221" s="8" t="n">
        <v>0</v>
      </c>
      <c r="W1221" s="8" t="n">
        <v>0</v>
      </c>
      <c r="X1221" s="8" t="n">
        <v>0</v>
      </c>
      <c r="Y1221" s="8" t="inlineStr">
        <is>
          <t>FO play #8; K_S play #26; 1B play #48; K_S play #73</t>
        </is>
      </c>
    </row>
    <row r="1222" ht="15.75" customHeight="1" s="35">
      <c r="A1222" s="8" t="inlineStr">
        <is>
          <t>2026-03-28_PRKS_at_STHR</t>
        </is>
      </c>
      <c r="B1222" s="3" t="inlineStr">
        <is>
          <t>2026-03-28</t>
        </is>
      </c>
      <c r="C1222" s="8" t="inlineStr">
        <is>
          <t>Parkside Varsity Rams</t>
        </is>
      </c>
      <c r="D1222" s="8" t="inlineStr">
        <is>
          <t>STHR</t>
        </is>
      </c>
      <c r="E1222" s="8" t="inlineStr">
        <is>
          <t>N Youmans</t>
        </is>
      </c>
      <c r="F1222" s="8" t="n">
        <v>4</v>
      </c>
      <c r="G1222" s="8" t="n">
        <v>4</v>
      </c>
      <c r="H1222" s="8" t="n">
        <v>0</v>
      </c>
      <c r="I1222" s="8" t="n">
        <v>0</v>
      </c>
      <c r="J1222" s="8" t="n">
        <v>0</v>
      </c>
      <c r="K1222" s="8" t="n">
        <v>0</v>
      </c>
      <c r="L1222" s="8" t="n">
        <v>0</v>
      </c>
      <c r="M1222" s="8" t="n">
        <v>0</v>
      </c>
      <c r="N1222" s="8" t="n">
        <v>0</v>
      </c>
      <c r="O1222" s="8" t="n">
        <v>4</v>
      </c>
      <c r="P1222" s="8" t="n">
        <v>3</v>
      </c>
      <c r="Q1222" s="8" t="n">
        <v>1</v>
      </c>
      <c r="R1222" s="8" t="n">
        <v>0</v>
      </c>
      <c r="S1222" s="8" t="n">
        <v>0</v>
      </c>
      <c r="T1222" s="8" t="n">
        <v>0</v>
      </c>
      <c r="U1222" s="8" t="n">
        <v>0</v>
      </c>
      <c r="V1222" s="8" t="n">
        <v>0</v>
      </c>
      <c r="W1222" s="8" t="n">
        <v>0</v>
      </c>
      <c r="X1222" s="8" t="n">
        <v>0</v>
      </c>
      <c r="Y1222" s="8" t="inlineStr">
        <is>
          <t>K_L play #13; K_S play #27; K_L play #49; K_L play #74; also starting pitcher Top 1-4 for STHR (entry documented play #1)</t>
        </is>
      </c>
    </row>
    <row r="1223" ht="15.75" customHeight="1" s="35">
      <c r="A1223" s="8" t="inlineStr">
        <is>
          <t>2026-03-28_PRKS_at_STHR</t>
        </is>
      </c>
      <c r="B1223" s="3" t="inlineStr">
        <is>
          <t>2026-03-28</t>
        </is>
      </c>
      <c r="C1223" s="8" t="inlineStr">
        <is>
          <t>Parkside Varsity Rams</t>
        </is>
      </c>
      <c r="D1223" s="8" t="inlineStr">
        <is>
          <t>STHR</t>
        </is>
      </c>
      <c r="E1223" s="8" t="inlineStr">
        <is>
          <t>W Thomas</t>
        </is>
      </c>
      <c r="F1223" s="8" t="n">
        <v>3</v>
      </c>
      <c r="G1223" s="8" t="n">
        <v>3</v>
      </c>
      <c r="H1223" s="8" t="n">
        <v>1</v>
      </c>
      <c r="I1223" s="8" t="n">
        <v>1</v>
      </c>
      <c r="J1223" s="8" t="n">
        <v>0</v>
      </c>
      <c r="K1223" s="8" t="n">
        <v>0</v>
      </c>
      <c r="L1223" s="8" t="n">
        <v>0</v>
      </c>
      <c r="M1223" s="8" t="n">
        <v>0</v>
      </c>
      <c r="N1223" s="8" t="n">
        <v>0</v>
      </c>
      <c r="O1223" s="8" t="n">
        <v>1</v>
      </c>
      <c r="P1223" s="8" t="n">
        <v>0</v>
      </c>
      <c r="Q1223" s="8" t="n">
        <v>1</v>
      </c>
      <c r="R1223" s="8" t="n">
        <v>0</v>
      </c>
      <c r="S1223" s="8" t="n">
        <v>0</v>
      </c>
      <c r="T1223" s="8" t="n">
        <v>0</v>
      </c>
      <c r="U1223" s="8" t="n">
        <v>0</v>
      </c>
      <c r="V1223" s="8" t="n">
        <v>0</v>
      </c>
      <c r="W1223" s="8" t="n">
        <v>0</v>
      </c>
      <c r="X1223" s="8" t="n">
        <v>0</v>
      </c>
      <c r="Y1223" s="8" t="inlineStr">
        <is>
          <t>1B play #14; LO play #32; K play #50 (strikeout on foul tip, K_S); also pitches Top 7 play #70 for STHR (entry inferred, no lineup-change note — Flag #2)</t>
        </is>
      </c>
    </row>
    <row r="1224" ht="15.75" customHeight="1" s="35">
      <c r="A1224" s="8" t="inlineStr">
        <is>
          <t>2026-03-28_PRKS_at_STHR</t>
        </is>
      </c>
      <c r="B1224" s="3" t="inlineStr">
        <is>
          <t>2026-03-28</t>
        </is>
      </c>
      <c r="C1224" s="8" t="inlineStr">
        <is>
          <t>Parkside Varsity Rams</t>
        </is>
      </c>
      <c r="D1224" s="8" t="inlineStr">
        <is>
          <t>STHR</t>
        </is>
      </c>
      <c r="E1224" s="8" t="inlineStr">
        <is>
          <t>B Michaud</t>
        </is>
      </c>
      <c r="F1224" s="8" t="n">
        <v>3</v>
      </c>
      <c r="G1224" s="8" t="n">
        <v>2</v>
      </c>
      <c r="H1224" s="8" t="n">
        <v>1</v>
      </c>
      <c r="I1224" s="8" t="n">
        <v>1</v>
      </c>
      <c r="J1224" s="8" t="n">
        <v>0</v>
      </c>
      <c r="K1224" s="8" t="n">
        <v>0</v>
      </c>
      <c r="L1224" s="8" t="n">
        <v>0</v>
      </c>
      <c r="M1224" s="8" t="n">
        <v>1</v>
      </c>
      <c r="N1224" s="8" t="n">
        <v>0</v>
      </c>
      <c r="O1224" s="8" t="n">
        <v>1</v>
      </c>
      <c r="P1224" s="8" t="n">
        <v>1</v>
      </c>
      <c r="Q1224" s="8" t="n">
        <v>0</v>
      </c>
      <c r="R1224" s="8" t="n">
        <v>0</v>
      </c>
      <c r="S1224" s="8" t="n">
        <v>0</v>
      </c>
      <c r="T1224" s="8" t="n">
        <v>0</v>
      </c>
      <c r="U1224" s="8" t="n">
        <v>0</v>
      </c>
      <c r="V1224" s="8" t="n">
        <v>0</v>
      </c>
      <c r="W1224" s="8" t="n">
        <v>0</v>
      </c>
      <c r="X1224" s="8" t="n">
        <v>0</v>
      </c>
      <c r="Y1224" s="8" t="inlineStr">
        <is>
          <t>K_L play #15; 1B play #33; BB play #59; thrown out at home on B Crandell 1B play #62 (complex relay — Flag #7)</t>
        </is>
      </c>
    </row>
    <row r="1225" ht="15.75" customHeight="1" s="35">
      <c r="A1225" s="8" t="inlineStr">
        <is>
          <t>2026-03-28_PRKS_at_STHR</t>
        </is>
      </c>
      <c r="B1225" s="3" t="inlineStr">
        <is>
          <t>2026-03-28</t>
        </is>
      </c>
      <c r="C1225" s="8" t="inlineStr">
        <is>
          <t>Parkside Varsity Rams</t>
        </is>
      </c>
      <c r="D1225" s="8" t="inlineStr">
        <is>
          <t>STHR</t>
        </is>
      </c>
      <c r="E1225" s="8" t="inlineStr">
        <is>
          <t>G Godfrey</t>
        </is>
      </c>
      <c r="F1225" s="8" t="n">
        <v>3</v>
      </c>
      <c r="G1225" s="8" t="n">
        <v>3</v>
      </c>
      <c r="H1225" s="8" t="n">
        <v>1</v>
      </c>
      <c r="I1225" s="8" t="n">
        <v>1</v>
      </c>
      <c r="J1225" s="8" t="n">
        <v>0</v>
      </c>
      <c r="K1225" s="8" t="n">
        <v>0</v>
      </c>
      <c r="L1225" s="8" t="n">
        <v>0</v>
      </c>
      <c r="M1225" s="8" t="n">
        <v>0</v>
      </c>
      <c r="N1225" s="8" t="n">
        <v>0</v>
      </c>
      <c r="O1225" s="8" t="n">
        <v>0</v>
      </c>
      <c r="P1225" s="8" t="n">
        <v>0</v>
      </c>
      <c r="Q1225" s="8" t="n">
        <v>0</v>
      </c>
      <c r="R1225" s="8" t="n">
        <v>0</v>
      </c>
      <c r="S1225" s="8" t="n">
        <v>0</v>
      </c>
      <c r="T1225" s="8" t="n">
        <v>0</v>
      </c>
      <c r="U1225" s="8" t="n">
        <v>0</v>
      </c>
      <c r="V1225" s="8" t="n">
        <v>0</v>
      </c>
      <c r="W1225" s="8" t="n">
        <v>0</v>
      </c>
      <c r="X1225" s="8" t="n">
        <v>0</v>
      </c>
      <c r="Y1225" s="8" t="inlineStr">
        <is>
          <t>1B play #16; FO play #34; FO play #60; also pitches Top 5 (plays #43-44) and Top 6 (plays #51-58) for STHR (entry inferred — Flag #2)</t>
        </is>
      </c>
    </row>
    <row r="1226" ht="15.75" customHeight="1" s="35">
      <c r="A1226" s="8" t="inlineStr">
        <is>
          <t>2026-03-28_PRKS_at_STHR</t>
        </is>
      </c>
      <c r="B1226" s="3" t="inlineStr">
        <is>
          <t>2026-03-28</t>
        </is>
      </c>
      <c r="C1226" s="8" t="inlineStr">
        <is>
          <t>Parkside Varsity Rams</t>
        </is>
      </c>
      <c r="D1226" s="8" t="inlineStr">
        <is>
          <t>STHR</t>
        </is>
      </c>
      <c r="E1226" s="8" t="inlineStr">
        <is>
          <t>C Perkins</t>
        </is>
      </c>
      <c r="F1226" s="8" t="n">
        <v>3</v>
      </c>
      <c r="G1226" s="8" t="n">
        <v>3</v>
      </c>
      <c r="H1226" s="8" t="n">
        <v>0</v>
      </c>
      <c r="I1226" s="8" t="n">
        <v>0</v>
      </c>
      <c r="J1226" s="8" t="n">
        <v>0</v>
      </c>
      <c r="K1226" s="8" t="n">
        <v>0</v>
      </c>
      <c r="L1226" s="8" t="n">
        <v>0</v>
      </c>
      <c r="M1226" s="8" t="n">
        <v>0</v>
      </c>
      <c r="N1226" s="8" t="n">
        <v>0</v>
      </c>
      <c r="O1226" s="8" t="n">
        <v>0</v>
      </c>
      <c r="P1226" s="8" t="n">
        <v>0</v>
      </c>
      <c r="Q1226" s="8" t="n">
        <v>0</v>
      </c>
      <c r="R1226" s="8" t="n">
        <v>0</v>
      </c>
      <c r="S1226" s="8" t="n">
        <v>0</v>
      </c>
      <c r="T1226" s="8" t="n">
        <v>0</v>
      </c>
      <c r="U1226" s="8" t="n">
        <v>0</v>
      </c>
      <c r="V1226" s="8" t="n">
        <v>0</v>
      </c>
      <c r="W1226" s="8" t="n">
        <v>0</v>
      </c>
      <c r="X1226" s="8" t="n">
        <v>0</v>
      </c>
      <c r="Y1226" s="8" t="inlineStr">
        <is>
          <t>GO play #17; GO play #35; LO play #61</t>
        </is>
      </c>
    </row>
    <row r="1227">
      <c r="A1227" s="0" t="inlineStr">
        <is>
          <t>2026-04-08_GLNL_at_GLFR</t>
        </is>
      </c>
      <c r="B1227" s="0" t="inlineStr">
        <is>
          <t>2026-04-08</t>
        </is>
      </c>
      <c r="C1227" s="0" t="inlineStr">
        <is>
          <t>GLFR</t>
        </is>
      </c>
      <c r="D1227" s="0" t="inlineStr">
        <is>
          <t>GLNL</t>
        </is>
      </c>
      <c r="E1227" s="0" t="inlineStr">
        <is>
          <t>T Blayman</t>
        </is>
      </c>
      <c r="F1227" s="0" t="n">
        <v>4</v>
      </c>
      <c r="G1227" s="0" t="n">
        <v>4</v>
      </c>
      <c r="H1227" s="0" t="n">
        <v>2</v>
      </c>
      <c r="I1227" s="0" t="n">
        <v>2</v>
      </c>
      <c r="J1227" s="0" t="n">
        <v>0</v>
      </c>
      <c r="K1227" s="0" t="n">
        <v>0</v>
      </c>
      <c r="L1227" s="0" t="n">
        <v>0</v>
      </c>
      <c r="M1227" s="0" t="n">
        <v>0</v>
      </c>
      <c r="N1227" s="0" t="n">
        <v>0</v>
      </c>
      <c r="O1227" s="0" t="n">
        <v>0</v>
      </c>
      <c r="P1227" s="0" t="n">
        <v>0</v>
      </c>
      <c r="Q1227" s="0" t="n">
        <v>0</v>
      </c>
      <c r="R1227" s="0" t="n">
        <v>2</v>
      </c>
      <c r="S1227" s="0" t="n">
        <v>1</v>
      </c>
      <c r="T1227" s="0" t="n">
        <v>2</v>
      </c>
      <c r="U1227" s="0" t="n">
        <v>0</v>
      </c>
      <c r="V1227" s="0" t="n">
        <v>0</v>
      </c>
      <c r="W1227" s="0" t="n">
        <v>0</v>
      </c>
      <c r="X1227" s="0" t="n">
        <v>0</v>
      </c>
      <c r="Y1227" s="0" t="inlineStr">
        <is>
          <t>Scored on steal of home play #36</t>
        </is>
      </c>
    </row>
    <row r="1228">
      <c r="A1228" s="0" t="inlineStr">
        <is>
          <t>2026-04-08_GLNL_at_GLFR</t>
        </is>
      </c>
      <c r="B1228" s="0" t="inlineStr">
        <is>
          <t>2026-04-08</t>
        </is>
      </c>
      <c r="C1228" s="0" t="inlineStr">
        <is>
          <t>GLFR</t>
        </is>
      </c>
      <c r="D1228" s="0" t="inlineStr">
        <is>
          <t>GLNL</t>
        </is>
      </c>
      <c r="E1228" s="0" t="inlineStr">
        <is>
          <t>A Baker</t>
        </is>
      </c>
      <c r="F1228" s="0" t="n">
        <v>5</v>
      </c>
      <c r="G1228" s="0" t="n">
        <v>2</v>
      </c>
      <c r="H1228" s="0" t="n">
        <v>0</v>
      </c>
      <c r="I1228" s="0" t="n">
        <v>0</v>
      </c>
      <c r="J1228" s="0" t="n">
        <v>0</v>
      </c>
      <c r="K1228" s="0" t="n">
        <v>0</v>
      </c>
      <c r="L1228" s="0" t="n">
        <v>0</v>
      </c>
      <c r="M1228" s="0" t="n">
        <v>3</v>
      </c>
      <c r="N1228" s="0" t="n">
        <v>0</v>
      </c>
      <c r="O1228" s="0" t="n">
        <v>0</v>
      </c>
      <c r="P1228" s="0" t="n">
        <v>0</v>
      </c>
      <c r="Q1228" s="0" t="n">
        <v>0</v>
      </c>
      <c r="R1228" s="0" t="n">
        <v>3</v>
      </c>
      <c r="S1228" s="0" t="n">
        <v>0</v>
      </c>
      <c r="T1228" s="0" t="n">
        <v>1</v>
      </c>
      <c r="U1228" s="0" t="n">
        <v>0</v>
      </c>
      <c r="V1228" s="0" t="n">
        <v>0</v>
      </c>
      <c r="W1228" s="0" t="n">
        <v>0</v>
      </c>
      <c r="X1228" s="0" t="n">
        <v>0</v>
      </c>
      <c r="Y1228" s="0" t="inlineStr"/>
    </row>
    <row r="1229">
      <c r="A1229" s="0" t="inlineStr">
        <is>
          <t>2026-04-08_GLNL_at_GLFR</t>
        </is>
      </c>
      <c r="B1229" s="0" t="inlineStr">
        <is>
          <t>2026-04-08</t>
        </is>
      </c>
      <c r="C1229" s="0" t="inlineStr">
        <is>
          <t>GLFR</t>
        </is>
      </c>
      <c r="D1229" s="0" t="inlineStr">
        <is>
          <t>GLNL</t>
        </is>
      </c>
      <c r="E1229" s="0" t="inlineStr">
        <is>
          <t>C Lease</t>
        </is>
      </c>
      <c r="F1229" s="0" t="n">
        <v>3</v>
      </c>
      <c r="G1229" s="0" t="n">
        <v>2</v>
      </c>
      <c r="H1229" s="0" t="n">
        <v>1</v>
      </c>
      <c r="I1229" s="0" t="n">
        <v>0</v>
      </c>
      <c r="J1229" s="0" t="n">
        <v>1</v>
      </c>
      <c r="K1229" s="0" t="n">
        <v>0</v>
      </c>
      <c r="L1229" s="0" t="n">
        <v>0</v>
      </c>
      <c r="M1229" s="0" t="n">
        <v>2</v>
      </c>
      <c r="N1229" s="0" t="n">
        <v>0</v>
      </c>
      <c r="O1229" s="0" t="n">
        <v>0</v>
      </c>
      <c r="P1229" s="0" t="n">
        <v>0</v>
      </c>
      <c r="Q1229" s="0" t="n">
        <v>0</v>
      </c>
      <c r="R1229" s="0" t="n">
        <v>1</v>
      </c>
      <c r="S1229" s="0" t="n">
        <v>1</v>
      </c>
      <c r="T1229" s="0" t="n">
        <v>0</v>
      </c>
      <c r="U1229" s="0" t="n">
        <v>0</v>
      </c>
      <c r="V1229" s="0" t="n">
        <v>0</v>
      </c>
      <c r="W1229" s="0" t="n">
        <v>0</v>
      </c>
      <c r="X1229" s="0" t="n">
        <v>0</v>
      </c>
      <c r="Y1229" s="0" t="inlineStr"/>
    </row>
    <row r="1230">
      <c r="A1230" s="0" t="inlineStr">
        <is>
          <t>2026-04-08_GLNL_at_GLFR</t>
        </is>
      </c>
      <c r="B1230" s="0" t="inlineStr">
        <is>
          <t>2026-04-08</t>
        </is>
      </c>
      <c r="C1230" s="0" t="inlineStr">
        <is>
          <t>GLFR</t>
        </is>
      </c>
      <c r="D1230" s="0" t="inlineStr">
        <is>
          <t>GLNL</t>
        </is>
      </c>
      <c r="E1230" s="0" t="inlineStr">
        <is>
          <t>B Conlon</t>
        </is>
      </c>
      <c r="F1230" s="0" t="n">
        <v>3</v>
      </c>
      <c r="G1230" s="0" t="n">
        <v>1</v>
      </c>
      <c r="H1230" s="0" t="n">
        <v>0</v>
      </c>
      <c r="I1230" s="0" t="n">
        <v>0</v>
      </c>
      <c r="J1230" s="0" t="n">
        <v>0</v>
      </c>
      <c r="K1230" s="0" t="n">
        <v>0</v>
      </c>
      <c r="L1230" s="0" t="n">
        <v>0</v>
      </c>
      <c r="M1230" s="0" t="n">
        <v>2</v>
      </c>
      <c r="N1230" s="0" t="n">
        <v>0</v>
      </c>
      <c r="O1230" s="0" t="n">
        <v>0</v>
      </c>
      <c r="P1230" s="0" t="n">
        <v>0</v>
      </c>
      <c r="Q1230" s="0" t="n">
        <v>0</v>
      </c>
      <c r="R1230" s="0" t="n">
        <v>1</v>
      </c>
      <c r="S1230" s="0" t="n">
        <v>0</v>
      </c>
      <c r="T1230" s="0" t="n">
        <v>0</v>
      </c>
      <c r="U1230" s="0" t="n">
        <v>0</v>
      </c>
      <c r="V1230" s="0" t="n">
        <v>0</v>
      </c>
      <c r="W1230" s="0" t="n">
        <v>0</v>
      </c>
      <c r="X1230" s="0" t="n">
        <v>0</v>
      </c>
      <c r="Y1230" s="0" t="inlineStr"/>
    </row>
    <row r="1231">
      <c r="A1231" s="0" t="inlineStr">
        <is>
          <t>2026-04-08_GLNL_at_GLFR</t>
        </is>
      </c>
      <c r="B1231" s="0" t="inlineStr">
        <is>
          <t>2026-04-08</t>
        </is>
      </c>
      <c r="C1231" s="0" t="inlineStr">
        <is>
          <t>GLFR</t>
        </is>
      </c>
      <c r="D1231" s="0" t="inlineStr">
        <is>
          <t>GLNL</t>
        </is>
      </c>
      <c r="E1231" s="0" t="inlineStr">
        <is>
          <t>C Brown</t>
        </is>
      </c>
      <c r="F1231" s="0" t="n">
        <v>4</v>
      </c>
      <c r="G1231" s="0" t="n">
        <v>0</v>
      </c>
      <c r="H1231" s="0" t="n">
        <v>0</v>
      </c>
      <c r="I1231" s="0" t="n">
        <v>0</v>
      </c>
      <c r="J1231" s="0" t="n">
        <v>0</v>
      </c>
      <c r="K1231" s="0" t="n">
        <v>0</v>
      </c>
      <c r="L1231" s="0" t="n">
        <v>0</v>
      </c>
      <c r="M1231" s="0" t="n">
        <v>4</v>
      </c>
      <c r="N1231" s="0" t="n">
        <v>0</v>
      </c>
      <c r="O1231" s="0" t="n">
        <v>0</v>
      </c>
      <c r="P1231" s="0" t="n">
        <v>0</v>
      </c>
      <c r="Q1231" s="0" t="n">
        <v>0</v>
      </c>
      <c r="R1231" s="0" t="n">
        <v>3</v>
      </c>
      <c r="S1231" s="0" t="n">
        <v>1</v>
      </c>
      <c r="T1231" s="0" t="n">
        <v>0</v>
      </c>
      <c r="U1231" s="0" t="n">
        <v>0</v>
      </c>
      <c r="V1231" s="0" t="n">
        <v>0</v>
      </c>
      <c r="W1231" s="0" t="n">
        <v>0</v>
      </c>
      <c r="X1231" s="0" t="n">
        <v>0</v>
      </c>
      <c r="Y1231" s="0" t="inlineStr"/>
    </row>
    <row r="1232">
      <c r="A1232" s="0" t="inlineStr">
        <is>
          <t>2026-04-08_GLNL_at_GLFR</t>
        </is>
      </c>
      <c r="B1232" s="0" t="inlineStr">
        <is>
          <t>2026-04-08</t>
        </is>
      </c>
      <c r="C1232" s="0" t="inlineStr">
        <is>
          <t>GLFR</t>
        </is>
      </c>
      <c r="D1232" s="0" t="inlineStr">
        <is>
          <t>GLNL</t>
        </is>
      </c>
      <c r="E1232" s="0" t="inlineStr">
        <is>
          <t>A Nazelrod</t>
        </is>
      </c>
      <c r="F1232" s="0" t="n">
        <v>4</v>
      </c>
      <c r="G1232" s="0" t="n">
        <v>4</v>
      </c>
      <c r="H1232" s="0" t="n">
        <v>3</v>
      </c>
      <c r="I1232" s="0" t="n">
        <v>1</v>
      </c>
      <c r="J1232" s="0" t="n">
        <v>2</v>
      </c>
      <c r="K1232" s="0" t="n">
        <v>0</v>
      </c>
      <c r="L1232" s="0" t="n">
        <v>0</v>
      </c>
      <c r="M1232" s="0" t="n">
        <v>1</v>
      </c>
      <c r="N1232" s="0" t="n">
        <v>0</v>
      </c>
      <c r="O1232" s="0" t="n">
        <v>0</v>
      </c>
      <c r="P1232" s="0" t="n">
        <v>0</v>
      </c>
      <c r="Q1232" s="0" t="n">
        <v>0</v>
      </c>
      <c r="R1232" s="0" t="n">
        <v>3</v>
      </c>
      <c r="S1232" s="0" t="n">
        <v>4</v>
      </c>
      <c r="T1232" s="0" t="n">
        <v>0</v>
      </c>
      <c r="U1232" s="0" t="n">
        <v>0</v>
      </c>
      <c r="V1232" s="0" t="n">
        <v>0</v>
      </c>
      <c r="W1232" s="0" t="n">
        <v>0</v>
      </c>
      <c r="X1232" s="0" t="n">
        <v>0</v>
      </c>
      <c r="Y1232" s="0" t="inlineStr"/>
    </row>
    <row r="1233">
      <c r="A1233" s="0" t="inlineStr">
        <is>
          <t>2026-04-08_GLNL_at_GLFR</t>
        </is>
      </c>
      <c r="B1233" s="0" t="inlineStr">
        <is>
          <t>2026-04-08</t>
        </is>
      </c>
      <c r="C1233" s="0" t="inlineStr">
        <is>
          <t>GLFR</t>
        </is>
      </c>
      <c r="D1233" s="0" t="inlineStr">
        <is>
          <t>GLNL</t>
        </is>
      </c>
      <c r="E1233" s="0" t="inlineStr">
        <is>
          <t>G Knauss</t>
        </is>
      </c>
      <c r="F1233" s="0" t="n">
        <v>4</v>
      </c>
      <c r="G1233" s="0" t="n">
        <v>2</v>
      </c>
      <c r="H1233" s="0" t="n">
        <v>1</v>
      </c>
      <c r="I1233" s="0" t="n">
        <v>0</v>
      </c>
      <c r="J1233" s="0" t="n">
        <v>1</v>
      </c>
      <c r="K1233" s="0" t="n">
        <v>0</v>
      </c>
      <c r="L1233" s="0" t="n">
        <v>0</v>
      </c>
      <c r="M1233" s="0" t="n">
        <v>0</v>
      </c>
      <c r="N1233" s="0" t="n">
        <v>1</v>
      </c>
      <c r="O1233" s="0" t="n">
        <v>1</v>
      </c>
      <c r="P1233" s="0" t="n">
        <v>0</v>
      </c>
      <c r="Q1233" s="0" t="n">
        <v>1</v>
      </c>
      <c r="R1233" s="0" t="n">
        <v>1</v>
      </c>
      <c r="S1233" s="0" t="n">
        <v>2</v>
      </c>
      <c r="T1233" s="0" t="n">
        <v>0</v>
      </c>
      <c r="U1233" s="0" t="n">
        <v>0</v>
      </c>
      <c r="V1233" s="0" t="n">
        <v>0</v>
      </c>
      <c r="W1233" s="0" t="n">
        <v>0</v>
      </c>
      <c r="X1233" s="0" t="n">
        <v>0</v>
      </c>
      <c r="Y1233" s="0" t="inlineStr"/>
    </row>
    <row r="1234">
      <c r="A1234" s="0" t="inlineStr">
        <is>
          <t>2026-04-08_GLNL_at_GLFR</t>
        </is>
      </c>
      <c r="B1234" s="0" t="inlineStr">
        <is>
          <t>2026-04-08</t>
        </is>
      </c>
      <c r="C1234" s="0" t="inlineStr">
        <is>
          <t>GLFR</t>
        </is>
      </c>
      <c r="D1234" s="0" t="inlineStr">
        <is>
          <t>GLNL</t>
        </is>
      </c>
      <c r="E1234" s="0" t="inlineStr">
        <is>
          <t>G Melhuish</t>
        </is>
      </c>
      <c r="F1234" s="0" t="n">
        <v>4</v>
      </c>
      <c r="G1234" s="0" t="n">
        <v>2</v>
      </c>
      <c r="H1234" s="0" t="n">
        <v>1</v>
      </c>
      <c r="I1234" s="0" t="n">
        <v>1</v>
      </c>
      <c r="J1234" s="0" t="n">
        <v>0</v>
      </c>
      <c r="K1234" s="0" t="n">
        <v>0</v>
      </c>
      <c r="L1234" s="0" t="n">
        <v>0</v>
      </c>
      <c r="M1234" s="0" t="n">
        <v>2</v>
      </c>
      <c r="N1234" s="0" t="n">
        <v>0</v>
      </c>
      <c r="O1234" s="0" t="n">
        <v>0</v>
      </c>
      <c r="P1234" s="0" t="n">
        <v>0</v>
      </c>
      <c r="Q1234" s="0" t="n">
        <v>0</v>
      </c>
      <c r="R1234" s="0" t="n">
        <v>2</v>
      </c>
      <c r="S1234" s="0" t="n">
        <v>1</v>
      </c>
      <c r="T1234" s="0" t="n">
        <v>0</v>
      </c>
      <c r="U1234" s="0" t="n">
        <v>0</v>
      </c>
      <c r="V1234" s="0" t="n">
        <v>0</v>
      </c>
      <c r="W1234" s="0" t="n">
        <v>0</v>
      </c>
      <c r="X1234" s="0" t="n">
        <v>1</v>
      </c>
      <c r="Y1234" s="0" t="inlineStr">
        <is>
          <t>Courtesy runner J Jones scored runs for this player</t>
        </is>
      </c>
    </row>
    <row r="1235">
      <c r="A1235" s="0" t="inlineStr">
        <is>
          <t>2026-04-08_GLNL_at_GLFR</t>
        </is>
      </c>
      <c r="B1235" s="0" t="inlineStr">
        <is>
          <t>2026-04-08</t>
        </is>
      </c>
      <c r="C1235" s="0" t="inlineStr">
        <is>
          <t>GLFR</t>
        </is>
      </c>
      <c r="D1235" s="0" t="inlineStr">
        <is>
          <t>GLNL</t>
        </is>
      </c>
      <c r="E1235" s="0" t="inlineStr">
        <is>
          <t>M Melhuish</t>
        </is>
      </c>
      <c r="F1235" s="0" t="n">
        <v>4</v>
      </c>
      <c r="G1235" s="0" t="n">
        <v>3</v>
      </c>
      <c r="H1235" s="0" t="n">
        <v>2</v>
      </c>
      <c r="I1235" s="0" t="n">
        <v>0</v>
      </c>
      <c r="J1235" s="0" t="n">
        <v>0</v>
      </c>
      <c r="K1235" s="0" t="n">
        <v>1</v>
      </c>
      <c r="L1235" s="0" t="n">
        <v>1</v>
      </c>
      <c r="M1235" s="0" t="n">
        <v>1</v>
      </c>
      <c r="N1235" s="0" t="n">
        <v>0</v>
      </c>
      <c r="O1235" s="0" t="n">
        <v>0</v>
      </c>
      <c r="P1235" s="0" t="n">
        <v>0</v>
      </c>
      <c r="Q1235" s="0" t="n">
        <v>0</v>
      </c>
      <c r="R1235" s="0" t="n">
        <v>2</v>
      </c>
      <c r="S1235" s="0" t="n">
        <v>4</v>
      </c>
      <c r="T1235" s="0" t="n">
        <v>0</v>
      </c>
      <c r="U1235" s="0" t="n">
        <v>0</v>
      </c>
      <c r="V1235" s="0" t="n">
        <v>0</v>
      </c>
      <c r="W1235" s="0" t="n">
        <v>1</v>
      </c>
      <c r="X1235" s="0" t="n">
        <v>0</v>
      </c>
      <c r="Y1235" s="0" t="inlineStr"/>
    </row>
    <row r="1236">
      <c r="A1236" s="0" t="inlineStr">
        <is>
          <t>2026-04-08_GLNL_at_GLFR</t>
        </is>
      </c>
      <c r="B1236" s="0" t="inlineStr">
        <is>
          <t>2026-04-08</t>
        </is>
      </c>
      <c r="C1236" s="0" t="inlineStr">
        <is>
          <t>GLFR</t>
        </is>
      </c>
      <c r="D1236" s="0" t="inlineStr">
        <is>
          <t>GLNL</t>
        </is>
      </c>
      <c r="E1236" s="0" t="inlineStr">
        <is>
          <t>J Jones</t>
        </is>
      </c>
      <c r="F1236" s="0" t="n">
        <v>2</v>
      </c>
      <c r="G1236" s="0" t="n">
        <v>2</v>
      </c>
      <c r="H1236" s="0" t="n">
        <v>2</v>
      </c>
      <c r="I1236" s="0" t="n">
        <v>1</v>
      </c>
      <c r="J1236" s="0" t="n">
        <v>0</v>
      </c>
      <c r="K1236" s="0" t="n">
        <v>1</v>
      </c>
      <c r="L1236" s="0" t="n">
        <v>0</v>
      </c>
      <c r="M1236" s="0" t="n">
        <v>0</v>
      </c>
      <c r="N1236" s="0" t="n">
        <v>0</v>
      </c>
      <c r="O1236" s="0" t="n">
        <v>0</v>
      </c>
      <c r="P1236" s="0" t="n">
        <v>0</v>
      </c>
      <c r="Q1236" s="0" t="n">
        <v>0</v>
      </c>
      <c r="R1236" s="0" t="n">
        <v>0</v>
      </c>
      <c r="S1236" s="0" t="n">
        <v>5</v>
      </c>
      <c r="T1236" s="0" t="n">
        <v>0</v>
      </c>
      <c r="U1236" s="0" t="n">
        <v>0</v>
      </c>
      <c r="V1236" s="0" t="n">
        <v>0</v>
      </c>
      <c r="W1236" s="0" t="n">
        <v>0</v>
      </c>
      <c r="X1236" s="0" t="n">
        <v>0</v>
      </c>
      <c r="Y1236" s="0" t="inlineStr">
        <is>
          <t>Courtesy runner for G Melhuish, runs credited to original player</t>
        </is>
      </c>
    </row>
    <row r="1237">
      <c r="A1237" s="0" t="inlineStr">
        <is>
          <t>2026-04-08_GLNL_at_GLFR</t>
        </is>
      </c>
      <c r="B1237" s="0" t="inlineStr">
        <is>
          <t>2026-04-08</t>
        </is>
      </c>
      <c r="C1237" s="0" t="inlineStr">
        <is>
          <t>GLFR</t>
        </is>
      </c>
      <c r="D1237" s="0" t="inlineStr">
        <is>
          <t>GLNL</t>
        </is>
      </c>
      <c r="E1237" s="0" t="inlineStr">
        <is>
          <t>B Burckhardt</t>
        </is>
      </c>
      <c r="F1237" s="0" t="n">
        <v>2</v>
      </c>
      <c r="G1237" s="0" t="n">
        <v>1</v>
      </c>
      <c r="H1237" s="0" t="n">
        <v>0</v>
      </c>
      <c r="I1237" s="0" t="n">
        <v>0</v>
      </c>
      <c r="J1237" s="0" t="n">
        <v>0</v>
      </c>
      <c r="K1237" s="0" t="n">
        <v>0</v>
      </c>
      <c r="L1237" s="0" t="n">
        <v>0</v>
      </c>
      <c r="M1237" s="0" t="n">
        <v>0</v>
      </c>
      <c r="N1237" s="0" t="n">
        <v>1</v>
      </c>
      <c r="O1237" s="0" t="n">
        <v>1</v>
      </c>
      <c r="P1237" s="0" t="n">
        <v>0</v>
      </c>
      <c r="Q1237" s="0" t="n">
        <v>1</v>
      </c>
      <c r="R1237" s="0" t="n">
        <v>1</v>
      </c>
      <c r="S1237" s="0" t="n">
        <v>0</v>
      </c>
      <c r="T1237" s="0" t="n">
        <v>0</v>
      </c>
      <c r="U1237" s="0" t="n">
        <v>0</v>
      </c>
      <c r="V1237" s="0" t="n">
        <v>0</v>
      </c>
      <c r="W1237" s="0" t="n">
        <v>0</v>
      </c>
      <c r="X1237" s="0" t="n">
        <v>0</v>
      </c>
      <c r="Y1237" s="0" t="inlineStr"/>
    </row>
    <row r="1238">
      <c r="A1238" s="0" t="inlineStr">
        <is>
          <t>2026-04-08_GLNL_at_GLFR</t>
        </is>
      </c>
      <c r="B1238" s="0" t="inlineStr">
        <is>
          <t>2026-04-08</t>
        </is>
      </c>
      <c r="C1238" s="0" t="inlineStr">
        <is>
          <t>GLFR</t>
        </is>
      </c>
      <c r="D1238" s="0" t="inlineStr">
        <is>
          <t>GLNL</t>
        </is>
      </c>
      <c r="E1238" s="0" t="inlineStr">
        <is>
          <t>P Moreau</t>
        </is>
      </c>
      <c r="F1238" s="0" t="n">
        <v>2</v>
      </c>
      <c r="G1238" s="0" t="n">
        <v>2</v>
      </c>
      <c r="H1238" s="0" t="n">
        <v>0</v>
      </c>
      <c r="I1238" s="0" t="n">
        <v>0</v>
      </c>
      <c r="J1238" s="0" t="n">
        <v>0</v>
      </c>
      <c r="K1238" s="0" t="n">
        <v>0</v>
      </c>
      <c r="L1238" s="0" t="n">
        <v>0</v>
      </c>
      <c r="M1238" s="0" t="n">
        <v>0</v>
      </c>
      <c r="N1238" s="0" t="n">
        <v>0</v>
      </c>
      <c r="O1238" s="0" t="n">
        <v>1</v>
      </c>
      <c r="P1238" s="0" t="n">
        <v>1</v>
      </c>
      <c r="Q1238" s="0" t="n">
        <v>0</v>
      </c>
      <c r="R1238" s="0" t="n">
        <v>1</v>
      </c>
      <c r="S1238" s="0" t="n">
        <v>0</v>
      </c>
      <c r="T1238" s="0" t="n">
        <v>0</v>
      </c>
      <c r="U1238" s="0" t="n">
        <v>0</v>
      </c>
      <c r="V1238" s="0" t="n">
        <v>0</v>
      </c>
      <c r="W1238" s="0" t="n">
        <v>0</v>
      </c>
      <c r="X1238" s="0" t="n">
        <v>0</v>
      </c>
      <c r="Y1238" s="0" t="inlineStr"/>
    </row>
    <row r="1239">
      <c r="A1239" s="0" t="inlineStr">
        <is>
          <t>2026-04-08_GLNL_at_GLFR</t>
        </is>
      </c>
      <c r="B1239" s="0" t="inlineStr">
        <is>
          <t>2026-04-08</t>
        </is>
      </c>
      <c r="C1239" s="0" t="inlineStr">
        <is>
          <t>GLFR</t>
        </is>
      </c>
      <c r="D1239" s="0" t="inlineStr">
        <is>
          <t>GLNL</t>
        </is>
      </c>
      <c r="E1239" s="0" t="inlineStr">
        <is>
          <t>J Miles</t>
        </is>
      </c>
      <c r="F1239" s="0" t="n">
        <v>1</v>
      </c>
      <c r="G1239" s="0" t="n">
        <v>1</v>
      </c>
      <c r="H1239" s="0" t="n">
        <v>1</v>
      </c>
      <c r="I1239" s="0" t="n">
        <v>1</v>
      </c>
      <c r="J1239" s="0" t="n">
        <v>0</v>
      </c>
      <c r="K1239" s="0" t="n">
        <v>0</v>
      </c>
      <c r="L1239" s="0" t="n">
        <v>0</v>
      </c>
      <c r="M1239" s="0" t="n">
        <v>0</v>
      </c>
      <c r="N1239" s="0" t="n">
        <v>0</v>
      </c>
      <c r="O1239" s="0" t="n">
        <v>0</v>
      </c>
      <c r="P1239" s="0" t="n">
        <v>0</v>
      </c>
      <c r="Q1239" s="0" t="n">
        <v>0</v>
      </c>
      <c r="R1239" s="0" t="n">
        <v>0</v>
      </c>
      <c r="S1239" s="0" t="n">
        <v>1</v>
      </c>
      <c r="T1239" s="0" t="n">
        <v>0</v>
      </c>
      <c r="U1239" s="0" t="n">
        <v>0</v>
      </c>
      <c r="V1239" s="0" t="n">
        <v>0</v>
      </c>
      <c r="W1239" s="0" t="n">
        <v>0</v>
      </c>
      <c r="X1239" s="0" t="n">
        <v>0</v>
      </c>
      <c r="Y1239" s="0" t="inlineStr"/>
    </row>
    <row r="1240">
      <c r="A1240" s="0" t="inlineStr">
        <is>
          <t>2026-04-08_GLNL_at_GLFR</t>
        </is>
      </c>
      <c r="B1240" s="0" t="inlineStr">
        <is>
          <t>2026-04-08</t>
        </is>
      </c>
      <c r="C1240" s="0" t="inlineStr">
        <is>
          <t>GLFR</t>
        </is>
      </c>
      <c r="D1240" s="0" t="inlineStr">
        <is>
          <t>GLNL</t>
        </is>
      </c>
      <c r="E1240" s="0" t="inlineStr">
        <is>
          <t>E Laprise</t>
        </is>
      </c>
      <c r="F1240" s="0" t="n">
        <v>1</v>
      </c>
      <c r="G1240" s="0" t="n">
        <v>1</v>
      </c>
      <c r="H1240" s="0" t="n">
        <v>0</v>
      </c>
      <c r="I1240" s="0" t="n">
        <v>0</v>
      </c>
      <c r="J1240" s="0" t="n">
        <v>0</v>
      </c>
      <c r="K1240" s="0" t="n">
        <v>0</v>
      </c>
      <c r="L1240" s="0" t="n">
        <v>0</v>
      </c>
      <c r="M1240" s="0" t="n">
        <v>0</v>
      </c>
      <c r="N1240" s="0" t="n">
        <v>0</v>
      </c>
      <c r="O1240" s="0" t="n">
        <v>0</v>
      </c>
      <c r="P1240" s="0" t="n">
        <v>0</v>
      </c>
      <c r="Q1240" s="0" t="n">
        <v>0</v>
      </c>
      <c r="R1240" s="0" t="n">
        <v>0</v>
      </c>
      <c r="S1240" s="0" t="n">
        <v>0</v>
      </c>
      <c r="T1240" s="0" t="n">
        <v>0</v>
      </c>
      <c r="U1240" s="0" t="n">
        <v>0</v>
      </c>
      <c r="V1240" s="0" t="n">
        <v>0</v>
      </c>
      <c r="W1240" s="0" t="n">
        <v>0</v>
      </c>
      <c r="X1240" s="0" t="n">
        <v>0</v>
      </c>
      <c r="Y1240" s="0" t="inlineStr"/>
    </row>
    <row r="1241">
      <c r="A1241" s="0" t="inlineStr">
        <is>
          <t>2026-04-08_GLNL_at_GLFR</t>
        </is>
      </c>
      <c r="B1241" s="0" t="inlineStr">
        <is>
          <t>2026-04-08</t>
        </is>
      </c>
      <c r="C1241" s="0" t="inlineStr">
        <is>
          <t>GLFR</t>
        </is>
      </c>
      <c r="D1241" s="0" t="inlineStr">
        <is>
          <t>GLNL</t>
        </is>
      </c>
      <c r="E1241" s="0" t="inlineStr">
        <is>
          <t>S Tong</t>
        </is>
      </c>
      <c r="F1241" s="0" t="n">
        <v>1</v>
      </c>
      <c r="G1241" s="0" t="n">
        <v>1</v>
      </c>
      <c r="H1241" s="0" t="n">
        <v>0</v>
      </c>
      <c r="I1241" s="0" t="n">
        <v>0</v>
      </c>
      <c r="J1241" s="0" t="n">
        <v>0</v>
      </c>
      <c r="K1241" s="0" t="n">
        <v>0</v>
      </c>
      <c r="L1241" s="0" t="n">
        <v>0</v>
      </c>
      <c r="M1241" s="0" t="n">
        <v>0</v>
      </c>
      <c r="N1241" s="0" t="n">
        <v>0</v>
      </c>
      <c r="O1241" s="0" t="n">
        <v>0</v>
      </c>
      <c r="P1241" s="0" t="n">
        <v>0</v>
      </c>
      <c r="Q1241" s="0" t="n">
        <v>0</v>
      </c>
      <c r="R1241" s="0" t="n">
        <v>0</v>
      </c>
      <c r="S1241" s="0" t="n">
        <v>0</v>
      </c>
      <c r="T1241" s="0" t="n">
        <v>0</v>
      </c>
      <c r="U1241" s="0" t="n">
        <v>0</v>
      </c>
      <c r="V1241" s="0" t="n">
        <v>0</v>
      </c>
      <c r="W1241" s="0" t="n">
        <v>0</v>
      </c>
      <c r="X1241" s="0" t="n">
        <v>0</v>
      </c>
      <c r="Y1241" s="0" t="inlineStr"/>
    </row>
    <row r="1242">
      <c r="A1242" s="0" t="inlineStr">
        <is>
          <t>2026-04-08_GLNL_at_GLFR</t>
        </is>
      </c>
      <c r="B1242" s="0" t="inlineStr">
        <is>
          <t>2026-04-08</t>
        </is>
      </c>
      <c r="C1242" s="0" t="inlineStr">
        <is>
          <t>GLFR</t>
        </is>
      </c>
      <c r="D1242" s="0" t="inlineStr">
        <is>
          <t>GLNL</t>
        </is>
      </c>
      <c r="E1242" s="0" t="inlineStr">
        <is>
          <t>M Beares</t>
        </is>
      </c>
      <c r="F1242" s="0" t="n">
        <v>1</v>
      </c>
      <c r="G1242" s="0" t="n">
        <v>0</v>
      </c>
      <c r="H1242" s="0" t="n">
        <v>0</v>
      </c>
      <c r="I1242" s="0" t="n">
        <v>0</v>
      </c>
      <c r="J1242" s="0" t="n">
        <v>0</v>
      </c>
      <c r="K1242" s="0" t="n">
        <v>0</v>
      </c>
      <c r="L1242" s="0" t="n">
        <v>0</v>
      </c>
      <c r="M1242" s="0" t="n">
        <v>1</v>
      </c>
      <c r="N1242" s="0" t="n">
        <v>0</v>
      </c>
      <c r="O1242" s="0" t="n">
        <v>0</v>
      </c>
      <c r="P1242" s="0" t="n">
        <v>0</v>
      </c>
      <c r="Q1242" s="0" t="n">
        <v>0</v>
      </c>
      <c r="R1242" s="0" t="n">
        <v>1</v>
      </c>
      <c r="S1242" s="0" t="n">
        <v>0</v>
      </c>
      <c r="T1242" s="0" t="n">
        <v>0</v>
      </c>
      <c r="U1242" s="0" t="n">
        <v>0</v>
      </c>
      <c r="V1242" s="0" t="n">
        <v>0</v>
      </c>
      <c r="W1242" s="0" t="n">
        <v>0</v>
      </c>
      <c r="X1242" s="0" t="n">
        <v>0</v>
      </c>
      <c r="Y1242" s="0" t="inlineStr"/>
    </row>
    <row r="1243">
      <c r="A1243" s="0" t="inlineStr">
        <is>
          <t>2026-04-08_GLNL_at_GLFR</t>
        </is>
      </c>
      <c r="B1243" s="0" t="inlineStr">
        <is>
          <t>2026-04-08</t>
        </is>
      </c>
      <c r="C1243" s="0" t="inlineStr">
        <is>
          <t>GLFR</t>
        </is>
      </c>
      <c r="D1243" s="0" t="inlineStr">
        <is>
          <t>GLNL</t>
        </is>
      </c>
      <c r="E1243" s="0" t="inlineStr">
        <is>
          <t>B Harms</t>
        </is>
      </c>
      <c r="F1243" s="0" t="n">
        <v>1</v>
      </c>
      <c r="G1243" s="0" t="n">
        <v>1</v>
      </c>
      <c r="H1243" s="0" t="n">
        <v>0</v>
      </c>
      <c r="I1243" s="0" t="n">
        <v>0</v>
      </c>
      <c r="J1243" s="0" t="n">
        <v>0</v>
      </c>
      <c r="K1243" s="0" t="n">
        <v>0</v>
      </c>
      <c r="L1243" s="0" t="n">
        <v>0</v>
      </c>
      <c r="M1243" s="0" t="n">
        <v>0</v>
      </c>
      <c r="N1243" s="0" t="n">
        <v>0</v>
      </c>
      <c r="O1243" s="0" t="n">
        <v>0</v>
      </c>
      <c r="P1243" s="0" t="n">
        <v>0</v>
      </c>
      <c r="Q1243" s="0" t="n">
        <v>0</v>
      </c>
      <c r="R1243" s="0" t="n">
        <v>1</v>
      </c>
      <c r="S1243" s="0" t="n">
        <v>0</v>
      </c>
      <c r="T1243" s="0" t="n">
        <v>0</v>
      </c>
      <c r="U1243" s="0" t="n">
        <v>0</v>
      </c>
      <c r="V1243" s="0" t="n">
        <v>0</v>
      </c>
      <c r="W1243" s="0" t="n">
        <v>0</v>
      </c>
      <c r="X1243" s="0" t="n">
        <v>0</v>
      </c>
      <c r="Y1243" s="0" t="inlineStr"/>
    </row>
    <row r="1244">
      <c r="A1244" s="0" t="inlineStr">
        <is>
          <t>2026-04-08_GLNL_at_GLFR</t>
        </is>
      </c>
      <c r="B1244" s="0" t="inlineStr">
        <is>
          <t>2026-04-08</t>
        </is>
      </c>
      <c r="C1244" s="0" t="inlineStr">
        <is>
          <t>GLFR</t>
        </is>
      </c>
      <c r="D1244" s="0" t="inlineStr">
        <is>
          <t>GLNL</t>
        </is>
      </c>
      <c r="E1244" s="0" t="inlineStr">
        <is>
          <t>M Kirk</t>
        </is>
      </c>
      <c r="F1244" s="0" t="n">
        <v>1</v>
      </c>
      <c r="G1244" s="0" t="n">
        <v>1</v>
      </c>
      <c r="H1244" s="0" t="n">
        <v>0</v>
      </c>
      <c r="I1244" s="0" t="n">
        <v>0</v>
      </c>
      <c r="J1244" s="0" t="n">
        <v>0</v>
      </c>
      <c r="K1244" s="0" t="n">
        <v>0</v>
      </c>
      <c r="L1244" s="0" t="n">
        <v>0</v>
      </c>
      <c r="M1244" s="0" t="n">
        <v>0</v>
      </c>
      <c r="N1244" s="0" t="n">
        <v>0</v>
      </c>
      <c r="O1244" s="0" t="n">
        <v>0</v>
      </c>
      <c r="P1244" s="0" t="n">
        <v>0</v>
      </c>
      <c r="Q1244" s="0" t="n">
        <v>0</v>
      </c>
      <c r="R1244" s="0" t="n">
        <v>1</v>
      </c>
      <c r="S1244" s="0" t="n">
        <v>0</v>
      </c>
      <c r="T1244" s="0" t="n">
        <v>0</v>
      </c>
      <c r="U1244" s="0" t="n">
        <v>0</v>
      </c>
      <c r="V1244" s="0" t="n">
        <v>0</v>
      </c>
      <c r="W1244" s="0" t="n">
        <v>0</v>
      </c>
      <c r="X1244" s="0" t="n">
        <v>0</v>
      </c>
      <c r="Y1244" s="0" t="inlineStr"/>
    </row>
    <row r="1245">
      <c r="A1245" s="0" t="inlineStr">
        <is>
          <t>2026-04-08_GLNL_at_GLFR</t>
        </is>
      </c>
      <c r="B1245" s="0" t="inlineStr">
        <is>
          <t>2026-04-08</t>
        </is>
      </c>
      <c r="C1245" s="0" t="inlineStr">
        <is>
          <t>GLFR</t>
        </is>
      </c>
      <c r="D1245" s="0" t="inlineStr">
        <is>
          <t>GLNL</t>
        </is>
      </c>
      <c r="E1245" s="0" t="inlineStr">
        <is>
          <t>N Cohen</t>
        </is>
      </c>
      <c r="F1245" s="0" t="n">
        <v>1</v>
      </c>
      <c r="G1245" s="0" t="n">
        <v>1</v>
      </c>
      <c r="H1245" s="0" t="n">
        <v>0</v>
      </c>
      <c r="I1245" s="0" t="n">
        <v>0</v>
      </c>
      <c r="J1245" s="0" t="n">
        <v>0</v>
      </c>
      <c r="K1245" s="0" t="n">
        <v>0</v>
      </c>
      <c r="L1245" s="0" t="n">
        <v>0</v>
      </c>
      <c r="M1245" s="0" t="n">
        <v>0</v>
      </c>
      <c r="N1245" s="0" t="n">
        <v>0</v>
      </c>
      <c r="O1245" s="0" t="n">
        <v>0</v>
      </c>
      <c r="P1245" s="0" t="n">
        <v>0</v>
      </c>
      <c r="Q1245" s="0" t="n">
        <v>0</v>
      </c>
      <c r="R1245" s="0" t="n">
        <v>0</v>
      </c>
      <c r="S1245" s="0" t="n">
        <v>0</v>
      </c>
      <c r="T1245" s="0" t="n">
        <v>0</v>
      </c>
      <c r="U1245" s="0" t="n">
        <v>0</v>
      </c>
      <c r="V1245" s="0" t="n">
        <v>0</v>
      </c>
      <c r="W1245" s="0" t="n">
        <v>0</v>
      </c>
      <c r="X1245" s="0" t="n">
        <v>0</v>
      </c>
      <c r="Y1245" s="0" t="inlineStr"/>
    </row>
    <row r="1246">
      <c r="A1246" s="0" t="inlineStr">
        <is>
          <t>2026-04-08_GLNL_at_GLFR</t>
        </is>
      </c>
      <c r="B1246" s="0" t="inlineStr">
        <is>
          <t>2026-04-08</t>
        </is>
      </c>
      <c r="C1246" s="0" t="inlineStr">
        <is>
          <t>GLNL</t>
        </is>
      </c>
      <c r="D1246" s="0" t="inlineStr">
        <is>
          <t>GLFR</t>
        </is>
      </c>
      <c r="E1246" s="0" t="inlineStr">
        <is>
          <t>B S</t>
        </is>
      </c>
      <c r="F1246" s="0" t="n">
        <v>3</v>
      </c>
      <c r="G1246" s="0" t="n">
        <v>2</v>
      </c>
      <c r="H1246" s="0" t="n">
        <v>0</v>
      </c>
      <c r="I1246" s="0" t="n">
        <v>0</v>
      </c>
      <c r="J1246" s="0" t="n">
        <v>0</v>
      </c>
      <c r="K1246" s="0" t="n">
        <v>0</v>
      </c>
      <c r="L1246" s="0" t="n">
        <v>0</v>
      </c>
      <c r="M1246" s="0" t="n">
        <v>0</v>
      </c>
      <c r="N1246" s="0" t="n">
        <v>0</v>
      </c>
      <c r="O1246" s="0" t="n">
        <v>1</v>
      </c>
      <c r="P1246" s="0" t="n">
        <v>0</v>
      </c>
      <c r="Q1246" s="0" t="n">
        <v>1</v>
      </c>
      <c r="R1246" s="0" t="n">
        <v>1</v>
      </c>
      <c r="S1246" s="0" t="n">
        <v>0</v>
      </c>
      <c r="T1246" s="0" t="n">
        <v>0</v>
      </c>
      <c r="U1246" s="0" t="n">
        <v>0</v>
      </c>
      <c r="V1246" s="0" t="n">
        <v>0</v>
      </c>
      <c r="W1246" s="0" t="n">
        <v>0</v>
      </c>
      <c r="X1246" s="0" t="n">
        <v>0</v>
      </c>
      <c r="Y1246" s="0" t="inlineStr"/>
    </row>
    <row r="1247">
      <c r="A1247" s="0" t="inlineStr">
        <is>
          <t>2026-04-08_GLNL_at_GLFR</t>
        </is>
      </c>
      <c r="B1247" s="0" t="inlineStr">
        <is>
          <t>2026-04-08</t>
        </is>
      </c>
      <c r="C1247" s="0" t="inlineStr">
        <is>
          <t>GLNL</t>
        </is>
      </c>
      <c r="D1247" s="0" t="inlineStr">
        <is>
          <t>GLFR</t>
        </is>
      </c>
      <c r="E1247" s="0" t="inlineStr">
        <is>
          <t>A A</t>
        </is>
      </c>
      <c r="F1247" s="0" t="n">
        <v>3</v>
      </c>
      <c r="G1247" s="0" t="n">
        <v>3</v>
      </c>
      <c r="H1247" s="0" t="n">
        <v>3</v>
      </c>
      <c r="I1247" s="0" t="n">
        <v>3</v>
      </c>
      <c r="J1247" s="0" t="n">
        <v>0</v>
      </c>
      <c r="K1247" s="0" t="n">
        <v>0</v>
      </c>
      <c r="L1247" s="0" t="n">
        <v>0</v>
      </c>
      <c r="M1247" s="0" t="n">
        <v>0</v>
      </c>
      <c r="N1247" s="0" t="n">
        <v>0</v>
      </c>
      <c r="O1247" s="0" t="n">
        <v>0</v>
      </c>
      <c r="P1247" s="0" t="n">
        <v>0</v>
      </c>
      <c r="Q1247" s="0" t="n">
        <v>0</v>
      </c>
      <c r="R1247" s="0" t="n">
        <v>1</v>
      </c>
      <c r="S1247" s="0" t="n">
        <v>0</v>
      </c>
      <c r="T1247" s="0" t="n">
        <v>0</v>
      </c>
      <c r="U1247" s="0" t="n">
        <v>1</v>
      </c>
      <c r="V1247" s="0" t="n">
        <v>0</v>
      </c>
      <c r="W1247" s="0" t="n">
        <v>0</v>
      </c>
      <c r="X1247" s="0" t="n">
        <v>0</v>
      </c>
      <c r="Y1247" s="0" t="inlineStr"/>
    </row>
    <row r="1248">
      <c r="A1248" s="0" t="inlineStr">
        <is>
          <t>2026-04-08_GLNL_at_GLFR</t>
        </is>
      </c>
      <c r="B1248" s="0" t="inlineStr">
        <is>
          <t>2026-04-08</t>
        </is>
      </c>
      <c r="C1248" s="0" t="inlineStr">
        <is>
          <t>GLNL</t>
        </is>
      </c>
      <c r="D1248" s="0" t="inlineStr">
        <is>
          <t>GLFR</t>
        </is>
      </c>
      <c r="E1248" s="0" t="inlineStr">
        <is>
          <t>L R</t>
        </is>
      </c>
      <c r="F1248" s="0" t="n">
        <v>3</v>
      </c>
      <c r="G1248" s="0" t="n">
        <v>2</v>
      </c>
      <c r="H1248" s="0" t="n">
        <v>1</v>
      </c>
      <c r="I1248" s="0" t="n">
        <v>0</v>
      </c>
      <c r="J1248" s="0" t="n">
        <v>0</v>
      </c>
      <c r="K1248" s="0" t="n">
        <v>0</v>
      </c>
      <c r="L1248" s="0" t="n">
        <v>1</v>
      </c>
      <c r="M1248" s="0" t="n">
        <v>1</v>
      </c>
      <c r="N1248" s="0" t="n">
        <v>0</v>
      </c>
      <c r="O1248" s="0" t="n">
        <v>0</v>
      </c>
      <c r="P1248" s="0" t="n">
        <v>0</v>
      </c>
      <c r="Q1248" s="0" t="n">
        <v>0</v>
      </c>
      <c r="R1248" s="0" t="n">
        <v>1</v>
      </c>
      <c r="S1248" s="0" t="n">
        <v>3</v>
      </c>
      <c r="T1248" s="0" t="n">
        <v>1</v>
      </c>
      <c r="U1248" s="0" t="n">
        <v>0</v>
      </c>
      <c r="V1248" s="0" t="n">
        <v>0</v>
      </c>
      <c r="W1248" s="0" t="n">
        <v>0</v>
      </c>
      <c r="X1248" s="0" t="n">
        <v>1</v>
      </c>
      <c r="Y1248" s="0" t="inlineStr"/>
    </row>
    <row r="1249">
      <c r="A1249" s="0" t="inlineStr">
        <is>
          <t>2026-04-08_GLNL_at_GLFR</t>
        </is>
      </c>
      <c r="B1249" s="0" t="inlineStr">
        <is>
          <t>2026-04-08</t>
        </is>
      </c>
      <c r="C1249" s="0" t="inlineStr">
        <is>
          <t>GLNL</t>
        </is>
      </c>
      <c r="D1249" s="0" t="inlineStr">
        <is>
          <t>GLFR</t>
        </is>
      </c>
      <c r="E1249" s="0" t="inlineStr">
        <is>
          <t>L L</t>
        </is>
      </c>
      <c r="F1249" s="0" t="n">
        <v>2</v>
      </c>
      <c r="G1249" s="0" t="n">
        <v>0</v>
      </c>
      <c r="H1249" s="0" t="n">
        <v>0</v>
      </c>
      <c r="I1249" s="0" t="n">
        <v>0</v>
      </c>
      <c r="J1249" s="0" t="n">
        <v>0</v>
      </c>
      <c r="K1249" s="0" t="n">
        <v>0</v>
      </c>
      <c r="L1249" s="0" t="n">
        <v>0</v>
      </c>
      <c r="M1249" s="0" t="n">
        <v>2</v>
      </c>
      <c r="N1249" s="0" t="n">
        <v>0</v>
      </c>
      <c r="O1249" s="0" t="n">
        <v>1</v>
      </c>
      <c r="P1249" s="0" t="n">
        <v>0</v>
      </c>
      <c r="Q1249" s="0" t="n">
        <v>1</v>
      </c>
      <c r="R1249" s="0" t="n">
        <v>1</v>
      </c>
      <c r="S1249" s="0" t="n">
        <v>0</v>
      </c>
      <c r="T1249" s="0" t="n">
        <v>1</v>
      </c>
      <c r="U1249" s="0" t="n">
        <v>0</v>
      </c>
      <c r="V1249" s="0" t="n">
        <v>0</v>
      </c>
      <c r="W1249" s="0" t="n">
        <v>0</v>
      </c>
      <c r="X1249" s="0" t="n">
        <v>0</v>
      </c>
      <c r="Y1249" s="0" t="inlineStr"/>
    </row>
    <row r="1250">
      <c r="A1250" s="0" t="inlineStr">
        <is>
          <t>2026-04-08_GLNL_at_GLFR</t>
        </is>
      </c>
      <c r="B1250" s="0" t="inlineStr">
        <is>
          <t>2026-04-08</t>
        </is>
      </c>
      <c r="C1250" s="0" t="inlineStr">
        <is>
          <t>GLNL</t>
        </is>
      </c>
      <c r="D1250" s="0" t="inlineStr">
        <is>
          <t>GLFR</t>
        </is>
      </c>
      <c r="E1250" s="0" t="inlineStr">
        <is>
          <t>M R</t>
        </is>
      </c>
      <c r="F1250" s="0" t="n">
        <v>2</v>
      </c>
      <c r="G1250" s="0" t="n">
        <v>1</v>
      </c>
      <c r="H1250" s="0" t="n">
        <v>1</v>
      </c>
      <c r="I1250" s="0" t="n">
        <v>1</v>
      </c>
      <c r="J1250" s="0" t="n">
        <v>0</v>
      </c>
      <c r="K1250" s="0" t="n">
        <v>0</v>
      </c>
      <c r="L1250" s="0" t="n">
        <v>0</v>
      </c>
      <c r="M1250" s="0" t="n">
        <v>1</v>
      </c>
      <c r="N1250" s="0" t="n">
        <v>0</v>
      </c>
      <c r="O1250" s="0" t="n">
        <v>1</v>
      </c>
      <c r="P1250" s="0" t="n">
        <v>1</v>
      </c>
      <c r="Q1250" s="0" t="n">
        <v>0</v>
      </c>
      <c r="R1250" s="0" t="n">
        <v>0</v>
      </c>
      <c r="S1250" s="0" t="n">
        <v>0</v>
      </c>
      <c r="T1250" s="0" t="n">
        <v>0</v>
      </c>
      <c r="U1250" s="0" t="n">
        <v>0</v>
      </c>
      <c r="V1250" s="0" t="n">
        <v>0</v>
      </c>
      <c r="W1250" s="0" t="n">
        <v>0</v>
      </c>
      <c r="X1250" s="0" t="n">
        <v>0</v>
      </c>
      <c r="Y1250" s="0" t="inlineStr"/>
    </row>
    <row r="1251">
      <c r="A1251" s="0" t="inlineStr">
        <is>
          <t>2026-04-08_GLNL_at_GLFR</t>
        </is>
      </c>
      <c r="B1251" s="0" t="inlineStr">
        <is>
          <t>2026-04-08</t>
        </is>
      </c>
      <c r="C1251" s="0" t="inlineStr">
        <is>
          <t>GLNL</t>
        </is>
      </c>
      <c r="D1251" s="0" t="inlineStr">
        <is>
          <t>GLFR</t>
        </is>
      </c>
      <c r="E1251" s="0" t="inlineStr">
        <is>
          <t>J H</t>
        </is>
      </c>
      <c r="F1251" s="0" t="n">
        <v>3</v>
      </c>
      <c r="G1251" s="0" t="n">
        <v>1</v>
      </c>
      <c r="H1251" s="0" t="n">
        <v>0</v>
      </c>
      <c r="I1251" s="0" t="n">
        <v>0</v>
      </c>
      <c r="J1251" s="0" t="n">
        <v>0</v>
      </c>
      <c r="K1251" s="0" t="n">
        <v>0</v>
      </c>
      <c r="L1251" s="0" t="n">
        <v>0</v>
      </c>
      <c r="M1251" s="0" t="n">
        <v>2</v>
      </c>
      <c r="N1251" s="0" t="n">
        <v>0</v>
      </c>
      <c r="O1251" s="0" t="n">
        <v>1</v>
      </c>
      <c r="P1251" s="0" t="n">
        <v>0</v>
      </c>
      <c r="Q1251" s="0" t="n">
        <v>1</v>
      </c>
      <c r="R1251" s="0" t="n">
        <v>0</v>
      </c>
      <c r="S1251" s="0" t="n">
        <v>0</v>
      </c>
      <c r="T1251" s="0" t="n">
        <v>0</v>
      </c>
      <c r="U1251" s="0" t="n">
        <v>0</v>
      </c>
      <c r="V1251" s="0" t="n">
        <v>0</v>
      </c>
      <c r="W1251" s="0" t="n">
        <v>0</v>
      </c>
      <c r="X1251" s="0" t="n">
        <v>0</v>
      </c>
      <c r="Y1251" s="0" t="inlineStr"/>
    </row>
    <row r="1252">
      <c r="A1252" s="0" t="inlineStr">
        <is>
          <t>2026-04-08_GLNL_at_GLFR</t>
        </is>
      </c>
      <c r="B1252" s="0" t="inlineStr">
        <is>
          <t>2026-04-08</t>
        </is>
      </c>
      <c r="C1252" s="0" t="inlineStr">
        <is>
          <t>GLNL</t>
        </is>
      </c>
      <c r="D1252" s="0" t="inlineStr">
        <is>
          <t>GLFR</t>
        </is>
      </c>
      <c r="E1252" s="0" t="inlineStr">
        <is>
          <t>H Leven</t>
        </is>
      </c>
      <c r="F1252" s="0" t="n">
        <v>2</v>
      </c>
      <c r="G1252" s="0" t="n">
        <v>2</v>
      </c>
      <c r="H1252" s="0" t="n">
        <v>1</v>
      </c>
      <c r="I1252" s="0" t="n">
        <v>0</v>
      </c>
      <c r="J1252" s="0" t="n">
        <v>1</v>
      </c>
      <c r="K1252" s="0" t="n">
        <v>0</v>
      </c>
      <c r="L1252" s="0" t="n">
        <v>0</v>
      </c>
      <c r="M1252" s="0" t="n">
        <v>0</v>
      </c>
      <c r="N1252" s="0" t="n">
        <v>1</v>
      </c>
      <c r="O1252" s="0" t="n">
        <v>0</v>
      </c>
      <c r="P1252" s="0" t="n">
        <v>0</v>
      </c>
      <c r="Q1252" s="0" t="n">
        <v>0</v>
      </c>
      <c r="R1252" s="0" t="n">
        <v>0</v>
      </c>
      <c r="S1252" s="0" t="n">
        <v>0</v>
      </c>
      <c r="T1252" s="0" t="n">
        <v>1</v>
      </c>
      <c r="U1252" s="0" t="n">
        <v>0</v>
      </c>
      <c r="V1252" s="0" t="n">
        <v>0</v>
      </c>
      <c r="W1252" s="0" t="n">
        <v>0</v>
      </c>
      <c r="X1252" s="0" t="n">
        <v>0</v>
      </c>
      <c r="Y1252" s="0" t="inlineStr"/>
    </row>
    <row r="1253">
      <c r="A1253" s="0" t="inlineStr">
        <is>
          <t>2026-04-08_GLNL_at_GLFR</t>
        </is>
      </c>
      <c r="B1253" s="0" t="inlineStr">
        <is>
          <t>2026-04-08</t>
        </is>
      </c>
      <c r="C1253" s="0" t="inlineStr">
        <is>
          <t>GLNL</t>
        </is>
      </c>
      <c r="D1253" s="0" t="inlineStr">
        <is>
          <t>GLFR</t>
        </is>
      </c>
      <c r="E1253" s="0" t="inlineStr">
        <is>
          <t>A M</t>
        </is>
      </c>
      <c r="F1253" s="0" t="n">
        <v>2</v>
      </c>
      <c r="G1253" s="0" t="n">
        <v>2</v>
      </c>
      <c r="H1253" s="0" t="n">
        <v>0</v>
      </c>
      <c r="I1253" s="0" t="n">
        <v>0</v>
      </c>
      <c r="J1253" s="0" t="n">
        <v>0</v>
      </c>
      <c r="K1253" s="0" t="n">
        <v>0</v>
      </c>
      <c r="L1253" s="0" t="n">
        <v>0</v>
      </c>
      <c r="M1253" s="0" t="n">
        <v>0</v>
      </c>
      <c r="N1253" s="0" t="n">
        <v>0</v>
      </c>
      <c r="O1253" s="0" t="n">
        <v>2</v>
      </c>
      <c r="P1253" s="0" t="n">
        <v>1</v>
      </c>
      <c r="Q1253" s="0" t="n">
        <v>1</v>
      </c>
      <c r="R1253" s="0" t="n">
        <v>0</v>
      </c>
      <c r="S1253" s="0" t="n">
        <v>0</v>
      </c>
      <c r="T1253" s="0" t="n">
        <v>0</v>
      </c>
      <c r="U1253" s="0" t="n">
        <v>0</v>
      </c>
      <c r="V1253" s="0" t="n">
        <v>0</v>
      </c>
      <c r="W1253" s="0" t="n">
        <v>0</v>
      </c>
      <c r="X1253" s="0" t="n">
        <v>0</v>
      </c>
      <c r="Y1253" s="0" t="inlineStr"/>
    </row>
    <row r="1254">
      <c r="A1254" s="0" t="inlineStr">
        <is>
          <t>2026-04-08_GLNL_at_GLFR</t>
        </is>
      </c>
      <c r="B1254" s="0" t="inlineStr">
        <is>
          <t>2026-04-08</t>
        </is>
      </c>
      <c r="C1254" s="0" t="inlineStr">
        <is>
          <t>GLNL</t>
        </is>
      </c>
      <c r="D1254" s="0" t="inlineStr">
        <is>
          <t>GLFR</t>
        </is>
      </c>
      <c r="E1254" s="0" t="inlineStr">
        <is>
          <t>J S</t>
        </is>
      </c>
      <c r="F1254" s="0" t="n">
        <v>2</v>
      </c>
      <c r="G1254" s="0" t="n">
        <v>1</v>
      </c>
      <c r="H1254" s="0" t="n">
        <v>0</v>
      </c>
      <c r="I1254" s="0" t="n">
        <v>0</v>
      </c>
      <c r="J1254" s="0" t="n">
        <v>0</v>
      </c>
      <c r="K1254" s="0" t="n">
        <v>0</v>
      </c>
      <c r="L1254" s="0" t="n">
        <v>0</v>
      </c>
      <c r="M1254" s="0" t="n">
        <v>1</v>
      </c>
      <c r="N1254" s="0" t="n">
        <v>0</v>
      </c>
      <c r="O1254" s="0" t="n">
        <v>1</v>
      </c>
      <c r="P1254" s="0" t="n">
        <v>0</v>
      </c>
      <c r="Q1254" s="0" t="n">
        <v>1</v>
      </c>
      <c r="R1254" s="0" t="n">
        <v>0</v>
      </c>
      <c r="S1254" s="0" t="n">
        <v>0</v>
      </c>
      <c r="T1254" s="0" t="n">
        <v>0</v>
      </c>
      <c r="U1254" s="0" t="n">
        <v>0</v>
      </c>
      <c r="V1254" s="0" t="n">
        <v>0</v>
      </c>
      <c r="W1254" s="0" t="n">
        <v>0</v>
      </c>
      <c r="X1254" s="0" t="n">
        <v>0</v>
      </c>
      <c r="Y1254" s="0" t="inlineStr"/>
    </row>
    <row r="1255">
      <c r="A1255" s="0" t="inlineStr">
        <is>
          <t>2026-04-09_RVRH_at_CNTN</t>
        </is>
      </c>
      <c r="B1255" s="0" t="inlineStr">
        <is>
          <t>2026-04-09</t>
        </is>
      </c>
      <c r="C1255" s="0" t="inlineStr">
        <is>
          <t>CNTN</t>
        </is>
      </c>
      <c r="D1255" s="0" t="inlineStr">
        <is>
          <t>RVRH</t>
        </is>
      </c>
      <c r="E1255" s="0" t="inlineStr">
        <is>
          <t>R Walsh</t>
        </is>
      </c>
      <c r="F1255" s="0" t="n">
        <v>4</v>
      </c>
      <c r="G1255" s="0" t="n">
        <v>3</v>
      </c>
      <c r="H1255" s="0" t="n">
        <v>2</v>
      </c>
      <c r="I1255" s="0" t="n">
        <v>2</v>
      </c>
      <c r="J1255" s="0" t="n">
        <v>0</v>
      </c>
      <c r="K1255" s="0" t="n">
        <v>0</v>
      </c>
      <c r="L1255" s="0" t="n">
        <v>0</v>
      </c>
      <c r="M1255" s="0" t="n">
        <v>1</v>
      </c>
      <c r="N1255" s="0" t="n">
        <v>0</v>
      </c>
      <c r="O1255" s="0" t="n">
        <v>0</v>
      </c>
      <c r="P1255" s="0" t="n">
        <v>0</v>
      </c>
      <c r="Q1255" s="0" t="n">
        <v>0</v>
      </c>
      <c r="R1255" s="0" t="n">
        <v>1</v>
      </c>
      <c r="S1255" s="0" t="n">
        <v>1</v>
      </c>
      <c r="T1255" s="0" t="n">
        <v>0</v>
      </c>
      <c r="U1255" s="0" t="n">
        <v>0</v>
      </c>
      <c r="V1255" s="0" t="n">
        <v>0</v>
      </c>
      <c r="W1255" s="0" t="n">
        <v>0</v>
      </c>
      <c r="X1255" s="0" t="n">
        <v>0</v>
      </c>
      <c r="Y1255" s="0" t="inlineStr">
        <is>
          <t>Courtesy runner B Bixby in play #30, R credited with R and CS</t>
        </is>
      </c>
    </row>
    <row r="1256">
      <c r="A1256" s="0" t="inlineStr">
        <is>
          <t>2026-04-09_RVRH_at_CNTN</t>
        </is>
      </c>
      <c r="B1256" s="0" t="inlineStr">
        <is>
          <t>2026-04-09</t>
        </is>
      </c>
      <c r="C1256" s="0" t="inlineStr">
        <is>
          <t>CNTN</t>
        </is>
      </c>
      <c r="D1256" s="0" t="inlineStr">
        <is>
          <t>RVRH</t>
        </is>
      </c>
      <c r="E1256" s="0" t="inlineStr">
        <is>
          <t>C Reis</t>
        </is>
      </c>
      <c r="F1256" s="0" t="n">
        <v>4</v>
      </c>
      <c r="G1256" s="0" t="n">
        <v>2</v>
      </c>
      <c r="H1256" s="0" t="n">
        <v>1</v>
      </c>
      <c r="I1256" s="0" t="n">
        <v>1</v>
      </c>
      <c r="J1256" s="0" t="n">
        <v>0</v>
      </c>
      <c r="K1256" s="0" t="n">
        <v>0</v>
      </c>
      <c r="L1256" s="0" t="n">
        <v>0</v>
      </c>
      <c r="M1256" s="0" t="n">
        <v>0</v>
      </c>
      <c r="N1256" s="0" t="n">
        <v>0</v>
      </c>
      <c r="O1256" s="0" t="n">
        <v>1</v>
      </c>
      <c r="P1256" s="0" t="n">
        <v>0</v>
      </c>
      <c r="Q1256" s="0" t="n">
        <v>1</v>
      </c>
      <c r="R1256" s="0" t="n">
        <v>1</v>
      </c>
      <c r="S1256" s="0" t="n">
        <v>1</v>
      </c>
      <c r="T1256" s="0" t="n">
        <v>0</v>
      </c>
      <c r="U1256" s="0" t="n">
        <v>0</v>
      </c>
      <c r="V1256" s="0" t="n">
        <v>0</v>
      </c>
      <c r="W1256" s="0" t="n">
        <v>2</v>
      </c>
      <c r="X1256" s="0" t="n">
        <v>0</v>
      </c>
      <c r="Y1256" s="0" t="inlineStr"/>
    </row>
    <row r="1257">
      <c r="A1257" s="0" t="inlineStr">
        <is>
          <t>2026-04-09_RVRH_at_CNTN</t>
        </is>
      </c>
      <c r="B1257" s="0" t="inlineStr">
        <is>
          <t>2026-04-09</t>
        </is>
      </c>
      <c r="C1257" s="0" t="inlineStr">
        <is>
          <t>CNTN</t>
        </is>
      </c>
      <c r="D1257" s="0" t="inlineStr">
        <is>
          <t>RVRH</t>
        </is>
      </c>
      <c r="E1257" s="0" t="inlineStr">
        <is>
          <t>J Norwood</t>
        </is>
      </c>
      <c r="F1257" s="0" t="n">
        <v>4</v>
      </c>
      <c r="G1257" s="0" t="n">
        <v>2</v>
      </c>
      <c r="H1257" s="0" t="n">
        <v>1</v>
      </c>
      <c r="I1257" s="0" t="n">
        <v>1</v>
      </c>
      <c r="J1257" s="0" t="n">
        <v>0</v>
      </c>
      <c r="K1257" s="0" t="n">
        <v>0</v>
      </c>
      <c r="L1257" s="0" t="n">
        <v>0</v>
      </c>
      <c r="M1257" s="0" t="n">
        <v>1</v>
      </c>
      <c r="N1257" s="0" t="n">
        <v>0</v>
      </c>
      <c r="O1257" s="0" t="n">
        <v>1</v>
      </c>
      <c r="P1257" s="0" t="n">
        <v>1</v>
      </c>
      <c r="Q1257" s="0" t="n">
        <v>0</v>
      </c>
      <c r="R1257" s="0" t="n">
        <v>0</v>
      </c>
      <c r="S1257" s="0" t="n">
        <v>0</v>
      </c>
      <c r="T1257" s="0" t="n">
        <v>0</v>
      </c>
      <c r="U1257" s="0" t="n">
        <v>0</v>
      </c>
      <c r="V1257" s="0" t="n">
        <v>0</v>
      </c>
      <c r="W1257" s="0" t="n">
        <v>0</v>
      </c>
      <c r="X1257" s="0" t="n">
        <v>0</v>
      </c>
      <c r="Y1257" s="0" t="inlineStr"/>
    </row>
    <row r="1258">
      <c r="A1258" s="0" t="inlineStr">
        <is>
          <t>2026-04-09_RVRH_at_CNTN</t>
        </is>
      </c>
      <c r="B1258" s="0" t="inlineStr">
        <is>
          <t>2026-04-09</t>
        </is>
      </c>
      <c r="C1258" s="0" t="inlineStr">
        <is>
          <t>CNTN</t>
        </is>
      </c>
      <c r="D1258" s="0" t="inlineStr">
        <is>
          <t>RVRH</t>
        </is>
      </c>
      <c r="E1258" s="0" t="inlineStr">
        <is>
          <t>H Zhang</t>
        </is>
      </c>
      <c r="F1258" s="0" t="n">
        <v>4</v>
      </c>
      <c r="G1258" s="0" t="n">
        <v>4</v>
      </c>
      <c r="H1258" s="0" t="n">
        <v>2</v>
      </c>
      <c r="I1258" s="0" t="n">
        <v>2</v>
      </c>
      <c r="J1258" s="0" t="n">
        <v>0</v>
      </c>
      <c r="K1258" s="0" t="n">
        <v>0</v>
      </c>
      <c r="L1258" s="0" t="n">
        <v>0</v>
      </c>
      <c r="M1258" s="0" t="n">
        <v>0</v>
      </c>
      <c r="N1258" s="0" t="n">
        <v>0</v>
      </c>
      <c r="O1258" s="0" t="n">
        <v>1</v>
      </c>
      <c r="P1258" s="0" t="n">
        <v>0</v>
      </c>
      <c r="Q1258" s="0" t="n">
        <v>1</v>
      </c>
      <c r="R1258" s="0" t="n">
        <v>0</v>
      </c>
      <c r="S1258" s="0" t="n">
        <v>1</v>
      </c>
      <c r="T1258" s="0" t="n">
        <v>0</v>
      </c>
      <c r="U1258" s="0" t="n">
        <v>0</v>
      </c>
      <c r="V1258" s="0" t="n">
        <v>0</v>
      </c>
      <c r="W1258" s="0" t="n">
        <v>0</v>
      </c>
      <c r="X1258" s="0" t="n">
        <v>0</v>
      </c>
      <c r="Y1258" s="0" t="inlineStr"/>
    </row>
    <row r="1259">
      <c r="A1259" s="0" t="inlineStr">
        <is>
          <t>2026-04-09_RVRH_at_CNTN</t>
        </is>
      </c>
      <c r="B1259" s="0" t="inlineStr">
        <is>
          <t>2026-04-09</t>
        </is>
      </c>
      <c r="C1259" s="0" t="inlineStr">
        <is>
          <t>CNTN</t>
        </is>
      </c>
      <c r="D1259" s="0" t="inlineStr">
        <is>
          <t>RVRH</t>
        </is>
      </c>
      <c r="E1259" s="0" t="inlineStr">
        <is>
          <t>C Naecker</t>
        </is>
      </c>
      <c r="F1259" s="0" t="n">
        <v>3</v>
      </c>
      <c r="G1259" s="0" t="n">
        <v>3</v>
      </c>
      <c r="H1259" s="0" t="n">
        <v>0</v>
      </c>
      <c r="I1259" s="0" t="n">
        <v>0</v>
      </c>
      <c r="J1259" s="0" t="n">
        <v>0</v>
      </c>
      <c r="K1259" s="0" t="n">
        <v>0</v>
      </c>
      <c r="L1259" s="0" t="n">
        <v>0</v>
      </c>
      <c r="M1259" s="0" t="n">
        <v>0</v>
      </c>
      <c r="N1259" s="0" t="n">
        <v>0</v>
      </c>
      <c r="O1259" s="0" t="n">
        <v>1</v>
      </c>
      <c r="P1259" s="0" t="n">
        <v>0</v>
      </c>
      <c r="Q1259" s="0" t="n">
        <v>1</v>
      </c>
      <c r="R1259" s="0" t="n">
        <v>0</v>
      </c>
      <c r="S1259" s="0" t="n">
        <v>0</v>
      </c>
      <c r="T1259" s="0" t="n">
        <v>0</v>
      </c>
      <c r="U1259" s="0" t="n">
        <v>0</v>
      </c>
      <c r="V1259" s="0" t="n">
        <v>0</v>
      </c>
      <c r="W1259" s="0" t="n">
        <v>0</v>
      </c>
      <c r="X1259" s="0" t="n">
        <v>0</v>
      </c>
      <c r="Y1259" s="0" t="inlineStr"/>
    </row>
    <row r="1260">
      <c r="A1260" s="0" t="inlineStr">
        <is>
          <t>2026-04-09_RVRH_at_CNTN</t>
        </is>
      </c>
      <c r="B1260" s="0" t="inlineStr">
        <is>
          <t>2026-04-09</t>
        </is>
      </c>
      <c r="C1260" s="0" t="inlineStr">
        <is>
          <t>CNTN</t>
        </is>
      </c>
      <c r="D1260" s="0" t="inlineStr">
        <is>
          <t>RVRH</t>
        </is>
      </c>
      <c r="E1260" s="0" t="inlineStr">
        <is>
          <t>G Dang</t>
        </is>
      </c>
      <c r="F1260" s="0" t="n">
        <v>3</v>
      </c>
      <c r="G1260" s="0" t="n">
        <v>0</v>
      </c>
      <c r="H1260" s="0" t="n">
        <v>0</v>
      </c>
      <c r="I1260" s="0" t="n">
        <v>0</v>
      </c>
      <c r="J1260" s="0" t="n">
        <v>0</v>
      </c>
      <c r="K1260" s="0" t="n">
        <v>0</v>
      </c>
      <c r="L1260" s="0" t="n">
        <v>0</v>
      </c>
      <c r="M1260" s="0" t="n">
        <v>3</v>
      </c>
      <c r="N1260" s="0" t="n">
        <v>0</v>
      </c>
      <c r="O1260" s="0" t="n">
        <v>2</v>
      </c>
      <c r="P1260" s="0" t="n">
        <v>1</v>
      </c>
      <c r="Q1260" s="0" t="n">
        <v>1</v>
      </c>
      <c r="R1260" s="0" t="n">
        <v>0</v>
      </c>
      <c r="S1260" s="0" t="n">
        <v>0</v>
      </c>
      <c r="T1260" s="0" t="n">
        <v>0</v>
      </c>
      <c r="U1260" s="0" t="n">
        <v>0</v>
      </c>
      <c r="V1260" s="0" t="n">
        <v>0</v>
      </c>
      <c r="W1260" s="0" t="n">
        <v>0</v>
      </c>
      <c r="X1260" s="0" t="n">
        <v>0</v>
      </c>
      <c r="Y1260" s="0" t="inlineStr">
        <is>
          <t>Courtesy runner E Skolkin in play #11, G credited with statistics</t>
        </is>
      </c>
    </row>
    <row r="1261">
      <c r="A1261" s="0" t="inlineStr">
        <is>
          <t>2026-04-09_RVRH_at_CNTN</t>
        </is>
      </c>
      <c r="B1261" s="0" t="inlineStr">
        <is>
          <t>2026-04-09</t>
        </is>
      </c>
      <c r="C1261" s="0" t="inlineStr">
        <is>
          <t>CNTN</t>
        </is>
      </c>
      <c r="D1261" s="0" t="inlineStr">
        <is>
          <t>RVRH</t>
        </is>
      </c>
      <c r="E1261" s="0" t="inlineStr">
        <is>
          <t>A Fields</t>
        </is>
      </c>
      <c r="F1261" s="0" t="n">
        <v>3</v>
      </c>
      <c r="G1261" s="0" t="n">
        <v>1</v>
      </c>
      <c r="H1261" s="0" t="n">
        <v>0</v>
      </c>
      <c r="I1261" s="0" t="n">
        <v>0</v>
      </c>
      <c r="J1261" s="0" t="n">
        <v>0</v>
      </c>
      <c r="K1261" s="0" t="n">
        <v>0</v>
      </c>
      <c r="L1261" s="0" t="n">
        <v>0</v>
      </c>
      <c r="M1261" s="0" t="n">
        <v>0</v>
      </c>
      <c r="N1261" s="0" t="n">
        <v>0</v>
      </c>
      <c r="O1261" s="0" t="n">
        <v>1</v>
      </c>
      <c r="P1261" s="0" t="n">
        <v>1</v>
      </c>
      <c r="Q1261" s="0" t="n">
        <v>0</v>
      </c>
      <c r="R1261" s="0" t="n">
        <v>0</v>
      </c>
      <c r="S1261" s="0" t="n">
        <v>0</v>
      </c>
      <c r="T1261" s="0" t="n">
        <v>0</v>
      </c>
      <c r="U1261" s="0" t="n">
        <v>0</v>
      </c>
      <c r="V1261" s="0" t="n">
        <v>0</v>
      </c>
      <c r="W1261" s="0" t="n">
        <v>1</v>
      </c>
      <c r="X1261" s="0" t="n">
        <v>0</v>
      </c>
      <c r="Y1261" s="0" t="inlineStr"/>
    </row>
    <row r="1262">
      <c r="A1262" s="0" t="inlineStr">
        <is>
          <t>2026-04-09_RVRH_at_CNTN</t>
        </is>
      </c>
      <c r="B1262" s="0" t="inlineStr">
        <is>
          <t>2026-04-09</t>
        </is>
      </c>
      <c r="C1262" s="0" t="inlineStr">
        <is>
          <t>CNTN</t>
        </is>
      </c>
      <c r="D1262" s="0" t="inlineStr">
        <is>
          <t>RVRH</t>
        </is>
      </c>
      <c r="E1262" s="0" t="inlineStr">
        <is>
          <t>E McCoy</t>
        </is>
      </c>
      <c r="F1262" s="0" t="n">
        <v>3</v>
      </c>
      <c r="G1262" s="0" t="n">
        <v>1</v>
      </c>
      <c r="H1262" s="0" t="n">
        <v>1</v>
      </c>
      <c r="I1262" s="0" t="n">
        <v>1</v>
      </c>
      <c r="J1262" s="0" t="n">
        <v>0</v>
      </c>
      <c r="K1262" s="0" t="n">
        <v>0</v>
      </c>
      <c r="L1262" s="0" t="n">
        <v>0</v>
      </c>
      <c r="M1262" s="0" t="n">
        <v>0</v>
      </c>
      <c r="N1262" s="0" t="n">
        <v>1</v>
      </c>
      <c r="O1262" s="0" t="n">
        <v>1</v>
      </c>
      <c r="P1262" s="0" t="n">
        <v>1</v>
      </c>
      <c r="Q1262" s="0" t="n">
        <v>0</v>
      </c>
      <c r="R1262" s="0" t="n">
        <v>1</v>
      </c>
      <c r="S1262" s="0" t="n">
        <v>0</v>
      </c>
      <c r="T1262" s="0" t="n">
        <v>0</v>
      </c>
      <c r="U1262" s="0" t="n">
        <v>0</v>
      </c>
      <c r="V1262" s="0" t="n">
        <v>0</v>
      </c>
      <c r="W1262" s="0" t="n">
        <v>0</v>
      </c>
      <c r="X1262" s="0" t="n">
        <v>0</v>
      </c>
      <c r="Y1262" s="0" t="inlineStr"/>
    </row>
    <row r="1263">
      <c r="A1263" s="0" t="inlineStr">
        <is>
          <t>2026-04-09_RVRH_at_CNTN</t>
        </is>
      </c>
      <c r="B1263" s="0" t="inlineStr">
        <is>
          <t>2026-04-09</t>
        </is>
      </c>
      <c r="C1263" s="0" t="inlineStr">
        <is>
          <t>CNTN</t>
        </is>
      </c>
      <c r="D1263" s="0" t="inlineStr">
        <is>
          <t>RVRH</t>
        </is>
      </c>
      <c r="E1263" s="0" t="inlineStr">
        <is>
          <t>C McClellan</t>
        </is>
      </c>
      <c r="F1263" s="0" t="n">
        <v>3</v>
      </c>
      <c r="G1263" s="0" t="n">
        <v>1</v>
      </c>
      <c r="H1263" s="0" t="n">
        <v>0</v>
      </c>
      <c r="I1263" s="0" t="n">
        <v>0</v>
      </c>
      <c r="J1263" s="0" t="n">
        <v>0</v>
      </c>
      <c r="K1263" s="0" t="n">
        <v>0</v>
      </c>
      <c r="L1263" s="0" t="n">
        <v>0</v>
      </c>
      <c r="M1263" s="0" t="n">
        <v>0</v>
      </c>
      <c r="N1263" s="0" t="n">
        <v>0</v>
      </c>
      <c r="O1263" s="0" t="n">
        <v>2</v>
      </c>
      <c r="P1263" s="0" t="n">
        <v>1</v>
      </c>
      <c r="Q1263" s="0" t="n">
        <v>1</v>
      </c>
      <c r="R1263" s="0" t="n">
        <v>0</v>
      </c>
      <c r="S1263" s="0" t="n">
        <v>0</v>
      </c>
      <c r="T1263" s="0" t="n">
        <v>0</v>
      </c>
      <c r="U1263" s="0" t="n">
        <v>0</v>
      </c>
      <c r="V1263" s="0" t="n">
        <v>0</v>
      </c>
      <c r="W1263" s="0" t="n">
        <v>1</v>
      </c>
      <c r="X1263" s="0" t="n">
        <v>0</v>
      </c>
      <c r="Y1263" s="0" t="inlineStr"/>
    </row>
    <row r="1264">
      <c r="A1264" s="0" t="inlineStr">
        <is>
          <t>2026-04-09_RVRH_at_CNTN</t>
        </is>
      </c>
      <c r="B1264" s="0" t="inlineStr">
        <is>
          <t>2026-04-09</t>
        </is>
      </c>
      <c r="C1264" s="0" t="inlineStr">
        <is>
          <t>CNTN</t>
        </is>
      </c>
      <c r="D1264" s="0" t="inlineStr">
        <is>
          <t>CNTN</t>
        </is>
      </c>
      <c r="E1264" s="0" t="inlineStr">
        <is>
          <t>A Gauthier</t>
        </is>
      </c>
      <c r="F1264" s="0" t="n">
        <v>3</v>
      </c>
      <c r="G1264" s="0" t="n">
        <v>2</v>
      </c>
      <c r="H1264" s="0" t="n">
        <v>0</v>
      </c>
      <c r="I1264" s="0" t="n">
        <v>0</v>
      </c>
      <c r="J1264" s="0" t="n">
        <v>0</v>
      </c>
      <c r="K1264" s="0" t="n">
        <v>0</v>
      </c>
      <c r="L1264" s="0" t="n">
        <v>0</v>
      </c>
      <c r="M1264" s="0" t="n">
        <v>0</v>
      </c>
      <c r="N1264" s="0" t="n">
        <v>0</v>
      </c>
      <c r="O1264" s="0" t="n">
        <v>1</v>
      </c>
      <c r="P1264" s="0" t="n">
        <v>0</v>
      </c>
      <c r="Q1264" s="0" t="n">
        <v>1</v>
      </c>
      <c r="R1264" s="0" t="n">
        <v>0</v>
      </c>
      <c r="S1264" s="0" t="n">
        <v>0</v>
      </c>
      <c r="T1264" s="0" t="n">
        <v>0</v>
      </c>
      <c r="U1264" s="0" t="n">
        <v>0</v>
      </c>
      <c r="V1264" s="0" t="n">
        <v>0</v>
      </c>
      <c r="W1264" s="0" t="n">
        <v>0</v>
      </c>
      <c r="X1264" s="0" t="n">
        <v>0</v>
      </c>
      <c r="Y1264" s="0" t="inlineStr">
        <is>
          <t>Dropped 3rd strike counts as AB + K</t>
        </is>
      </c>
    </row>
    <row r="1265">
      <c r="A1265" s="0" t="inlineStr">
        <is>
          <t>2026-04-09_RVRH_at_CNTN</t>
        </is>
      </c>
      <c r="B1265" s="0" t="inlineStr">
        <is>
          <t>2026-04-09</t>
        </is>
      </c>
      <c r="C1265" s="0" t="inlineStr">
        <is>
          <t>RVRH</t>
        </is>
      </c>
      <c r="D1265" s="0" t="inlineStr">
        <is>
          <t>CNTN</t>
        </is>
      </c>
      <c r="E1265" s="0" t="inlineStr">
        <is>
          <t>E Rayne</t>
        </is>
      </c>
      <c r="F1265" s="0" t="n">
        <v>3</v>
      </c>
      <c r="G1265" s="0" t="n">
        <v>0</v>
      </c>
      <c r="H1265" s="0" t="n">
        <v>0</v>
      </c>
      <c r="I1265" s="0" t="n">
        <v>0</v>
      </c>
      <c r="J1265" s="0" t="n">
        <v>0</v>
      </c>
      <c r="K1265" s="0" t="n">
        <v>0</v>
      </c>
      <c r="L1265" s="0" t="n">
        <v>0</v>
      </c>
      <c r="M1265" s="0" t="n">
        <v>2</v>
      </c>
      <c r="N1265" s="0" t="n">
        <v>0</v>
      </c>
      <c r="O1265" s="0" t="n">
        <v>1</v>
      </c>
      <c r="P1265" s="0" t="n">
        <v>1</v>
      </c>
      <c r="Q1265" s="0" t="n">
        <v>0</v>
      </c>
      <c r="R1265" s="0" t="n">
        <v>0</v>
      </c>
      <c r="S1265" s="0" t="n">
        <v>0</v>
      </c>
      <c r="T1265" s="0" t="n">
        <v>0</v>
      </c>
      <c r="U1265" s="0" t="n">
        <v>0</v>
      </c>
      <c r="V1265" s="0" t="n">
        <v>0</v>
      </c>
      <c r="W1265" s="0" t="n">
        <v>0</v>
      </c>
      <c r="X1265" s="0" t="n">
        <v>0</v>
      </c>
      <c r="Y1265" s="0" t="inlineStr"/>
    </row>
    <row r="1266">
      <c r="A1266" s="0" t="inlineStr">
        <is>
          <t>2026-04-09_RVRH_at_CNTN</t>
        </is>
      </c>
      <c r="B1266" s="0" t="inlineStr">
        <is>
          <t>2026-04-09</t>
        </is>
      </c>
      <c r="C1266" s="0" t="inlineStr">
        <is>
          <t>RVRH</t>
        </is>
      </c>
      <c r="D1266" s="0" t="inlineStr">
        <is>
          <t>CNTN</t>
        </is>
      </c>
      <c r="E1266" s="0" t="inlineStr">
        <is>
          <t>C Bade</t>
        </is>
      </c>
      <c r="F1266" s="0" t="n">
        <v>3</v>
      </c>
      <c r="G1266" s="0" t="n">
        <v>0</v>
      </c>
      <c r="H1266" s="0" t="n">
        <v>0</v>
      </c>
      <c r="I1266" s="0" t="n">
        <v>0</v>
      </c>
      <c r="J1266" s="0" t="n">
        <v>0</v>
      </c>
      <c r="K1266" s="0" t="n">
        <v>0</v>
      </c>
      <c r="L1266" s="0" t="n">
        <v>0</v>
      </c>
      <c r="M1266" s="0" t="n">
        <v>1</v>
      </c>
      <c r="N1266" s="0" t="n">
        <v>0</v>
      </c>
      <c r="O1266" s="0" t="n">
        <v>2</v>
      </c>
      <c r="P1266" s="0" t="n">
        <v>2</v>
      </c>
      <c r="Q1266" s="0" t="n">
        <v>0</v>
      </c>
      <c r="R1266" s="0" t="n">
        <v>0</v>
      </c>
      <c r="S1266" s="0" t="n">
        <v>0</v>
      </c>
      <c r="T1266" s="0" t="n">
        <v>0</v>
      </c>
      <c r="U1266" s="0" t="n">
        <v>0</v>
      </c>
      <c r="V1266" s="0" t="n">
        <v>0</v>
      </c>
      <c r="W1266" s="0" t="n">
        <v>0</v>
      </c>
      <c r="X1266" s="0" t="n">
        <v>0</v>
      </c>
      <c r="Y1266" s="0" t="inlineStr"/>
    </row>
    <row r="1267">
      <c r="A1267" s="0" t="inlineStr">
        <is>
          <t>2026-04-09_RVRH_at_CNTN</t>
        </is>
      </c>
      <c r="B1267" s="0" t="inlineStr">
        <is>
          <t>2026-04-09</t>
        </is>
      </c>
      <c r="C1267" s="0" t="inlineStr">
        <is>
          <t>RVRH</t>
        </is>
      </c>
      <c r="D1267" s="0" t="inlineStr">
        <is>
          <t>CNTN</t>
        </is>
      </c>
      <c r="E1267" s="0" t="inlineStr">
        <is>
          <t>A Banks</t>
        </is>
      </c>
      <c r="F1267" s="0" t="n">
        <v>3</v>
      </c>
      <c r="G1267" s="0" t="n">
        <v>1</v>
      </c>
      <c r="H1267" s="0" t="n">
        <v>1</v>
      </c>
      <c r="I1267" s="0" t="n">
        <v>1</v>
      </c>
      <c r="J1267" s="0" t="n">
        <v>0</v>
      </c>
      <c r="K1267" s="0" t="n">
        <v>0</v>
      </c>
      <c r="L1267" s="0" t="n">
        <v>0</v>
      </c>
      <c r="M1267" s="0" t="n">
        <v>0</v>
      </c>
      <c r="N1267" s="0" t="n">
        <v>1</v>
      </c>
      <c r="O1267" s="0" t="n">
        <v>1</v>
      </c>
      <c r="P1267" s="0" t="n">
        <v>0</v>
      </c>
      <c r="Q1267" s="0" t="n">
        <v>1</v>
      </c>
      <c r="R1267" s="0" t="n">
        <v>0</v>
      </c>
      <c r="S1267" s="0" t="n">
        <v>0</v>
      </c>
      <c r="T1267" s="0" t="n">
        <v>0</v>
      </c>
      <c r="U1267" s="0" t="n">
        <v>0</v>
      </c>
      <c r="V1267" s="0" t="n">
        <v>0</v>
      </c>
      <c r="W1267" s="0" t="n">
        <v>0</v>
      </c>
      <c r="X1267" s="0" t="n">
        <v>0</v>
      </c>
      <c r="Y1267" s="0" t="inlineStr"/>
    </row>
    <row r="1268">
      <c r="A1268" s="0" t="inlineStr">
        <is>
          <t>2026-04-09_RVRH_at_CNTN</t>
        </is>
      </c>
      <c r="B1268" s="0" t="inlineStr">
        <is>
          <t>2026-04-09</t>
        </is>
      </c>
      <c r="C1268" s="0" t="inlineStr">
        <is>
          <t>RVRH</t>
        </is>
      </c>
      <c r="D1268" s="0" t="inlineStr">
        <is>
          <t>CNTN</t>
        </is>
      </c>
      <c r="E1268" s="0" t="inlineStr">
        <is>
          <t>B Harris</t>
        </is>
      </c>
      <c r="F1268" s="0" t="n">
        <v>2</v>
      </c>
      <c r="G1268" s="0" t="n">
        <v>2</v>
      </c>
      <c r="H1268" s="0" t="n">
        <v>0</v>
      </c>
      <c r="I1268" s="0" t="n">
        <v>0</v>
      </c>
      <c r="J1268" s="0" t="n">
        <v>0</v>
      </c>
      <c r="K1268" s="0" t="n">
        <v>0</v>
      </c>
      <c r="L1268" s="0" t="n">
        <v>0</v>
      </c>
      <c r="M1268" s="0" t="n">
        <v>0</v>
      </c>
      <c r="N1268" s="0" t="n">
        <v>0</v>
      </c>
      <c r="O1268" s="0" t="n">
        <v>1</v>
      </c>
      <c r="P1268" s="0" t="n">
        <v>1</v>
      </c>
      <c r="Q1268" s="0" t="n">
        <v>1</v>
      </c>
      <c r="R1268" s="0" t="n">
        <v>0</v>
      </c>
      <c r="S1268" s="0" t="n">
        <v>1</v>
      </c>
      <c r="T1268" s="0" t="n">
        <v>0</v>
      </c>
      <c r="U1268" s="0" t="n">
        <v>0</v>
      </c>
      <c r="V1268" s="0" t="n">
        <v>0</v>
      </c>
      <c r="W1268" s="0" t="n">
        <v>0</v>
      </c>
      <c r="X1268" s="0" t="n">
        <v>0</v>
      </c>
      <c r="Y1268" s="0" t="inlineStr"/>
    </row>
    <row r="1269">
      <c r="A1269" s="0" t="inlineStr">
        <is>
          <t>2026-04-09_RVRH_at_CNTN</t>
        </is>
      </c>
      <c r="B1269" s="0" t="inlineStr">
        <is>
          <t>2026-04-09</t>
        </is>
      </c>
      <c r="C1269" s="0" t="inlineStr">
        <is>
          <t>RVRH</t>
        </is>
      </c>
      <c r="D1269" s="0" t="inlineStr">
        <is>
          <t>CNTN</t>
        </is>
      </c>
      <c r="E1269" s="0" t="inlineStr">
        <is>
          <t>B Corrao</t>
        </is>
      </c>
      <c r="F1269" s="0" t="n">
        <v>2</v>
      </c>
      <c r="G1269" s="0" t="n">
        <v>2</v>
      </c>
      <c r="H1269" s="0" t="n">
        <v>0</v>
      </c>
      <c r="I1269" s="0" t="n">
        <v>0</v>
      </c>
      <c r="J1269" s="0" t="n">
        <v>0</v>
      </c>
      <c r="K1269" s="0" t="n">
        <v>0</v>
      </c>
      <c r="L1269" s="0" t="n">
        <v>0</v>
      </c>
      <c r="M1269" s="0" t="n">
        <v>0</v>
      </c>
      <c r="N1269" s="0" t="n">
        <v>0</v>
      </c>
      <c r="O1269" s="0" t="n">
        <v>0</v>
      </c>
      <c r="P1269" s="0" t="n">
        <v>0</v>
      </c>
      <c r="Q1269" s="0" t="n">
        <v>0</v>
      </c>
      <c r="R1269" s="0" t="n">
        <v>0</v>
      </c>
      <c r="S1269" s="0" t="n">
        <v>0</v>
      </c>
      <c r="T1269" s="0" t="n">
        <v>0</v>
      </c>
      <c r="U1269" s="0" t="n">
        <v>0</v>
      </c>
      <c r="V1269" s="0" t="n">
        <v>0</v>
      </c>
      <c r="W1269" s="0" t="n">
        <v>0</v>
      </c>
      <c r="X1269" s="0" t="n">
        <v>0</v>
      </c>
      <c r="Y1269" s="0" t="inlineStr"/>
    </row>
    <row r="1270">
      <c r="A1270" s="0" t="inlineStr">
        <is>
          <t>2026-04-09_RVRH_at_CNTN</t>
        </is>
      </c>
      <c r="B1270" s="0" t="inlineStr">
        <is>
          <t>2026-04-09</t>
        </is>
      </c>
      <c r="C1270" s="0" t="inlineStr">
        <is>
          <t>RVRH</t>
        </is>
      </c>
      <c r="D1270" s="0" t="inlineStr">
        <is>
          <t>CNTN</t>
        </is>
      </c>
      <c r="E1270" s="0" t="inlineStr">
        <is>
          <t>D Hill</t>
        </is>
      </c>
      <c r="F1270" s="0" t="n">
        <v>2</v>
      </c>
      <c r="G1270" s="0" t="n">
        <v>2</v>
      </c>
      <c r="H1270" s="0" t="n">
        <v>0</v>
      </c>
      <c r="I1270" s="0" t="n">
        <v>0</v>
      </c>
      <c r="J1270" s="0" t="n">
        <v>0</v>
      </c>
      <c r="K1270" s="0" t="n">
        <v>0</v>
      </c>
      <c r="L1270" s="0" t="n">
        <v>0</v>
      </c>
      <c r="M1270" s="0" t="n">
        <v>0</v>
      </c>
      <c r="N1270" s="0" t="n">
        <v>0</v>
      </c>
      <c r="O1270" s="0" t="n">
        <v>0</v>
      </c>
      <c r="P1270" s="0" t="n">
        <v>0</v>
      </c>
      <c r="Q1270" s="0" t="n">
        <v>0</v>
      </c>
      <c r="R1270" s="0" t="n">
        <v>0</v>
      </c>
      <c r="S1270" s="0" t="n">
        <v>0</v>
      </c>
      <c r="T1270" s="0" t="n">
        <v>0</v>
      </c>
      <c r="U1270" s="0" t="n">
        <v>0</v>
      </c>
      <c r="V1270" s="0" t="n">
        <v>0</v>
      </c>
      <c r="W1270" s="0" t="n">
        <v>0</v>
      </c>
      <c r="X1270" s="0" t="n">
        <v>0</v>
      </c>
      <c r="Y1270" s="0" t="inlineStr"/>
    </row>
    <row r="1271">
      <c r="A1271" s="0" t="inlineStr">
        <is>
          <t>2026-04-09_RVRH_at_CNTN</t>
        </is>
      </c>
      <c r="B1271" s="0" t="inlineStr">
        <is>
          <t>2026-04-09</t>
        </is>
      </c>
      <c r="C1271" s="0" t="inlineStr">
        <is>
          <t>RVRH</t>
        </is>
      </c>
      <c r="D1271" s="0" t="inlineStr">
        <is>
          <t>CNTN</t>
        </is>
      </c>
      <c r="E1271" s="0" t="inlineStr">
        <is>
          <t>C Stachera</t>
        </is>
      </c>
      <c r="F1271" s="0" t="n">
        <v>2</v>
      </c>
      <c r="G1271" s="0" t="n">
        <v>2</v>
      </c>
      <c r="H1271" s="0" t="n">
        <v>0</v>
      </c>
      <c r="I1271" s="0" t="n">
        <v>0</v>
      </c>
      <c r="J1271" s="0" t="n">
        <v>0</v>
      </c>
      <c r="K1271" s="0" t="n">
        <v>0</v>
      </c>
      <c r="L1271" s="0" t="n">
        <v>0</v>
      </c>
      <c r="M1271" s="0" t="n">
        <v>0</v>
      </c>
      <c r="N1271" s="0" t="n">
        <v>0</v>
      </c>
      <c r="O1271" s="0" t="n">
        <v>1</v>
      </c>
      <c r="P1271" s="0" t="n">
        <v>1</v>
      </c>
      <c r="Q1271" s="0" t="n">
        <v>0</v>
      </c>
      <c r="R1271" s="0" t="n">
        <v>0</v>
      </c>
      <c r="S1271" s="0" t="n">
        <v>0</v>
      </c>
      <c r="T1271" s="0" t="n">
        <v>0</v>
      </c>
      <c r="U1271" s="0" t="n">
        <v>0</v>
      </c>
      <c r="V1271" s="0" t="n">
        <v>0</v>
      </c>
      <c r="W1271" s="0" t="n">
        <v>0</v>
      </c>
      <c r="X1271" s="0" t="n">
        <v>0</v>
      </c>
      <c r="Y1271" s="0" t="inlineStr"/>
    </row>
    <row r="1272">
      <c r="A1272" s="0" t="inlineStr">
        <is>
          <t>2026-04-09_RVRH_at_CNTN</t>
        </is>
      </c>
      <c r="B1272" s="0" t="inlineStr">
        <is>
          <t>2026-04-09</t>
        </is>
      </c>
      <c r="C1272" s="0" t="inlineStr">
        <is>
          <t>RVRH</t>
        </is>
      </c>
      <c r="D1272" s="0" t="inlineStr">
        <is>
          <t>CNTN</t>
        </is>
      </c>
      <c r="E1272" s="0" t="inlineStr">
        <is>
          <t>L Choe</t>
        </is>
      </c>
      <c r="F1272" s="0" t="n">
        <v>2</v>
      </c>
      <c r="G1272" s="0" t="n">
        <v>2</v>
      </c>
      <c r="H1272" s="0" t="n">
        <v>1</v>
      </c>
      <c r="I1272" s="0" t="n">
        <v>1</v>
      </c>
      <c r="J1272" s="0" t="n">
        <v>0</v>
      </c>
      <c r="K1272" s="0" t="n">
        <v>0</v>
      </c>
      <c r="L1272" s="0" t="n">
        <v>0</v>
      </c>
      <c r="M1272" s="0" t="n">
        <v>0</v>
      </c>
      <c r="N1272" s="0" t="n">
        <v>0</v>
      </c>
      <c r="O1272" s="0" t="n">
        <v>1</v>
      </c>
      <c r="P1272" s="0" t="n">
        <v>1</v>
      </c>
      <c r="Q1272" s="0" t="n">
        <v>0</v>
      </c>
      <c r="R1272" s="0" t="n">
        <v>0</v>
      </c>
      <c r="S1272" s="0" t="n">
        <v>0</v>
      </c>
      <c r="T1272" s="0" t="n">
        <v>0</v>
      </c>
      <c r="U1272" s="0" t="n">
        <v>0</v>
      </c>
      <c r="V1272" s="0" t="n">
        <v>0</v>
      </c>
      <c r="W1272" s="0" t="n">
        <v>0</v>
      </c>
      <c r="X1272" s="0" t="n">
        <v>0</v>
      </c>
      <c r="Y1272" s="0" t="inlineStr"/>
    </row>
    <row r="1273">
      <c r="A1273" t="inlineStr">
        <is>
          <t>2026-04-08_HWRD_at_RVRH</t>
        </is>
      </c>
      <c r="B1273" t="inlineStr">
        <is>
          <t>2026-04-08</t>
        </is>
      </c>
      <c r="C1273" t="inlineStr">
        <is>
          <t>RVRH</t>
        </is>
      </c>
      <c r="D1273" t="inlineStr">
        <is>
          <t>HWRD</t>
        </is>
      </c>
      <c r="E1273" t="inlineStr">
        <is>
          <t>C Parise</t>
        </is>
      </c>
      <c r="F1273" t="n">
        <v>4</v>
      </c>
      <c r="G1273" t="n">
        <v>3</v>
      </c>
      <c r="H1273" t="n">
        <v>2</v>
      </c>
      <c r="I1273" t="n">
        <v>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1</v>
      </c>
      <c r="P1273" t="n">
        <v>0</v>
      </c>
      <c r="Q1273" t="n">
        <v>1</v>
      </c>
      <c r="R1273" t="n">
        <v>0</v>
      </c>
      <c r="S1273" t="n">
        <v>0</v>
      </c>
      <c r="T1273" t="n">
        <v>0</v>
      </c>
      <c r="U1273" t="n">
        <v>0</v>
      </c>
      <c r="V1273" t="n">
        <v>0</v>
      </c>
      <c r="W1273" t="n">
        <v>0</v>
      </c>
      <c r="X1273" t="n">
        <v>0</v>
      </c>
      <c r="Y1273" t="inlineStr"/>
    </row>
    <row r="1274">
      <c r="A1274" t="inlineStr">
        <is>
          <t>2026-04-08_HWRD_at_RVRH</t>
        </is>
      </c>
      <c r="B1274" t="inlineStr">
        <is>
          <t>2026-04-08</t>
        </is>
      </c>
      <c r="C1274" t="inlineStr">
        <is>
          <t>RVRH</t>
        </is>
      </c>
      <c r="D1274" t="inlineStr">
        <is>
          <t>HWRD</t>
        </is>
      </c>
      <c r="E1274" t="inlineStr">
        <is>
          <t>B Giangrasso</t>
        </is>
      </c>
      <c r="F1274" t="n">
        <v>4</v>
      </c>
      <c r="G1274" t="n">
        <v>2</v>
      </c>
      <c r="H1274" t="n">
        <v>1</v>
      </c>
      <c r="I1274" t="n">
        <v>1</v>
      </c>
      <c r="J1274" t="n">
        <v>0</v>
      </c>
      <c r="K1274" t="n">
        <v>0</v>
      </c>
      <c r="L1274" t="n">
        <v>0</v>
      </c>
      <c r="M1274" t="n">
        <v>1</v>
      </c>
      <c r="N1274" t="n">
        <v>0</v>
      </c>
      <c r="O1274" t="n">
        <v>1</v>
      </c>
      <c r="P1274" t="n">
        <v>0</v>
      </c>
      <c r="Q1274" t="n">
        <v>1</v>
      </c>
      <c r="R1274" t="n">
        <v>0</v>
      </c>
      <c r="S1274" t="n">
        <v>0</v>
      </c>
      <c r="T1274" t="n">
        <v>0</v>
      </c>
      <c r="U1274" t="n">
        <v>0</v>
      </c>
      <c r="V1274" t="n">
        <v>0</v>
      </c>
      <c r="W1274" t="n">
        <v>0</v>
      </c>
      <c r="X1274" t="n">
        <v>0</v>
      </c>
      <c r="Y1274" t="inlineStr"/>
    </row>
    <row r="1275">
      <c r="A1275" t="inlineStr">
        <is>
          <t>2026-04-08_HWRD_at_RVRH</t>
        </is>
      </c>
      <c r="B1275" t="inlineStr">
        <is>
          <t>2026-04-08</t>
        </is>
      </c>
      <c r="C1275" t="inlineStr">
        <is>
          <t>RVRH</t>
        </is>
      </c>
      <c r="D1275" t="inlineStr">
        <is>
          <t>HWRD</t>
        </is>
      </c>
      <c r="E1275" t="inlineStr">
        <is>
          <t>A Proescher</t>
        </is>
      </c>
      <c r="F1275" t="n">
        <v>4</v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2</v>
      </c>
      <c r="P1275" t="n">
        <v>1</v>
      </c>
      <c r="Q1275" t="n">
        <v>1</v>
      </c>
      <c r="R1275" t="n">
        <v>1</v>
      </c>
      <c r="S1275" t="n">
        <v>1</v>
      </c>
      <c r="T1275" t="n">
        <v>0</v>
      </c>
      <c r="U1275" t="n">
        <v>0</v>
      </c>
      <c r="V1275" t="n">
        <v>0</v>
      </c>
      <c r="W1275" t="n">
        <v>0</v>
      </c>
      <c r="X1275" t="n">
        <v>2</v>
      </c>
      <c r="Y1275" t="inlineStr">
        <is>
          <t>Courtesy runner M Parise; run credit to A Proescher</t>
        </is>
      </c>
    </row>
    <row r="1276">
      <c r="A1276" t="inlineStr">
        <is>
          <t>2026-04-08_HWRD_at_RVRH</t>
        </is>
      </c>
      <c r="B1276" t="inlineStr">
        <is>
          <t>2026-04-08</t>
        </is>
      </c>
      <c r="C1276" t="inlineStr">
        <is>
          <t>RVRH</t>
        </is>
      </c>
      <c r="D1276" t="inlineStr">
        <is>
          <t>HWRD</t>
        </is>
      </c>
      <c r="E1276" t="inlineStr">
        <is>
          <t>D Heim</t>
        </is>
      </c>
      <c r="F1276" t="n">
        <v>3</v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t="n">
        <v>0</v>
      </c>
      <c r="W1276" t="n">
        <v>0</v>
      </c>
      <c r="X1276" t="n">
        <v>1</v>
      </c>
      <c r="Y1276" t="inlineStr"/>
    </row>
    <row r="1277">
      <c r="A1277" t="inlineStr">
        <is>
          <t>2026-04-08_HWRD_at_RVRH</t>
        </is>
      </c>
      <c r="B1277" t="inlineStr">
        <is>
          <t>2026-04-08</t>
        </is>
      </c>
      <c r="C1277" t="inlineStr">
        <is>
          <t>RVRH</t>
        </is>
      </c>
      <c r="D1277" t="inlineStr">
        <is>
          <t>HWRD</t>
        </is>
      </c>
      <c r="E1277" t="inlineStr">
        <is>
          <t>B Sawyer</t>
        </is>
      </c>
      <c r="F1277" t="n">
        <v>3</v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1</v>
      </c>
      <c r="P1277" t="n">
        <v>0</v>
      </c>
      <c r="Q1277" t="n">
        <v>1</v>
      </c>
      <c r="R1277" t="n">
        <v>0</v>
      </c>
      <c r="S1277" t="n">
        <v>0</v>
      </c>
      <c r="T1277" t="n">
        <v>0</v>
      </c>
      <c r="U1277" t="n">
        <v>0</v>
      </c>
      <c r="V1277" t="n">
        <v>0</v>
      </c>
      <c r="W1277" t="n">
        <v>0</v>
      </c>
      <c r="X1277" t="n">
        <v>0</v>
      </c>
      <c r="Y1277" t="inlineStr"/>
    </row>
    <row r="1278">
      <c r="A1278" t="inlineStr">
        <is>
          <t>2026-04-08_HWRD_at_RVRH</t>
        </is>
      </c>
      <c r="B1278" t="inlineStr">
        <is>
          <t>2026-04-08</t>
        </is>
      </c>
      <c r="C1278" t="inlineStr">
        <is>
          <t>RVRH</t>
        </is>
      </c>
      <c r="D1278" t="inlineStr">
        <is>
          <t>HWRD</t>
        </is>
      </c>
      <c r="E1278" t="inlineStr">
        <is>
          <t>G Nystrom</t>
        </is>
      </c>
      <c r="F1278" t="n">
        <v>3</v>
      </c>
      <c r="G1278" t="n">
        <v>3</v>
      </c>
      <c r="H1278" t="n">
        <v>1</v>
      </c>
      <c r="I1278" t="n">
        <v>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1</v>
      </c>
      <c r="S1278" t="n">
        <v>0</v>
      </c>
      <c r="T1278" t="n">
        <v>0</v>
      </c>
      <c r="U1278" t="n">
        <v>0</v>
      </c>
      <c r="V1278" t="n">
        <v>0</v>
      </c>
      <c r="W1278" t="n">
        <v>0</v>
      </c>
      <c r="X1278" t="n">
        <v>0</v>
      </c>
      <c r="Y1278" t="inlineStr"/>
    </row>
    <row r="1279">
      <c r="A1279" t="inlineStr">
        <is>
          <t>2026-04-08_HWRD_at_RVRH</t>
        </is>
      </c>
      <c r="B1279" t="inlineStr">
        <is>
          <t>2026-04-08</t>
        </is>
      </c>
      <c r="C1279" t="inlineStr">
        <is>
          <t>RVRH</t>
        </is>
      </c>
      <c r="D1279" t="inlineStr">
        <is>
          <t>HWRD</t>
        </is>
      </c>
      <c r="E1279" t="inlineStr">
        <is>
          <t>D Alves</t>
        </is>
      </c>
      <c r="F1279" t="n">
        <v>3</v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t="n">
        <v>0</v>
      </c>
      <c r="W1279" t="n">
        <v>2</v>
      </c>
      <c r="X1279" t="n">
        <v>0</v>
      </c>
      <c r="Y1279" t="inlineStr"/>
    </row>
    <row r="1280">
      <c r="A1280" t="inlineStr">
        <is>
          <t>2026-04-08_HWRD_at_RVRH</t>
        </is>
      </c>
      <c r="B1280" t="inlineStr">
        <is>
          <t>2026-04-08</t>
        </is>
      </c>
      <c r="C1280" t="inlineStr">
        <is>
          <t>RVRH</t>
        </is>
      </c>
      <c r="D1280" t="inlineStr">
        <is>
          <t>HWRD</t>
        </is>
      </c>
      <c r="E1280" t="inlineStr">
        <is>
          <t>N Hegedus</t>
        </is>
      </c>
      <c r="F1280" t="n">
        <v>3</v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1</v>
      </c>
      <c r="P1280" t="n">
        <v>1</v>
      </c>
      <c r="Q1280" t="n">
        <v>0</v>
      </c>
      <c r="R1280" t="n">
        <v>1</v>
      </c>
      <c r="S1280" t="n">
        <v>1</v>
      </c>
      <c r="T1280" t="n">
        <v>0</v>
      </c>
      <c r="U1280" t="n">
        <v>0</v>
      </c>
      <c r="V1280" t="n">
        <v>0</v>
      </c>
      <c r="W1280" t="n">
        <v>1</v>
      </c>
      <c r="X1280" t="n">
        <v>0</v>
      </c>
      <c r="Y1280" t="inlineStr">
        <is>
          <t>Courtesy runner T Estrada; run credit to N Hegedus</t>
        </is>
      </c>
    </row>
    <row r="1281">
      <c r="A1281" t="inlineStr">
        <is>
          <t>2026-04-08_HWRD_at_RVRH</t>
        </is>
      </c>
      <c r="B1281" t="inlineStr">
        <is>
          <t>2026-04-08</t>
        </is>
      </c>
      <c r="C1281" t="inlineStr">
        <is>
          <t>RVRH</t>
        </is>
      </c>
      <c r="D1281" t="inlineStr">
        <is>
          <t>HWRD</t>
        </is>
      </c>
      <c r="E1281" t="inlineStr">
        <is>
          <t>C Hudson</t>
        </is>
      </c>
      <c r="F1281" t="n">
        <v>3</v>
      </c>
      <c r="G1281" t="n">
        <v>3</v>
      </c>
      <c r="H1281" t="n">
        <v>2</v>
      </c>
      <c r="I1281" t="n">
        <v>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2</v>
      </c>
      <c r="P1281" t="n">
        <v>2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t="n">
        <v>0</v>
      </c>
      <c r="W1281" t="n">
        <v>0</v>
      </c>
      <c r="X1281" t="n">
        <v>0</v>
      </c>
      <c r="Y1281" t="inlineStr"/>
    </row>
    <row r="1282">
      <c r="A1282" t="inlineStr">
        <is>
          <t>2026-04-08_HWRD_at_RVRH</t>
        </is>
      </c>
      <c r="B1282" t="inlineStr">
        <is>
          <t>2026-04-08</t>
        </is>
      </c>
      <c r="C1282" t="inlineStr">
        <is>
          <t>RVRH</t>
        </is>
      </c>
      <c r="D1282" t="inlineStr">
        <is>
          <t>RVRH</t>
        </is>
      </c>
      <c r="E1282" t="inlineStr">
        <is>
          <t>R Walsh</t>
        </is>
      </c>
      <c r="F1282" t="n">
        <v>3</v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2</v>
      </c>
      <c r="P1282" t="n">
        <v>0</v>
      </c>
      <c r="Q1282" t="n">
        <v>2</v>
      </c>
      <c r="R1282" t="n">
        <v>0</v>
      </c>
      <c r="S1282" t="n">
        <v>0</v>
      </c>
      <c r="T1282" t="n">
        <v>0</v>
      </c>
      <c r="U1282" t="n">
        <v>1</v>
      </c>
      <c r="V1282" t="n">
        <v>0</v>
      </c>
      <c r="W1282" t="n">
        <v>0</v>
      </c>
      <c r="X1282" t="n">
        <v>0</v>
      </c>
      <c r="Y1282" t="inlineStr"/>
    </row>
    <row r="1283">
      <c r="A1283" t="inlineStr">
        <is>
          <t>2026-04-08_HWRD_at_RVRH</t>
        </is>
      </c>
      <c r="B1283" t="inlineStr">
        <is>
          <t>2026-04-08</t>
        </is>
      </c>
      <c r="C1283" t="inlineStr">
        <is>
          <t>RVRH</t>
        </is>
      </c>
      <c r="D1283" t="inlineStr">
        <is>
          <t>RVRH</t>
        </is>
      </c>
      <c r="E1283" t="inlineStr">
        <is>
          <t>C Reis</t>
        </is>
      </c>
      <c r="F1283" t="n">
        <v>3</v>
      </c>
      <c r="G1283" t="n">
        <v>1</v>
      </c>
      <c r="H1283" t="n">
        <v>2</v>
      </c>
      <c r="I1283" t="n">
        <v>2</v>
      </c>
      <c r="J1283" t="n">
        <v>0</v>
      </c>
      <c r="K1283" t="n">
        <v>0</v>
      </c>
      <c r="L1283" t="n">
        <v>0</v>
      </c>
      <c r="M1283" t="n">
        <v>1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t="n">
        <v>0</v>
      </c>
      <c r="W1283" t="n">
        <v>0</v>
      </c>
      <c r="X1283" t="n">
        <v>0</v>
      </c>
      <c r="Y1283" t="inlineStr"/>
    </row>
    <row r="1284">
      <c r="A1284" t="inlineStr">
        <is>
          <t>2026-04-08_HWRD_at_RVRH</t>
        </is>
      </c>
      <c r="B1284" t="inlineStr">
        <is>
          <t>2026-04-08</t>
        </is>
      </c>
      <c r="C1284" t="inlineStr">
        <is>
          <t>RVRH</t>
        </is>
      </c>
      <c r="D1284" t="inlineStr">
        <is>
          <t>RVRH</t>
        </is>
      </c>
      <c r="E1284" t="inlineStr">
        <is>
          <t>J Norwood</t>
        </is>
      </c>
      <c r="F1284" t="n">
        <v>3</v>
      </c>
      <c r="G1284" t="n">
        <v>3</v>
      </c>
      <c r="H1284" t="n">
        <v>2</v>
      </c>
      <c r="I1284" t="n">
        <v>1</v>
      </c>
      <c r="J1284" t="n">
        <v>0</v>
      </c>
      <c r="K1284" t="n">
        <v>0</v>
      </c>
      <c r="L1284" t="n">
        <v>1</v>
      </c>
      <c r="M1284" t="n">
        <v>0</v>
      </c>
      <c r="N1284" t="n">
        <v>0</v>
      </c>
      <c r="O1284" t="n">
        <v>1</v>
      </c>
      <c r="P1284" t="n">
        <v>1</v>
      </c>
      <c r="Q1284" t="n">
        <v>0</v>
      </c>
      <c r="R1284" t="n">
        <v>1</v>
      </c>
      <c r="S1284" t="n">
        <v>1</v>
      </c>
      <c r="T1284" t="n">
        <v>0</v>
      </c>
      <c r="U1284" t="n">
        <v>0</v>
      </c>
      <c r="V1284" t="n">
        <v>1</v>
      </c>
      <c r="W1284" t="n">
        <v>0</v>
      </c>
      <c r="X1284" t="n">
        <v>0</v>
      </c>
      <c r="Y1284" t="inlineStr">
        <is>
          <t>Walk-off HR in 7th</t>
        </is>
      </c>
    </row>
    <row r="1285">
      <c r="A1285" t="inlineStr">
        <is>
          <t>2026-04-08_HWRD_at_RVRH</t>
        </is>
      </c>
      <c r="B1285" t="inlineStr">
        <is>
          <t>2026-04-08</t>
        </is>
      </c>
      <c r="C1285" t="inlineStr">
        <is>
          <t>RVRH</t>
        </is>
      </c>
      <c r="D1285" t="inlineStr">
        <is>
          <t>RVRH</t>
        </is>
      </c>
      <c r="E1285" t="inlineStr">
        <is>
          <t>H Zhang</t>
        </is>
      </c>
      <c r="F1285" t="n">
        <v>2</v>
      </c>
      <c r="G1285" t="n">
        <v>2</v>
      </c>
      <c r="H1285" t="n">
        <v>1</v>
      </c>
      <c r="I1285" t="n">
        <v>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t="n">
        <v>1</v>
      </c>
      <c r="W1285" t="n">
        <v>0</v>
      </c>
      <c r="X1285" t="n">
        <v>0</v>
      </c>
      <c r="Y1285" t="inlineStr">
        <is>
          <t>Courtesy runner E Skolkin</t>
        </is>
      </c>
    </row>
    <row r="1286">
      <c r="A1286" t="inlineStr">
        <is>
          <t>2026-04-08_HWRD_at_RVRH</t>
        </is>
      </c>
      <c r="B1286" t="inlineStr">
        <is>
          <t>2026-04-08</t>
        </is>
      </c>
      <c r="C1286" t="inlineStr">
        <is>
          <t>RVRH</t>
        </is>
      </c>
      <c r="D1286" t="inlineStr">
        <is>
          <t>RVRH</t>
        </is>
      </c>
      <c r="E1286" t="inlineStr">
        <is>
          <t>C Naecker</t>
        </is>
      </c>
      <c r="F1286" t="n">
        <v>2</v>
      </c>
      <c r="G1286" t="n">
        <v>2</v>
      </c>
      <c r="H1286" t="n">
        <v>1</v>
      </c>
      <c r="I1286" t="n">
        <v>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1</v>
      </c>
      <c r="S1286" t="n">
        <v>0</v>
      </c>
      <c r="T1286" t="n">
        <v>0</v>
      </c>
      <c r="U1286" t="n">
        <v>0</v>
      </c>
      <c r="V1286" t="n">
        <v>0</v>
      </c>
      <c r="W1286" t="n">
        <v>0</v>
      </c>
      <c r="X1286" t="n">
        <v>0</v>
      </c>
      <c r="Y1286" t="inlineStr"/>
    </row>
    <row r="1287">
      <c r="A1287" t="inlineStr">
        <is>
          <t>2026-04-08_HWRD_at_RVRH</t>
        </is>
      </c>
      <c r="B1287" t="inlineStr">
        <is>
          <t>2026-04-08</t>
        </is>
      </c>
      <c r="C1287" t="inlineStr">
        <is>
          <t>RVRH</t>
        </is>
      </c>
      <c r="D1287" t="inlineStr">
        <is>
          <t>RVRH</t>
        </is>
      </c>
      <c r="E1287" t="inlineStr">
        <is>
          <t>G Dang</t>
        </is>
      </c>
      <c r="F1287" t="n">
        <v>2</v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1</v>
      </c>
      <c r="O1287" t="n">
        <v>1</v>
      </c>
      <c r="P1287" t="n">
        <v>1</v>
      </c>
      <c r="Q1287" t="n">
        <v>0</v>
      </c>
      <c r="R1287" t="n">
        <v>1</v>
      </c>
      <c r="S1287" t="n">
        <v>1</v>
      </c>
      <c r="T1287" t="n">
        <v>0</v>
      </c>
      <c r="U1287" t="n">
        <v>0</v>
      </c>
      <c r="V1287" t="n">
        <v>0</v>
      </c>
      <c r="W1287" t="n">
        <v>0</v>
      </c>
      <c r="X1287" t="n">
        <v>0</v>
      </c>
      <c r="Y1287" t="inlineStr">
        <is>
          <t>Courtesy runner C McClellan; run credit to G Dang</t>
        </is>
      </c>
    </row>
    <row r="1288">
      <c r="A1288" t="inlineStr">
        <is>
          <t>2026-04-08_HWRD_at_RVRH</t>
        </is>
      </c>
      <c r="B1288" t="inlineStr">
        <is>
          <t>2026-04-08</t>
        </is>
      </c>
      <c r="C1288" t="inlineStr">
        <is>
          <t>RVRH</t>
        </is>
      </c>
      <c r="D1288" t="inlineStr">
        <is>
          <t>RVRH</t>
        </is>
      </c>
      <c r="E1288" t="inlineStr">
        <is>
          <t>A Fields</t>
        </is>
      </c>
      <c r="F1288" t="n">
        <v>2</v>
      </c>
      <c r="G1288" t="n">
        <v>2</v>
      </c>
      <c r="H1288" t="n">
        <v>1</v>
      </c>
      <c r="I1288" t="n">
        <v>1</v>
      </c>
      <c r="J1288" t="n">
        <v>0</v>
      </c>
      <c r="K1288" t="n">
        <v>0</v>
      </c>
      <c r="L1288" t="n">
        <v>0</v>
      </c>
      <c r="M1288" t="n">
        <v>1</v>
      </c>
      <c r="N1288" t="n">
        <v>0</v>
      </c>
      <c r="O1288" t="n">
        <v>1</v>
      </c>
      <c r="P1288" t="n">
        <v>0</v>
      </c>
      <c r="Q1288" t="n">
        <v>1</v>
      </c>
      <c r="R1288" t="n">
        <v>0</v>
      </c>
      <c r="S1288" t="n">
        <v>0</v>
      </c>
      <c r="T1288" t="n">
        <v>0</v>
      </c>
      <c r="U1288" t="n">
        <v>0</v>
      </c>
      <c r="V1288" t="n">
        <v>0</v>
      </c>
      <c r="W1288" t="n">
        <v>0</v>
      </c>
      <c r="X1288" t="n">
        <v>1</v>
      </c>
      <c r="Y1288" t="inlineStr"/>
    </row>
    <row r="1289">
      <c r="A1289" t="inlineStr">
        <is>
          <t>2026-04-08_HWRD_at_RVRH</t>
        </is>
      </c>
      <c r="B1289" t="inlineStr">
        <is>
          <t>2026-04-08</t>
        </is>
      </c>
      <c r="C1289" t="inlineStr">
        <is>
          <t>RVRH</t>
        </is>
      </c>
      <c r="D1289" t="inlineStr">
        <is>
          <t>RVRH</t>
        </is>
      </c>
      <c r="E1289" t="inlineStr">
        <is>
          <t>E McCoy</t>
        </is>
      </c>
      <c r="F1289" t="n">
        <v>2</v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1</v>
      </c>
      <c r="P1289" t="n">
        <v>0</v>
      </c>
      <c r="Q1289" t="n">
        <v>1</v>
      </c>
      <c r="R1289" t="n">
        <v>0</v>
      </c>
      <c r="S1289" t="n">
        <v>0</v>
      </c>
      <c r="T1289" t="n">
        <v>0</v>
      </c>
      <c r="U1289" t="n">
        <v>0</v>
      </c>
      <c r="V1289" t="n">
        <v>0</v>
      </c>
      <c r="W1289" t="n">
        <v>0</v>
      </c>
      <c r="X1289" t="n">
        <v>1</v>
      </c>
      <c r="Y1289" t="inlineStr"/>
    </row>
    <row r="1290">
      <c r="A1290" t="inlineStr">
        <is>
          <t>2026-04-08_HWRD_at_RVRH</t>
        </is>
      </c>
      <c r="B1290" t="inlineStr">
        <is>
          <t>2026-04-08</t>
        </is>
      </c>
      <c r="C1290" t="inlineStr">
        <is>
          <t>RVRH</t>
        </is>
      </c>
      <c r="D1290" t="inlineStr">
        <is>
          <t>RVRH</t>
        </is>
      </c>
      <c r="E1290" t="inlineStr">
        <is>
          <t>A Contreras</t>
        </is>
      </c>
      <c r="F1290" t="n">
        <v>2</v>
      </c>
      <c r="G1290" t="n">
        <v>2</v>
      </c>
      <c r="H1290" t="n">
        <v>2</v>
      </c>
      <c r="I1290" t="n">
        <v>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1</v>
      </c>
      <c r="T1290" t="n">
        <v>1</v>
      </c>
      <c r="U1290" t="n">
        <v>0</v>
      </c>
      <c r="V1290" t="n">
        <v>0</v>
      </c>
      <c r="W1290" t="n">
        <v>0</v>
      </c>
      <c r="X1290" t="n">
        <v>0</v>
      </c>
      <c r="Y1290" t="inlineStr"/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60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F2" sqref="F2"/>
    </sheetView>
  </sheetViews>
  <sheetFormatPr baseColWidth="8" defaultColWidth="14.43" defaultRowHeight="15" customHeight="1"/>
  <cols>
    <col width="28" customWidth="1" style="35" min="1" max="1"/>
    <col width="12" customWidth="1" style="35" min="2" max="2"/>
    <col width="22" customWidth="1" style="35" min="3" max="3"/>
    <col width="6" customWidth="1" style="35" min="4" max="4"/>
    <col width="14" customWidth="1" style="35" min="5" max="5"/>
    <col width="8" customWidth="1" style="35" min="6" max="6"/>
    <col width="6" customWidth="1" style="35" min="7" max="7"/>
    <col width="9" customWidth="1" style="35" min="8" max="14"/>
    <col width="6" customWidth="1" style="35" min="15" max="15"/>
    <col width="9" customWidth="1" style="35" min="16" max="16"/>
    <col width="6" customWidth="1" style="35" min="17" max="17"/>
    <col width="75" customWidth="1" style="35" min="18" max="18"/>
    <col width="8.710000000000001" customWidth="1" style="35" min="19" max="26"/>
  </cols>
  <sheetData>
    <row r="1">
      <c r="A1" s="4" t="inlineStr">
        <is>
          <t>Game_ID</t>
        </is>
      </c>
      <c r="B1" s="4" t="inlineStr">
        <is>
          <t>Game_Date</t>
        </is>
      </c>
      <c r="C1" s="4" t="inlineStr">
        <is>
          <t>Opponent</t>
        </is>
      </c>
      <c r="D1" s="4" t="inlineStr">
        <is>
          <t>Team</t>
        </is>
      </c>
      <c r="E1" s="4" t="inlineStr">
        <is>
          <t>Pitcher</t>
        </is>
      </c>
      <c r="F1" s="4" t="inlineStr">
        <is>
          <t>Outs_Recorded</t>
        </is>
      </c>
      <c r="G1" s="4" t="inlineStr">
        <is>
          <t>BF</t>
        </is>
      </c>
      <c r="H1" s="4" t="inlineStr">
        <is>
          <t>H_Allowed</t>
        </is>
      </c>
      <c r="I1" s="4" t="inlineStr">
        <is>
          <t>1B_Allowed</t>
        </is>
      </c>
      <c r="J1" s="4" t="inlineStr">
        <is>
          <t>2B_Allowed</t>
        </is>
      </c>
      <c r="K1" s="4" t="inlineStr">
        <is>
          <t>3B_Allowed</t>
        </is>
      </c>
      <c r="L1" s="4" t="inlineStr">
        <is>
          <t>HR_Allowed</t>
        </is>
      </c>
      <c r="M1" s="4" t="inlineStr">
        <is>
          <t>BB_Allowed</t>
        </is>
      </c>
      <c r="N1" s="4" t="inlineStr">
        <is>
          <t>HBP_Allowed</t>
        </is>
      </c>
      <c r="O1" s="4" t="inlineStr">
        <is>
          <t>K</t>
        </is>
      </c>
      <c r="P1" s="4" t="inlineStr">
        <is>
          <t>R_Allowed</t>
        </is>
      </c>
      <c r="Q1" s="4" t="inlineStr">
        <is>
          <t>WP</t>
        </is>
      </c>
      <c r="R1" s="4" t="inlineStr">
        <is>
          <t>Notes</t>
        </is>
      </c>
    </row>
    <row r="2" ht="39.75" customHeight="1" s="35">
      <c r="A2" s="8" t="inlineStr">
        <is>
          <t>2026-03-10_RVRH_at_WSTF</t>
        </is>
      </c>
      <c r="B2" s="2" t="n">
        <v>46091</v>
      </c>
      <c r="C2" s="8" t="inlineStr">
        <is>
          <t>Westfield High School</t>
        </is>
      </c>
      <c r="D2" s="8" t="inlineStr">
        <is>
          <t>RVRH</t>
        </is>
      </c>
      <c r="E2" s="8" t="inlineStr">
        <is>
          <t>R Walsh</t>
        </is>
      </c>
      <c r="F2" s="8" t="n">
        <v>6</v>
      </c>
      <c r="G2" s="8" t="n">
        <v>9</v>
      </c>
      <c r="H2" s="8" t="n">
        <v>1</v>
      </c>
      <c r="I2" s="8" t="n">
        <v>1</v>
      </c>
      <c r="J2" s="8" t="n">
        <v>0</v>
      </c>
      <c r="K2" s="8" t="n">
        <v>0</v>
      </c>
      <c r="L2" s="8" t="n">
        <v>0</v>
      </c>
      <c r="M2" s="8" t="n">
        <v>2</v>
      </c>
      <c r="N2" s="8" t="n">
        <v>0</v>
      </c>
      <c r="O2" s="8" t="n">
        <v>2</v>
      </c>
      <c r="P2" s="8" t="n">
        <v>0</v>
      </c>
      <c r="Q2" s="8" t="n">
        <v>0</v>
      </c>
      <c r="R2" s="8" t="inlineStr">
        <is>
          <t>B1-B2; exit not explicitly logged — inferred from J Norwood pitching B3</t>
        </is>
      </c>
    </row>
    <row r="3" ht="39.75" customHeight="1" s="35">
      <c r="A3" s="8" t="inlineStr">
        <is>
          <t>2026-03-10_RVRH_at_WSTF</t>
        </is>
      </c>
      <c r="B3" s="2" t="n">
        <v>46091</v>
      </c>
      <c r="C3" s="8" t="inlineStr">
        <is>
          <t>Westfield High School</t>
        </is>
      </c>
      <c r="D3" s="8" t="inlineStr">
        <is>
          <t>RVRH</t>
        </is>
      </c>
      <c r="E3" s="8" t="inlineStr">
        <is>
          <t>J Norwood</t>
        </is>
      </c>
      <c r="F3" s="8" t="n">
        <v>3</v>
      </c>
      <c r="G3" s="8" t="n">
        <v>3</v>
      </c>
      <c r="H3" s="8" t="n">
        <v>0</v>
      </c>
      <c r="I3" s="8" t="n">
        <v>0</v>
      </c>
      <c r="J3" s="8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8" t="n">
        <v>2</v>
      </c>
      <c r="P3" s="8" t="n">
        <v>0</v>
      </c>
      <c r="Q3" s="8" t="n">
        <v>0</v>
      </c>
      <c r="R3" s="8" t="inlineStr">
        <is>
          <t>B3; entry not logged with 'Lineup changed' note; inferred from play descriptions; also bats and plays 1B</t>
        </is>
      </c>
    </row>
    <row r="4" ht="39.75" customHeight="1" s="35">
      <c r="A4" s="8" t="inlineStr">
        <is>
          <t>2026-03-10_RVRH_at_WSTF</t>
        </is>
      </c>
      <c r="B4" s="2" t="n">
        <v>46091</v>
      </c>
      <c r="C4" s="8" t="inlineStr">
        <is>
          <t>Westfield High School</t>
        </is>
      </c>
      <c r="D4" s="8" t="inlineStr">
        <is>
          <t>RVRH</t>
        </is>
      </c>
      <c r="E4" s="8" t="inlineStr">
        <is>
          <t>J Jenkins</t>
        </is>
      </c>
      <c r="F4" s="8" t="n">
        <v>3</v>
      </c>
      <c r="G4" s="8" t="n">
        <v>5</v>
      </c>
      <c r="H4" s="8" t="n">
        <v>1</v>
      </c>
      <c r="I4" s="8" t="n">
        <v>1</v>
      </c>
      <c r="J4" s="8" t="n">
        <v>0</v>
      </c>
      <c r="K4" s="8" t="n">
        <v>0</v>
      </c>
      <c r="L4" s="8" t="n">
        <v>0</v>
      </c>
      <c r="M4" s="8" t="n">
        <v>1</v>
      </c>
      <c r="N4" s="8" t="n">
        <v>0</v>
      </c>
      <c r="O4" s="8" t="n">
        <v>0</v>
      </c>
      <c r="P4" s="8" t="n">
        <v>1</v>
      </c>
      <c r="Q4" s="8" t="n">
        <v>1</v>
      </c>
      <c r="R4" s="8" t="inlineStr">
        <is>
          <t>B4; 'Lineup changed: J Jenkins in at pitcher' play #36; WP embedded in play #40 pitch sequence</t>
        </is>
      </c>
    </row>
    <row r="5" ht="39.75" customHeight="1" s="35">
      <c r="A5" s="8" t="inlineStr">
        <is>
          <t>2026-03-10_RVRH_at_WSTF</t>
        </is>
      </c>
      <c r="B5" s="2" t="n">
        <v>46091</v>
      </c>
      <c r="C5" s="8" t="inlineStr">
        <is>
          <t>Westfield High School</t>
        </is>
      </c>
      <c r="D5" s="8" t="inlineStr">
        <is>
          <t>RVRH</t>
        </is>
      </c>
      <c r="E5" s="8" t="inlineStr">
        <is>
          <t>R Ronayne</t>
        </is>
      </c>
      <c r="F5" s="8" t="n">
        <v>6</v>
      </c>
      <c r="G5" s="8" t="n">
        <v>9</v>
      </c>
      <c r="H5" s="8" t="n">
        <v>2</v>
      </c>
      <c r="I5" s="8" t="n">
        <v>2</v>
      </c>
      <c r="J5" s="8" t="n">
        <v>0</v>
      </c>
      <c r="K5" s="8" t="n">
        <v>0</v>
      </c>
      <c r="L5" s="8" t="n">
        <v>0</v>
      </c>
      <c r="M5" s="8" t="n">
        <v>0</v>
      </c>
      <c r="N5" s="8" t="n">
        <v>1</v>
      </c>
      <c r="O5" s="8" t="n">
        <v>1</v>
      </c>
      <c r="P5" s="8" t="n">
        <v>2</v>
      </c>
      <c r="Q5" s="8" t="n">
        <v>0</v>
      </c>
      <c r="R5" s="8" t="inlineStr">
        <is>
          <t>B5-B6; also PH bats T7; HBP to WSTF_#9 play #45</t>
        </is>
      </c>
    </row>
    <row r="6" ht="39.75" customHeight="1" s="35">
      <c r="A6" s="8" t="inlineStr">
        <is>
          <t>2026-03-10_RVRH_at_WSTF</t>
        </is>
      </c>
      <c r="B6" s="2" t="n">
        <v>46091</v>
      </c>
      <c r="C6" s="8" t="inlineStr">
        <is>
          <t>Westfield High School</t>
        </is>
      </c>
      <c r="D6" s="8" t="inlineStr">
        <is>
          <t>RVRH</t>
        </is>
      </c>
      <c r="E6" s="8" t="inlineStr">
        <is>
          <t>C Reis</t>
        </is>
      </c>
      <c r="F6" s="8" t="n">
        <v>3</v>
      </c>
      <c r="G6" s="8" t="n">
        <v>3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1</v>
      </c>
      <c r="N6" s="8" t="n">
        <v>0</v>
      </c>
      <c r="O6" s="8" t="n">
        <v>0</v>
      </c>
      <c r="P6" s="8" t="n">
        <v>0</v>
      </c>
      <c r="Q6" s="8" t="n">
        <v>0</v>
      </c>
      <c r="R6" s="8" t="inlineStr">
        <is>
          <t>B7; 'Lineup changed: C Reis in at pitcher' play #63; also bats</t>
        </is>
      </c>
    </row>
    <row r="7" ht="39.75" customHeight="1" s="35">
      <c r="A7" s="8" t="inlineStr">
        <is>
          <t>2026-03-10_RVRH_at_WSTF</t>
        </is>
      </c>
      <c r="B7" s="2" t="n">
        <v>46091</v>
      </c>
      <c r="C7" s="8" t="inlineStr">
        <is>
          <t>Westfield High School</t>
        </is>
      </c>
      <c r="D7" s="8" t="inlineStr">
        <is>
          <t>RVRH</t>
        </is>
      </c>
      <c r="E7" s="8" t="inlineStr">
        <is>
          <t>C Nichols</t>
        </is>
      </c>
      <c r="F7" s="8" t="n">
        <v>2</v>
      </c>
      <c r="G7" s="8" t="n">
        <v>9</v>
      </c>
      <c r="H7" s="8" t="n">
        <v>5</v>
      </c>
      <c r="I7" s="8" t="n">
        <v>4</v>
      </c>
      <c r="J7" s="8" t="n">
        <v>0</v>
      </c>
      <c r="K7" s="8" t="n">
        <v>1</v>
      </c>
      <c r="L7" s="8" t="n">
        <v>0</v>
      </c>
      <c r="M7" s="8" t="n">
        <v>1</v>
      </c>
      <c r="N7" s="8" t="n">
        <v>0</v>
      </c>
      <c r="O7" s="8" t="n">
        <v>0</v>
      </c>
      <c r="P7" s="8" t="n">
        <v>5</v>
      </c>
      <c r="Q7" s="8" t="n">
        <v>0</v>
      </c>
      <c r="R7" s="8" t="inlineStr">
        <is>
          <t>B8; walk-off loss — game ended with 2 outs; 5 R allowed in final inning; also bats</t>
        </is>
      </c>
    </row>
    <row r="8" ht="39.75" customHeight="1" s="35">
      <c r="A8" s="8" t="inlineStr">
        <is>
          <t>2026-03-10_RVRH_at_WSTF</t>
        </is>
      </c>
      <c r="B8" s="2" t="n">
        <v>46091</v>
      </c>
      <c r="C8" s="8" t="inlineStr">
        <is>
          <t>Westfield High School</t>
        </is>
      </c>
      <c r="D8" s="8" t="inlineStr">
        <is>
          <t>WSTF</t>
        </is>
      </c>
      <c r="E8" s="8" t="inlineStr">
        <is>
          <t>WSTF_#1</t>
        </is>
      </c>
      <c r="F8" s="8" t="n">
        <v>6</v>
      </c>
      <c r="G8" s="8" t="n">
        <v>10</v>
      </c>
      <c r="H8" s="8" t="n">
        <v>4</v>
      </c>
      <c r="I8" s="8" t="n">
        <v>2</v>
      </c>
      <c r="J8" s="8" t="n">
        <v>2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3</v>
      </c>
      <c r="P8" s="8" t="n">
        <v>3</v>
      </c>
      <c r="Q8" s="8" t="n">
        <v>0</v>
      </c>
      <c r="R8" s="8" t="inlineStr">
        <is>
          <t>T1-T2; 'Lineup changed: #1 in at pitcher' noted play #1; allowed 3 R in T1</t>
        </is>
      </c>
    </row>
    <row r="9" ht="39.75" customHeight="1" s="35">
      <c r="A9" s="8" t="inlineStr">
        <is>
          <t>2026-03-10_RVRH_at_WSTF</t>
        </is>
      </c>
      <c r="B9" s="2" t="n">
        <v>46091</v>
      </c>
      <c r="C9" s="8" t="inlineStr">
        <is>
          <t>Westfield High School</t>
        </is>
      </c>
      <c r="D9" s="8" t="inlineStr">
        <is>
          <t>WSTF</t>
        </is>
      </c>
      <c r="E9" s="8" t="inlineStr">
        <is>
          <t>WSTF_#9</t>
        </is>
      </c>
      <c r="F9" s="8" t="n">
        <v>6</v>
      </c>
      <c r="G9" s="8" t="n">
        <v>11</v>
      </c>
      <c r="H9" s="8" t="n">
        <v>2</v>
      </c>
      <c r="I9" s="8" t="n">
        <v>2</v>
      </c>
      <c r="J9" s="8" t="n">
        <v>0</v>
      </c>
      <c r="K9" s="8" t="n">
        <v>0</v>
      </c>
      <c r="L9" s="8" t="n">
        <v>0</v>
      </c>
      <c r="M9" s="8" t="n">
        <v>3</v>
      </c>
      <c r="N9" s="8" t="n">
        <v>0</v>
      </c>
      <c r="O9" s="8" t="n">
        <v>4</v>
      </c>
      <c r="P9" s="8" t="n">
        <v>0</v>
      </c>
      <c r="Q9" s="8" t="n">
        <v>0</v>
      </c>
      <c r="R9" s="8" t="inlineStr">
        <is>
          <t>T3 + partial T4 (3 BF, 0 outs) + T8; non-consecutive stints combined; entry to T3 not explicitly logged; also bats</t>
        </is>
      </c>
    </row>
    <row r="10" ht="39.75" customHeight="1" s="35">
      <c r="A10" s="8" t="inlineStr">
        <is>
          <t>2026-03-10_RVRH_at_WSTF</t>
        </is>
      </c>
      <c r="B10" s="2" t="n">
        <v>46091</v>
      </c>
      <c r="C10" s="8" t="inlineStr">
        <is>
          <t>Westfield High School</t>
        </is>
      </c>
      <c r="D10" s="8" t="inlineStr">
        <is>
          <t>WSTF</t>
        </is>
      </c>
      <c r="E10" s="8" t="inlineStr">
        <is>
          <t>WSTF_#8</t>
        </is>
      </c>
      <c r="F10" s="8" t="n">
        <v>5</v>
      </c>
      <c r="G10" s="8" t="n">
        <v>8</v>
      </c>
      <c r="H10" s="8" t="n">
        <v>2</v>
      </c>
      <c r="I10" s="8" t="n">
        <v>2</v>
      </c>
      <c r="J10" s="8" t="n">
        <v>0</v>
      </c>
      <c r="K10" s="8" t="n">
        <v>0</v>
      </c>
      <c r="L10" s="8" t="n">
        <v>0</v>
      </c>
      <c r="M10" s="8" t="n">
        <v>1</v>
      </c>
      <c r="N10" s="8" t="n">
        <v>0</v>
      </c>
      <c r="O10" s="8" t="n">
        <v>2</v>
      </c>
      <c r="P10" s="8" t="n">
        <v>4</v>
      </c>
      <c r="Q10" s="8" t="n">
        <v>0</v>
      </c>
      <c r="R10" s="8" t="inlineStr">
        <is>
          <t>Partial T4 (play #31 onward, 3 outs) + partial T5 (plays #41-43, 2 outs); entry inferred from '#8 pitching' note play #31; 4 R allowed in T4 on consecutive singles</t>
        </is>
      </c>
    </row>
    <row r="11" ht="39.75" customHeight="1" s="35">
      <c r="A11" s="8" t="inlineStr">
        <is>
          <t>2026-03-10_RVRH_at_WSTF</t>
        </is>
      </c>
      <c r="B11" s="2" t="n">
        <v>46091</v>
      </c>
      <c r="C11" s="8" t="inlineStr">
        <is>
          <t>Westfield High School</t>
        </is>
      </c>
      <c r="D11" s="8" t="inlineStr">
        <is>
          <t>WSTF</t>
        </is>
      </c>
      <c r="E11" s="8" t="inlineStr">
        <is>
          <t>WSTF_#3</t>
        </is>
      </c>
      <c r="F11" s="8" t="n">
        <v>3</v>
      </c>
      <c r="G11" s="8" t="n">
        <v>3</v>
      </c>
      <c r="H11" s="8" t="n">
        <v>1</v>
      </c>
      <c r="I11" s="8" t="n">
        <v>1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1</v>
      </c>
      <c r="P11" s="8" t="n">
        <v>0</v>
      </c>
      <c r="Q11" s="8" t="n">
        <v>0</v>
      </c>
      <c r="R11" s="8" t="inlineStr">
        <is>
          <t>Partial T5 (play #44, 1 out) + partial T6 (plays #51-52, 2 outs incl. E McCoy CS); entry inferred from '#3 pitching' note play #44; also bats</t>
        </is>
      </c>
    </row>
    <row r="12" ht="39.75" customHeight="1" s="35">
      <c r="A12" s="8" t="inlineStr">
        <is>
          <t>2026-03-10_RVRH_at_WSTF</t>
        </is>
      </c>
      <c r="B12" s="2" t="n">
        <v>46091</v>
      </c>
      <c r="C12" s="8" t="inlineStr">
        <is>
          <t>Westfield High School</t>
        </is>
      </c>
      <c r="D12" s="8" t="inlineStr">
        <is>
          <t>WSTF</t>
        </is>
      </c>
      <c r="E12" s="8" t="inlineStr">
        <is>
          <t>WSTF_#2</t>
        </is>
      </c>
      <c r="F12" s="8" t="n">
        <v>4</v>
      </c>
      <c r="G12" s="8" t="n">
        <v>7</v>
      </c>
      <c r="H12" s="8" t="n">
        <v>1</v>
      </c>
      <c r="I12" s="8" t="n">
        <v>1</v>
      </c>
      <c r="J12" s="8" t="n">
        <v>0</v>
      </c>
      <c r="K12" s="8" t="n">
        <v>0</v>
      </c>
      <c r="L12" s="8" t="n">
        <v>0</v>
      </c>
      <c r="M12" s="8" t="n">
        <v>2</v>
      </c>
      <c r="N12" s="8" t="n">
        <v>0</v>
      </c>
      <c r="O12" s="8" t="n">
        <v>2</v>
      </c>
      <c r="P12" s="8" t="n">
        <v>0</v>
      </c>
      <c r="Q12" s="8" t="n">
        <v>0</v>
      </c>
      <c r="R12" s="8" t="inlineStr">
        <is>
          <t>Partial T6 (plays #53-54, 1 out) + T7 (plays #58-62, 3 outs); PB embedded in play #61 pitch seq (R Miller advances to 2nd — not in schema); also bats</t>
        </is>
      </c>
    </row>
    <row r="13">
      <c r="A13" s="8" t="inlineStr">
        <is>
          <t>2026-03-14_WTTN_at_RVRH</t>
        </is>
      </c>
      <c r="B13" s="2" t="n">
        <v>46095</v>
      </c>
      <c r="C13" s="8" t="inlineStr">
        <is>
          <t>Wootton Varsity Patriots</t>
        </is>
      </c>
      <c r="D13" s="8" t="inlineStr">
        <is>
          <t>RVRH</t>
        </is>
      </c>
      <c r="E13" s="8" t="inlineStr">
        <is>
          <t>H Zhang</t>
        </is>
      </c>
      <c r="F13" s="8" t="n">
        <v>6</v>
      </c>
      <c r="G13" s="8" t="n">
        <v>8</v>
      </c>
      <c r="H13" s="8" t="n">
        <v>2</v>
      </c>
      <c r="I13" s="8" t="n">
        <v>1</v>
      </c>
      <c r="J13" s="8" t="n">
        <v>1</v>
      </c>
      <c r="K13" s="8" t="n">
        <v>0</v>
      </c>
      <c r="L13" s="8" t="n">
        <v>0</v>
      </c>
      <c r="M13" s="8" t="n">
        <v>1</v>
      </c>
      <c r="N13" s="8" t="n">
        <v>0</v>
      </c>
      <c r="O13" s="8" t="n">
        <v>2</v>
      </c>
      <c r="P13" s="8" t="n">
        <v>1</v>
      </c>
      <c r="Q13" s="8" t="n">
        <v>1</v>
      </c>
      <c r="R13" s="8" t="inlineStr">
        <is>
          <t>T1-T2; WP during J Arnold AB T1 (play #3, Section 4 — J Reid advances to 2nd); K type discrepancy play #4 (Section 3 'looking' vs Section 4 'swinging' — K_S recorded per Section 4); also bats and plays 1B</t>
        </is>
      </c>
    </row>
    <row r="14">
      <c r="A14" s="8" t="inlineStr">
        <is>
          <t>2026-03-14_WTTN_at_RVRH</t>
        </is>
      </c>
      <c r="B14" s="2" t="n">
        <v>46095</v>
      </c>
      <c r="C14" s="8" t="inlineStr">
        <is>
          <t>Wootton Varsity Patriots</t>
        </is>
      </c>
      <c r="D14" s="8" t="inlineStr">
        <is>
          <t>RVRH</t>
        </is>
      </c>
      <c r="E14" s="8" t="inlineStr">
        <is>
          <t>J Jenkins</t>
        </is>
      </c>
      <c r="F14" s="8" t="n">
        <v>6</v>
      </c>
      <c r="G14" s="8" t="n">
        <v>9</v>
      </c>
      <c r="H14" s="8" t="n">
        <v>3</v>
      </c>
      <c r="I14" s="8" t="n">
        <v>3</v>
      </c>
      <c r="J14" s="8" t="n">
        <v>0</v>
      </c>
      <c r="K14" s="8" t="n">
        <v>0</v>
      </c>
      <c r="L14" s="8" t="n">
        <v>0</v>
      </c>
      <c r="M14" s="8" t="n">
        <v>1</v>
      </c>
      <c r="N14" s="8" t="n">
        <v>0</v>
      </c>
      <c r="O14" s="8" t="n">
        <v>3</v>
      </c>
      <c r="P14" s="8" t="n">
        <v>2</v>
      </c>
      <c r="Q14" s="8" t="n">
        <v>1</v>
      </c>
      <c r="R14" s="8" t="inlineStr">
        <is>
          <t>T3-T4; 'Lineup changed: J Jenkins in at pitcher' play #16; WP during N Zweig K T4 (play #32, Section 4 — A Grainger scores, L Avila to 3rd, J Allen to 2nd); PB during L Avila walk T4 (play #30, Section 4 — A Grainger advances to 2nd) — PB not in schema, noted here</t>
        </is>
      </c>
    </row>
    <row r="15">
      <c r="A15" s="8" t="inlineStr">
        <is>
          <t>2026-03-14_WTTN_at_RVRH</t>
        </is>
      </c>
      <c r="B15" s="2" t="n">
        <v>46095</v>
      </c>
      <c r="C15" s="8" t="inlineStr">
        <is>
          <t>Wootton Varsity Patriots</t>
        </is>
      </c>
      <c r="D15" s="8" t="inlineStr">
        <is>
          <t>RVRH</t>
        </is>
      </c>
      <c r="E15" s="8" t="inlineStr">
        <is>
          <t>J Norwood</t>
        </is>
      </c>
      <c r="F15" s="8" t="n">
        <v>3</v>
      </c>
      <c r="G15" s="8" t="n">
        <v>4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  <c r="N15" s="8" t="n">
        <v>0</v>
      </c>
      <c r="O15" s="8" t="n">
        <v>2</v>
      </c>
      <c r="P15" s="8" t="n">
        <v>0</v>
      </c>
      <c r="Q15" s="8" t="n">
        <v>2</v>
      </c>
      <c r="R15" s="8" t="inlineStr">
        <is>
          <t>T5; 'Lineup changed: J Norwood in at pitcher' play #40; 2 WP events embedded in J Arnold AB T5 (play #43, Section 4) — J Reid advances 1st to 2nd on WP, then 2nd to 3rd on separate WP; J Reid stranded; Flag #10; also bats and plays 1B</t>
        </is>
      </c>
    </row>
    <row r="16">
      <c r="A16" s="8" t="inlineStr">
        <is>
          <t>2026-03-14_WTTN_at_RVRH</t>
        </is>
      </c>
      <c r="B16" s="2" t="n">
        <v>46095</v>
      </c>
      <c r="C16" s="8" t="inlineStr">
        <is>
          <t>Wootton Varsity Patriots</t>
        </is>
      </c>
      <c r="D16" s="8" t="inlineStr">
        <is>
          <t>RVRH</t>
        </is>
      </c>
      <c r="E16" s="8" t="inlineStr">
        <is>
          <t>C Reis</t>
        </is>
      </c>
      <c r="F16" s="8" t="n">
        <v>3</v>
      </c>
      <c r="G16" s="8" t="n">
        <v>7</v>
      </c>
      <c r="H16" s="8" t="n">
        <v>1</v>
      </c>
      <c r="I16" s="8" t="n">
        <v>1</v>
      </c>
      <c r="J16" s="8" t="n">
        <v>0</v>
      </c>
      <c r="K16" s="8" t="n">
        <v>0</v>
      </c>
      <c r="L16" s="8" t="n">
        <v>0</v>
      </c>
      <c r="M16" s="8" t="n">
        <v>1</v>
      </c>
      <c r="N16" s="8" t="n">
        <v>0</v>
      </c>
      <c r="O16" s="8" t="n">
        <v>1</v>
      </c>
      <c r="P16" s="8" t="n">
        <v>1</v>
      </c>
      <c r="Q16" s="8" t="n">
        <v>1</v>
      </c>
      <c r="R16" s="8" t="inlineStr">
        <is>
          <t>T6; 'C Reis in for pitcher J Norwood' inferred from play #49 description; IBB to K Schmelzer play #53; WP during K Schmelzer IBB AB (play #53, Section 4 — J Allen to 3rd, N Zweig to 2nd); also bats</t>
        </is>
      </c>
    </row>
    <row r="17">
      <c r="A17" s="8" t="inlineStr">
        <is>
          <t>2026-03-14_WTTN_at_RVRH</t>
        </is>
      </c>
      <c r="B17" s="2" t="n">
        <v>46095</v>
      </c>
      <c r="C17" s="8" t="inlineStr">
        <is>
          <t>Wootton Varsity Patriots</t>
        </is>
      </c>
      <c r="D17" s="8" t="inlineStr">
        <is>
          <t>RVRH</t>
        </is>
      </c>
      <c r="E17" s="8" t="inlineStr">
        <is>
          <t>E McCoy</t>
        </is>
      </c>
      <c r="F17" s="8" t="n">
        <v>3</v>
      </c>
      <c r="G17" s="8" t="n">
        <v>5</v>
      </c>
      <c r="H17" s="8" t="n">
        <v>1</v>
      </c>
      <c r="I17" s="8" t="n">
        <v>1</v>
      </c>
      <c r="J17" s="8" t="n">
        <v>0</v>
      </c>
      <c r="K17" s="8" t="n">
        <v>0</v>
      </c>
      <c r="L17" s="8" t="n">
        <v>0</v>
      </c>
      <c r="M17" s="8" t="n">
        <v>0</v>
      </c>
      <c r="N17" s="8" t="n">
        <v>0</v>
      </c>
      <c r="O17" s="8" t="n">
        <v>1</v>
      </c>
      <c r="P17" s="8" t="n">
        <v>0</v>
      </c>
      <c r="Q17" s="8" t="n">
        <v>0</v>
      </c>
      <c r="R17" s="8" t="inlineStr">
        <is>
          <t>T7; 'E McCoy in for pitcher C Reis' inferred from play #60 description; also T8 but play #71 incomplete (Flag #1); J Allen T8 counted in BF (no outcome recorded); also bats</t>
        </is>
      </c>
    </row>
    <row r="18">
      <c r="A18" s="8" t="inlineStr">
        <is>
          <t>2026-03-14_WTTN_at_RVRH</t>
        </is>
      </c>
      <c r="B18" s="2" t="n">
        <v>46095</v>
      </c>
      <c r="C18" s="8" t="inlineStr">
        <is>
          <t>Wootton Varsity Patriots</t>
        </is>
      </c>
      <c r="D18" s="8" t="inlineStr">
        <is>
          <t>WTTN</t>
        </is>
      </c>
      <c r="E18" s="8" t="inlineStr">
        <is>
          <t>L Avila</t>
        </is>
      </c>
      <c r="F18" s="8" t="n">
        <v>8</v>
      </c>
      <c r="G18" s="8" t="n">
        <v>15</v>
      </c>
      <c r="H18" s="8" t="n">
        <v>5</v>
      </c>
      <c r="I18" s="8" t="n">
        <v>3</v>
      </c>
      <c r="J18" s="8" t="n">
        <v>2</v>
      </c>
      <c r="K18" s="8" t="n">
        <v>0</v>
      </c>
      <c r="L18" s="8" t="n">
        <v>0</v>
      </c>
      <c r="M18" s="8" t="n">
        <v>2</v>
      </c>
      <c r="N18" s="8" t="n">
        <v>2</v>
      </c>
      <c r="O18" s="8" t="n">
        <v>0</v>
      </c>
      <c r="P18" s="8" t="n">
        <v>4</v>
      </c>
      <c r="Q18" s="8" t="n">
        <v>0</v>
      </c>
      <c r="R18" s="8" t="inlineStr">
        <is>
          <t>B1-B3 (plays #6-#26); 'Lineup changed: L Avila in at pitcher' play #6; Flag #11 (L Avila also bats T1 as late sub for L Veizis); 8 outs include pickoff out embedded in A Fields AB B2 (play #15, Section 4)</t>
        </is>
      </c>
    </row>
    <row r="19">
      <c r="A19" s="8" t="inlineStr">
        <is>
          <t>2026-03-14_WTTN_at_RVRH</t>
        </is>
      </c>
      <c r="B19" s="2" t="n">
        <v>46095</v>
      </c>
      <c r="C19" s="8" t="inlineStr">
        <is>
          <t>Wootton Varsity Patriots</t>
        </is>
      </c>
      <c r="D19" s="8" t="inlineStr">
        <is>
          <t>WTTN</t>
        </is>
      </c>
      <c r="E19" s="8" t="inlineStr">
        <is>
          <t>J Allen</t>
        </is>
      </c>
      <c r="F19" s="8" t="n">
        <v>4</v>
      </c>
      <c r="G19" s="8" t="n">
        <v>6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2</v>
      </c>
      <c r="N19" s="8" t="n">
        <v>0</v>
      </c>
      <c r="O19" s="8" t="n">
        <v>1</v>
      </c>
      <c r="P19" s="8" t="n">
        <v>0</v>
      </c>
      <c r="Q19" s="8" t="n">
        <v>0</v>
      </c>
      <c r="R19" s="8" t="inlineStr">
        <is>
          <t>B3 play #27 + B4 plays #35-#39; 'Lineup changed: J Allen in at pitcher' play #27 (mid-inning entry); also bats T2, T4, T6</t>
        </is>
      </c>
    </row>
    <row r="20">
      <c r="A20" s="8" t="inlineStr">
        <is>
          <t>2026-03-14_WTTN_at_RVRH</t>
        </is>
      </c>
      <c r="B20" s="2" t="n">
        <v>46095</v>
      </c>
      <c r="C20" s="8" t="inlineStr">
        <is>
          <t>Wootton Varsity Patriots</t>
        </is>
      </c>
      <c r="D20" s="8" t="inlineStr">
        <is>
          <t>WTTN</t>
        </is>
      </c>
      <c r="E20" s="8" t="inlineStr">
        <is>
          <t>L Phillips</t>
        </is>
      </c>
      <c r="F20" s="8" t="n">
        <v>3</v>
      </c>
      <c r="G20" s="8" t="n">
        <v>5</v>
      </c>
      <c r="H20" s="8" t="n">
        <v>1</v>
      </c>
      <c r="I20" s="8" t="n">
        <v>1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1</v>
      </c>
      <c r="Q20" s="8" t="n">
        <v>0</v>
      </c>
      <c r="R20" s="8" t="inlineStr">
        <is>
          <t>B5; 'Lineup changed: L Phillips in at pitcher' play #44</t>
        </is>
      </c>
    </row>
    <row r="21" ht="15.75" customHeight="1" s="35">
      <c r="A21" s="8" t="inlineStr">
        <is>
          <t>2026-03-14_WTTN_at_RVRH</t>
        </is>
      </c>
      <c r="B21" s="2" t="n">
        <v>46095</v>
      </c>
      <c r="C21" s="8" t="inlineStr">
        <is>
          <t>Wootton Varsity Patriots</t>
        </is>
      </c>
      <c r="D21" s="8" t="inlineStr">
        <is>
          <t>WTTN</t>
        </is>
      </c>
      <c r="E21" s="8" t="inlineStr">
        <is>
          <t>T Cornet</t>
        </is>
      </c>
      <c r="F21" s="8" t="n">
        <v>3</v>
      </c>
      <c r="G21" s="8" t="n">
        <v>4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1</v>
      </c>
      <c r="N21" s="8" t="n">
        <v>0</v>
      </c>
      <c r="O21" s="8" t="n">
        <v>1</v>
      </c>
      <c r="P21" s="8" t="n">
        <v>0</v>
      </c>
      <c r="Q21" s="8" t="n">
        <v>0</v>
      </c>
      <c r="R21" s="8" t="inlineStr">
        <is>
          <t>B6; 'Lineup changed: T Cornet in at pitcher' play #56 (also 'A Grainger in at pitcher' listed same note — T Cornet confirmed via outcome description 'T Cornet pitching'); also bats T1, T3, T5-T7</t>
        </is>
      </c>
    </row>
    <row r="22" ht="15.75" customHeight="1" s="35">
      <c r="A22" s="8" t="inlineStr">
        <is>
          <t>2026-03-14_WTTN_at_RVRH</t>
        </is>
      </c>
      <c r="B22" s="2" t="n">
        <v>46095</v>
      </c>
      <c r="C22" s="8" t="inlineStr">
        <is>
          <t>Wootton Varsity Patriots</t>
        </is>
      </c>
      <c r="D22" s="8" t="inlineStr">
        <is>
          <t>WTTN</t>
        </is>
      </c>
      <c r="E22" s="8" t="inlineStr">
        <is>
          <t>B Graham</t>
        </is>
      </c>
      <c r="F22" s="8" t="n">
        <v>3</v>
      </c>
      <c r="G22" s="8" t="n">
        <v>7</v>
      </c>
      <c r="H22" s="8" t="n">
        <v>2</v>
      </c>
      <c r="I22" s="8" t="n">
        <v>2</v>
      </c>
      <c r="J22" s="8" t="n">
        <v>0</v>
      </c>
      <c r="K22" s="8" t="n">
        <v>0</v>
      </c>
      <c r="L22" s="8" t="n">
        <v>0</v>
      </c>
      <c r="M22" s="8" t="n">
        <v>1</v>
      </c>
      <c r="N22" s="8" t="n">
        <v>1</v>
      </c>
      <c r="O22" s="8" t="n">
        <v>0</v>
      </c>
      <c r="P22" s="8" t="n">
        <v>2</v>
      </c>
      <c r="Q22" s="8" t="n">
        <v>0</v>
      </c>
      <c r="R22" s="8" t="inlineStr">
        <is>
          <t>B7; 'Lineup changed: B Graham in at pitcher' play #64; HBP: J Norwood play #66; Flag #7 — C Reis advances to 2nd during J Norwood HBP AB (play #66) with mechanism unspecified</t>
        </is>
      </c>
    </row>
    <row r="23" ht="15.75" customHeight="1" s="35">
      <c r="A23" s="8" t="inlineStr">
        <is>
          <t>2026-03-21_RVRH_at_GLFR</t>
        </is>
      </c>
      <c r="B23" s="2" t="n">
        <v>46102</v>
      </c>
      <c r="C23" s="8" t="inlineStr">
        <is>
          <t>Guilford Park Varsity Panthers</t>
        </is>
      </c>
      <c r="D23" s="8" t="inlineStr">
        <is>
          <t>RVRH</t>
        </is>
      </c>
      <c r="E23" s="8" t="inlineStr">
        <is>
          <t>R Walsh</t>
        </is>
      </c>
      <c r="F23" s="8" t="n">
        <v>9</v>
      </c>
      <c r="G23" s="8" t="n">
        <v>14</v>
      </c>
      <c r="H23" s="8" t="n">
        <v>1</v>
      </c>
      <c r="I23" s="8" t="n">
        <v>0</v>
      </c>
      <c r="J23" s="8" t="n">
        <v>0</v>
      </c>
      <c r="K23" s="8" t="n">
        <v>1</v>
      </c>
      <c r="L23" s="8" t="n">
        <v>0</v>
      </c>
      <c r="M23" s="8" t="n">
        <v>5</v>
      </c>
      <c r="N23" s="8" t="n">
        <v>0</v>
      </c>
      <c r="O23" s="8" t="n">
        <v>5</v>
      </c>
      <c r="P23" s="8" t="n">
        <v>2</v>
      </c>
      <c r="Q23" s="8" t="n">
        <v>0</v>
      </c>
      <c r="R23" s="8" t="inlineStr">
        <is>
          <t>B1–B3; 'Lineup changed: R Walsh in at pitcher' not explicit — R Walsh named as pitcher in B1 play #18/#21 descriptions; B1: K×3 (B S dropped 3rd out, A A K, S T K), BB×2 (L R, L L), BF=5, Outs=3, R=0; B2: 3B (J H), SAC Fly out (M R), K×2 (I W, J S), BF=4, Outs=3, R=1 (J H scores on SAC Fly); B3: BB×3 (B S, A A, L R), FC-DP ×2 outs (L L), FC 1 out (S T), BF=5, Outs=3, R=1 (B S scores); WP=0 confirmed from Sec4 B1–B3 sequences; also bats</t>
        </is>
      </c>
    </row>
    <row r="24" ht="15.75" customHeight="1" s="35">
      <c r="A24" s="8" t="inlineStr">
        <is>
          <t>2026-03-21_RVRH_at_GLFR</t>
        </is>
      </c>
      <c r="B24" s="2" t="n">
        <v>46102</v>
      </c>
      <c r="C24" s="8" t="inlineStr">
        <is>
          <t>Guilford Park Varsity Panthers</t>
        </is>
      </c>
      <c r="D24" s="8" t="inlineStr">
        <is>
          <t>RVRH</t>
        </is>
      </c>
      <c r="E24" s="8" t="inlineStr">
        <is>
          <t>J Norwood</t>
        </is>
      </c>
      <c r="F24" s="8" t="n">
        <v>5</v>
      </c>
      <c r="G24" s="8" t="n">
        <v>11</v>
      </c>
      <c r="H24" s="8" t="n">
        <v>3</v>
      </c>
      <c r="I24" s="8" t="n">
        <v>2</v>
      </c>
      <c r="J24" s="8" t="n">
        <v>1</v>
      </c>
      <c r="K24" s="8" t="n">
        <v>0</v>
      </c>
      <c r="L24" s="8" t="n">
        <v>0</v>
      </c>
      <c r="M24" s="8" t="n">
        <v>3</v>
      </c>
      <c r="N24" s="8" t="n">
        <v>1</v>
      </c>
      <c r="O24" s="8" t="n">
        <v>3</v>
      </c>
      <c r="P24" s="8" t="n">
        <v>3</v>
      </c>
      <c r="Q24" s="8" t="n">
        <v>1</v>
      </c>
      <c r="R24" s="8" t="inlineStr">
        <is>
          <t>B4–B5 (through play #66); Flag #7 — entry inferred from play descriptions, no explicit lineup note; B4: HBP J H, 1B M R, K I W, K J S, 1B B S (2R: M R + J H), K A A; BF=6, Outs=3; WP B4: Sec4 #51 B S advances to 3rd on WP during A A K AB; PB B4: Sec4 #50 J H to 3rd + M R to 2nd on passed ball during B S AB — PB not in schema, noted here; B5: BB L R, 2B L L, BB S T, Infield Fly J H, Walk M R; BF=5, Outs=2 (J H IF + Z M CS home); R B5: L L steals home (play #66, during M R walk AB) = 1; A Wu takes over at play #67; also bats and plays 1B</t>
        </is>
      </c>
    </row>
    <row r="25" ht="15.75" customHeight="1" s="35">
      <c r="A25" s="8" t="inlineStr">
        <is>
          <t>2026-03-21_RVRH_at_GLFR</t>
        </is>
      </c>
      <c r="B25" s="2" t="n">
        <v>46102</v>
      </c>
      <c r="C25" s="8" t="inlineStr">
        <is>
          <t>Guilford Park Varsity Panthers</t>
        </is>
      </c>
      <c r="D25" s="8" t="inlineStr">
        <is>
          <t>RVRH</t>
        </is>
      </c>
      <c r="E25" s="8" t="inlineStr">
        <is>
          <t>A Wu</t>
        </is>
      </c>
      <c r="F25" s="8" t="n">
        <v>1</v>
      </c>
      <c r="G25" s="8" t="n">
        <v>2</v>
      </c>
      <c r="H25" s="8" t="n">
        <v>1</v>
      </c>
      <c r="I25" s="8" t="n">
        <v>1</v>
      </c>
      <c r="J25" s="8" t="n">
        <v>0</v>
      </c>
      <c r="K25" s="8" t="n">
        <v>0</v>
      </c>
      <c r="L25" s="8" t="n">
        <v>0</v>
      </c>
      <c r="M25" s="8" t="n">
        <v>0</v>
      </c>
      <c r="N25" s="8" t="n">
        <v>0</v>
      </c>
      <c r="O25" s="8" t="n">
        <v>1</v>
      </c>
      <c r="P25" s="8" t="n">
        <v>1</v>
      </c>
      <c r="Q25" s="8" t="n">
        <v>0</v>
      </c>
      <c r="R25" s="8" t="inlineStr">
        <is>
          <t>B5 from play #67; 'Lineup changed: A Wu in at pitcher' play #67 notes; 1B I W (S T scores on throw, R_Allowed=1; Flag #10); K_L J S (Sec4 #68 'Strike 3 looking'); M R and I W stranded to end game</t>
        </is>
      </c>
    </row>
    <row r="26" ht="15.75" customHeight="1" s="35">
      <c r="A26" s="8" t="inlineStr">
        <is>
          <t>2026-03-21_RVRH_at_GLFR</t>
        </is>
      </c>
      <c r="B26" s="2" t="n">
        <v>46102</v>
      </c>
      <c r="C26" s="8" t="inlineStr">
        <is>
          <t>Guilford Park Varsity Panthers</t>
        </is>
      </c>
      <c r="D26" s="8" t="inlineStr">
        <is>
          <t>GLFR</t>
        </is>
      </c>
      <c r="E26" s="8" t="inlineStr">
        <is>
          <t>GLFR_BS</t>
        </is>
      </c>
      <c r="F26" s="8" t="n">
        <v>3</v>
      </c>
      <c r="G26" s="8" t="n">
        <v>16</v>
      </c>
      <c r="H26" s="8" t="n">
        <v>5</v>
      </c>
      <c r="I26" s="8" t="n">
        <v>5</v>
      </c>
      <c r="J26" s="8" t="n">
        <v>0</v>
      </c>
      <c r="K26" s="8" t="n">
        <v>0</v>
      </c>
      <c r="L26" s="8" t="n">
        <v>0</v>
      </c>
      <c r="M26" s="8" t="n">
        <v>2</v>
      </c>
      <c r="N26" s="8" t="n">
        <v>2</v>
      </c>
      <c r="O26" s="8" t="n">
        <v>1</v>
      </c>
      <c r="P26" s="8" t="n">
        <v>12</v>
      </c>
      <c r="Q26" s="8" t="n">
        <v>1</v>
      </c>
      <c r="R26" s="8" t="inlineStr">
        <is>
          <t>T1; 'Lineup changed: B S in at pitcher' play #1 notes; K: R Walsh (dropped 3rd strike, K_S, Sec4 #1); outs: E McCoy K (#8), J Norwood Fly Out (#12), A Fields Fly Out (#16); H: C Reis×2 1B, C Naecker 1B, A Fields 1B, R Walsh 1B; HBP: G Dang (#6), H Zhang (#13); BB: J Norwood (#3), A Contreras (#9); WP: Sec4 #14 (C Reis to 3rd + H Zhang to 2nd on WP during C Naecker AB); PB on R Walsh dropped 3rd strike play #1 (Flag #12) — PB on GLFR catcher, not schema field, noted here; GLFR name abbreviated per Flag #3; also bats</t>
        </is>
      </c>
    </row>
    <row r="27" ht="15.75" customHeight="1" s="35">
      <c r="A27" s="8" t="inlineStr">
        <is>
          <t>2026-03-21_RVRH_at_GLFR</t>
        </is>
      </c>
      <c r="B27" s="2" t="n">
        <v>46102</v>
      </c>
      <c r="C27" s="8" t="inlineStr">
        <is>
          <t>Guilford Park Varsity Panthers</t>
        </is>
      </c>
      <c r="D27" s="8" t="inlineStr">
        <is>
          <t>GLFR</t>
        </is>
      </c>
      <c r="E27" s="8" t="inlineStr">
        <is>
          <t>GLFR_AA</t>
        </is>
      </c>
      <c r="F27" s="8" t="n">
        <v>9</v>
      </c>
      <c r="G27" s="8" t="n">
        <v>15</v>
      </c>
      <c r="H27" s="8" t="n">
        <v>5</v>
      </c>
      <c r="I27" s="8" t="n">
        <v>4</v>
      </c>
      <c r="J27" s="8" t="n">
        <v>1</v>
      </c>
      <c r="K27" s="8" t="n">
        <v>0</v>
      </c>
      <c r="L27" s="8" t="n">
        <v>0</v>
      </c>
      <c r="M27" s="8" t="n">
        <v>1</v>
      </c>
      <c r="N27" s="8" t="n">
        <v>0</v>
      </c>
      <c r="O27" s="8" t="n">
        <v>2</v>
      </c>
      <c r="P27" s="8" t="n">
        <v>3</v>
      </c>
      <c r="Q27" s="8" t="n">
        <v>1</v>
      </c>
      <c r="R27" s="8" t="inlineStr">
        <is>
          <t>T2–T4; T2 entry inferred from play descriptions ('A A pitching' plays #24/#26), no lineup note; T4 pitcher inferred — no pitcher change note and A A was last named pitcher; T2: BB E McCoy, 1B A Contreras, K R Walsh (K_L Sec4 #24), 1B C Reis, FoulTip-K J Norwood, FO H Zhang; BF=6, R=2; T3: 1B C Naecker, GO G Dang, K_L A Fields (Sec4 #34), GO E McCoy; BF=4, R=0; WP T3: Sec4 #34 C Naecker advances to 3rd on WP during A Fields K AB; T4: PO A Contreras, GO R Walsh, 2B C Reis, 1B J Norwood (R: R Miller/C Reis CR), GO H Zhang; BF=5, R=1; GLFR name abbreviated per Flag #3; also bats</t>
        </is>
      </c>
    </row>
    <row r="28" ht="15.75" customHeight="1" s="35">
      <c r="A28" s="8" t="inlineStr">
        <is>
          <t>2026-03-21_RVRH_at_GLFR</t>
        </is>
      </c>
      <c r="B28" s="2" t="n">
        <v>46102</v>
      </c>
      <c r="C28" s="8" t="inlineStr">
        <is>
          <t>Guilford Park Varsity Panthers</t>
        </is>
      </c>
      <c r="D28" s="8" t="inlineStr">
        <is>
          <t>GLFR</t>
        </is>
      </c>
      <c r="E28" s="8" t="inlineStr">
        <is>
          <t>GLFR_LL</t>
        </is>
      </c>
      <c r="F28" s="8" t="n">
        <v>3</v>
      </c>
      <c r="G28" s="8" t="n">
        <v>10</v>
      </c>
      <c r="H28" s="8" t="n">
        <v>2</v>
      </c>
      <c r="I28" s="8" t="n">
        <v>1</v>
      </c>
      <c r="J28" s="8" t="n">
        <v>1</v>
      </c>
      <c r="K28" s="8" t="n">
        <v>0</v>
      </c>
      <c r="L28" s="8" t="n">
        <v>0</v>
      </c>
      <c r="M28" s="8" t="n">
        <v>5</v>
      </c>
      <c r="N28" s="8" t="n">
        <v>0</v>
      </c>
      <c r="O28" s="8" t="n">
        <v>1</v>
      </c>
      <c r="P28" s="8" t="n">
        <v>4</v>
      </c>
      <c r="Q28" s="8" t="n">
        <v>0</v>
      </c>
      <c r="R28" s="8" t="inlineStr">
        <is>
          <t>T5; entry inferred from play descriptions ('L L pitching' plays #53/#55/#60/#61), no lineup note; BB: R Ronayne, L Kreisl, B Bixby, R Miller, H Zhang (5 BB); H: B Mougey 1B (#52), R Walsh 2B (#57); K_L B Mougey (#61, Sec4 #61 'Strike 3 looking'); Outs: E Skolkin FC (#54), J Norwood SAC Fly (#59), B Mougey K (#61); R_Allowed=4 (B Mougey #56, E Skolkin #57, L Kreisl #57, B Bixby #59); GLFR name abbreviated per Flag #3; also bats</t>
        </is>
      </c>
    </row>
    <row r="29" ht="15.75" customHeight="1" s="35">
      <c r="A29" s="8" t="inlineStr">
        <is>
          <t>2026-03-23_WLDL_at_RVRH</t>
        </is>
      </c>
      <c r="B29" s="2" t="n">
        <v>46104</v>
      </c>
      <c r="C29" s="8" t="inlineStr">
        <is>
          <t>Wilde Lake Varsity Cats</t>
        </is>
      </c>
      <c r="D29" s="8" t="inlineStr">
        <is>
          <t>RVRH</t>
        </is>
      </c>
      <c r="E29" s="8" t="inlineStr">
        <is>
          <t>J Jenkins</t>
        </is>
      </c>
      <c r="F29" s="8" t="n">
        <v>9</v>
      </c>
      <c r="G29" s="8" t="n">
        <v>11</v>
      </c>
      <c r="H29" s="8" t="n">
        <v>1</v>
      </c>
      <c r="I29" s="8" t="n">
        <v>1</v>
      </c>
      <c r="J29" s="8" t="n">
        <v>0</v>
      </c>
      <c r="K29" s="8" t="n">
        <v>0</v>
      </c>
      <c r="L29" s="8" t="n">
        <v>0</v>
      </c>
      <c r="M29" s="8" t="n">
        <v>2</v>
      </c>
      <c r="N29" s="8" t="n">
        <v>0</v>
      </c>
      <c r="O29" s="8" t="n">
        <v>4</v>
      </c>
      <c r="P29" s="8" t="n">
        <v>0</v>
      </c>
      <c r="Q29" s="8" t="n">
        <v>0</v>
      </c>
      <c r="R29" s="8" t="inlineStr">
        <is>
          <t>T1–T3; lineup note play #1; duplicate lineup note at play #20 (Flag #3); T1: T Sommer K_S, D Coleman K_L, N Dalesio K_L — 3 K, 3 outs, BF=3; T2: J Bunnell GO, R Schmidt GO, B Habershon BB, W Switzer K_L — 1 K, 1 BB, 3 outs, BF=4; T3: D Linares Bunt Out, A Lindsay BB (CS embedded in D Coleman AB), T Sommer 1B, D Coleman GO — 3 outs (bunt, CS, GO), 1 BB, 1 H, BF=4; A Lindsay CS at 3rd (Sec4 #23) logged as embedded in D Coleman AB (Flag #8)</t>
        </is>
      </c>
    </row>
    <row r="30" ht="15.75" customHeight="1" s="35">
      <c r="A30" s="8" t="inlineStr">
        <is>
          <t>2026-03-23_WLDL_at_RVRH</t>
        </is>
      </c>
      <c r="B30" s="2" t="n">
        <v>46104</v>
      </c>
      <c r="C30" s="8" t="inlineStr">
        <is>
          <t>Wilde Lake Varsity Cats</t>
        </is>
      </c>
      <c r="D30" s="8" t="inlineStr">
        <is>
          <t>RVRH</t>
        </is>
      </c>
      <c r="E30" s="8" t="inlineStr">
        <is>
          <t>C Nichols</t>
        </is>
      </c>
      <c r="F30" s="8" t="n">
        <v>3</v>
      </c>
      <c r="G30" s="8" t="n">
        <v>5</v>
      </c>
      <c r="H30" s="8" t="n">
        <v>2</v>
      </c>
      <c r="I30" s="8" t="n">
        <v>2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3</v>
      </c>
      <c r="P30" s="8" t="n">
        <v>0</v>
      </c>
      <c r="Q30" s="8" t="n">
        <v>0</v>
      </c>
      <c r="R30" s="8" t="inlineStr">
        <is>
          <t>T4; 'Lineup changed: C Nichols in at pitcher' play #42; N Dalesio 1B, J Bunnell K_L, R Schmidt K_L, B Habershon 1B, N Gilchrist K_S; also bats (see batting row)</t>
        </is>
      </c>
    </row>
    <row r="31" ht="15.75" customHeight="1" s="35">
      <c r="A31" s="8" t="inlineStr">
        <is>
          <t>2026-03-23_WLDL_at_RVRH</t>
        </is>
      </c>
      <c r="B31" s="2" t="n">
        <v>46104</v>
      </c>
      <c r="C31" s="8" t="inlineStr">
        <is>
          <t>Wilde Lake Varsity Cats</t>
        </is>
      </c>
      <c r="D31" s="8" t="inlineStr">
        <is>
          <t>RVRH</t>
        </is>
      </c>
      <c r="E31" s="8" t="inlineStr">
        <is>
          <t>E Skolkin</t>
        </is>
      </c>
      <c r="F31" s="8" t="n">
        <v>3</v>
      </c>
      <c r="G31" s="8" t="n">
        <v>4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1</v>
      </c>
      <c r="N31" s="8" t="n">
        <v>0</v>
      </c>
      <c r="O31" s="8" t="n">
        <v>3</v>
      </c>
      <c r="P31" s="8" t="n">
        <v>0</v>
      </c>
      <c r="Q31" s="8" t="n">
        <v>0</v>
      </c>
      <c r="R31" s="8" t="inlineStr">
        <is>
          <t>T5; 'Lineup changed: E Skolkin in at pitcher' play #59; J Nguyen BB, D Bouadi K_S, E Griffiths K_L, D Tang K_S</t>
        </is>
      </c>
    </row>
    <row r="32" ht="15.75" customHeight="1" s="35">
      <c r="A32" s="8" t="inlineStr">
        <is>
          <t>2026-03-23_WLDL_at_RVRH</t>
        </is>
      </c>
      <c r="B32" s="2" t="n">
        <v>46104</v>
      </c>
      <c r="C32" s="8" t="inlineStr">
        <is>
          <t>Wilde Lake Varsity Cats</t>
        </is>
      </c>
      <c r="D32" s="8" t="inlineStr">
        <is>
          <t>WLDL</t>
        </is>
      </c>
      <c r="E32" s="8" t="inlineStr">
        <is>
          <t>T Sommer</t>
        </is>
      </c>
      <c r="F32" s="8" t="n">
        <v>6</v>
      </c>
      <c r="G32" s="8" t="n">
        <v>11</v>
      </c>
      <c r="H32" s="8" t="n">
        <v>5</v>
      </c>
      <c r="I32" s="8" t="n">
        <v>4</v>
      </c>
      <c r="J32" s="8" t="n">
        <v>1</v>
      </c>
      <c r="K32" s="8" t="n">
        <v>0</v>
      </c>
      <c r="L32" s="8" t="n">
        <v>0</v>
      </c>
      <c r="M32" s="8" t="n">
        <v>0</v>
      </c>
      <c r="N32" s="8" t="n">
        <v>1</v>
      </c>
      <c r="O32" s="8" t="n">
        <v>2</v>
      </c>
      <c r="P32" s="8" t="n">
        <v>2</v>
      </c>
      <c r="Q32" s="8" t="n">
        <v>0</v>
      </c>
      <c r="R32" s="8" t="inlineStr">
        <is>
          <t>B1–B2; entry inferred from 'T Sommer pitching' at play #14 — no B1 lineup note; B1: R Walsh GO, C Reis LO, J Norwood 1B (pickoff out ends inning) — H=1, BF=3, Outs=3; B2: H Zhang 2B, C Naecker 1B, G Dang K_S, A Fields 1B, E McCoy 1B, A Contreras HBP, R Walsh K_S, C Reis GO — H=4, HBP=1, K=2, BF=8, Outs=3, R=2; PB by J Bunnell (catcher) during G Dang K AB (play #14 Sec4): H Zhang scores — PB not in pitching schema, noted here; also bats and fields</t>
        </is>
      </c>
    </row>
    <row r="33" ht="15.75" customHeight="1" s="35">
      <c r="A33" s="8" t="inlineStr">
        <is>
          <t>2026-03-23_WLDL_at_RVRH</t>
        </is>
      </c>
      <c r="B33" s="2" t="n">
        <v>46104</v>
      </c>
      <c r="C33" s="8" t="inlineStr">
        <is>
          <t>Wilde Lake Varsity Cats</t>
        </is>
      </c>
      <c r="D33" s="8" t="inlineStr">
        <is>
          <t>WLDL</t>
        </is>
      </c>
      <c r="E33" s="8" t="inlineStr">
        <is>
          <t>R Schmidt</t>
        </is>
      </c>
      <c r="F33" s="8" t="n">
        <v>2</v>
      </c>
      <c r="G33" s="8" t="n">
        <v>13</v>
      </c>
      <c r="H33" s="8" t="n">
        <v>8</v>
      </c>
      <c r="I33" s="8" t="n">
        <v>6</v>
      </c>
      <c r="J33" s="8" t="n">
        <v>1</v>
      </c>
      <c r="K33" s="8" t="n">
        <v>1</v>
      </c>
      <c r="L33" s="8" t="n">
        <v>0</v>
      </c>
      <c r="M33" s="8" t="n">
        <v>1</v>
      </c>
      <c r="N33" s="8" t="n">
        <v>1</v>
      </c>
      <c r="O33" s="8" t="n">
        <v>1</v>
      </c>
      <c r="P33" s="8" t="n">
        <v>8</v>
      </c>
      <c r="Q33" s="8" t="n">
        <v>1</v>
      </c>
      <c r="R33" s="8" t="inlineStr">
        <is>
          <t>B3 plays #24–#36; entry inferred from 'R Schmidt pitching' at plays #25/#29/#31 — no lineup note; B Habershon takes over at play #37; BF=13: J Norwood (error), H Zhang (HBP), C Naecker (1B), G Dang (3B), A Fields (1B), E McCoy (K_S), A Contreras (FO), R Walsh (BB), C Reis (1B), J Norwood (2B), H Zhang (1B), C Naecker (1B), G Dang (1B); Outs=2: E McCoy K_S (#29), A Contreras FO (#30); WP=1: Sec4 #33 C Reis steals 2nd then advances to 3rd on WP during J Norwood 2B AB; PB during C Reis AB (Sec4 #32): A Fields scores on PB — charged to catcher, not in schema, noted here; R_Allowed=8: J Norwood+H Zhang+C Naecker on G Dang 3B (#27), B Bixby/G Dang on A Fields 1B (#28), A Fields on PB + R Walsh on C Reis 1B (#32), C Reis on J Norwood 2B (#33), J Norwood on H Zhang 1B (#34); also bats and plays SS</t>
        </is>
      </c>
    </row>
    <row r="34" ht="15.75" customHeight="1" s="35">
      <c r="A34" s="8" t="inlineStr">
        <is>
          <t>2026-03-23_WLDL_at_RVRH</t>
        </is>
      </c>
      <c r="B34" s="2" t="n">
        <v>46104</v>
      </c>
      <c r="C34" s="8" t="inlineStr">
        <is>
          <t>Wilde Lake Varsity Cats</t>
        </is>
      </c>
      <c r="D34" s="8" t="inlineStr">
        <is>
          <t>WLDL</t>
        </is>
      </c>
      <c r="E34" s="8" t="inlineStr">
        <is>
          <t>B Habershon</t>
        </is>
      </c>
      <c r="F34" s="8" t="n">
        <v>4</v>
      </c>
      <c r="G34" s="8" t="n">
        <v>18</v>
      </c>
      <c r="H34" s="8" t="n">
        <v>5</v>
      </c>
      <c r="I34" s="8" t="n">
        <v>3</v>
      </c>
      <c r="J34" s="8" t="n">
        <v>1</v>
      </c>
      <c r="K34" s="8" t="n">
        <v>1</v>
      </c>
      <c r="L34" s="8" t="n">
        <v>0</v>
      </c>
      <c r="M34" s="8" t="n">
        <v>7</v>
      </c>
      <c r="N34" s="8" t="n">
        <v>0</v>
      </c>
      <c r="O34" s="8" t="n">
        <v>1</v>
      </c>
      <c r="P34" s="8" t="n">
        <v>12</v>
      </c>
      <c r="Q34" s="8" t="n">
        <v>2</v>
      </c>
      <c r="R34" s="8" t="inlineStr">
        <is>
          <t>B3 plays #37–#41 + B4 plays #47–#58 + B5 partial (play #63, B Mougey no outcome); B3: A Fields BB, E McCoy BB, A Contreras 2B, R Walsh BB, C Reis FC; WP B3: Sec4 #37 H Zhang scores on WP (R_Allowed+1), Sec4 #38 C Naecker scores on WP (R_Allowed+1); B3 Outs=1 (C Reis FC #41), BF=5, H=1 (A Contreras 2B), BB=3, R=4 (H Zhang WP + C Naecker WP + B Bixby + A Fields on A Contreras 2B); B4: J Norwood BB, R Ronayne BB, C Nichols BB, B Mougey K_L, A Fields BB, B Bixby FC, R Miller 1B, A Wu 1B, L Kreisl FC, J Norwood 3B, R Ronayne 1B, C Nichols FC; B4 Outs=3 (B Mougey K, L Kreisl FC #55 R Miller out, C Nichols FC #58 R Ronayne out), Flag #5: B Bixby FC #52 records no out explicitly — outs counted only where explicitly recorded; B4 BF=12, H=4 (R Miller 1B, A Wu 1B, J Norwood 3B, R Ronayne 1B), BB=4, K=1, R=8; PB during R Ronayne BB B4 (Sec4 #48: J Norwood to 2nd) — charged to catcher, not in schema, noted here; B5: BF=1 (B Mougey, no outcome, Flag #1); also bats T2 and T4</t>
        </is>
      </c>
    </row>
    <row r="35" ht="15.75" customHeight="1" s="35">
      <c r="A35" s="8" t="inlineStr">
        <is>
          <t>2026-03-25_RVRH_at_HMMN</t>
        </is>
      </c>
      <c r="B35" s="2" t="n">
        <v>46106</v>
      </c>
      <c r="C35" s="8" t="inlineStr">
        <is>
          <t>Hammond Varsity Bears</t>
        </is>
      </c>
      <c r="D35" s="8" t="inlineStr">
        <is>
          <t>RVRH</t>
        </is>
      </c>
      <c r="E35" s="8" t="inlineStr">
        <is>
          <t>H Zhang</t>
        </is>
      </c>
      <c r="F35" s="8" t="n">
        <v>18</v>
      </c>
      <c r="G35" s="8" t="n">
        <v>25</v>
      </c>
      <c r="H35" s="8" t="n">
        <v>6</v>
      </c>
      <c r="I35" s="8" t="n">
        <v>6</v>
      </c>
      <c r="J35" s="8" t="n">
        <v>0</v>
      </c>
      <c r="K35" s="8" t="n">
        <v>0</v>
      </c>
      <c r="L35" s="8" t="n">
        <v>0</v>
      </c>
      <c r="M35" s="8" t="n">
        <v>0</v>
      </c>
      <c r="N35" s="8" t="n">
        <v>1</v>
      </c>
      <c r="O35" s="8" t="n">
        <v>3</v>
      </c>
      <c r="P35" s="8" t="n">
        <v>2</v>
      </c>
      <c r="Q35" s="8" t="n">
        <v>0</v>
      </c>
      <c r="R35" s="8" t="inlineStr">
        <is>
          <t>B1–B6; entry inferred from pitcher role in B1 (named 'H Zhang pitching' in play descriptions); B1: Y Rivera K_S, P Yarnell 1B, C Stryker PO, J Willis PO — BF=4, Outs=3, H=1, K=1, R=0; B2: B Garris FO, G Draminski GO, L Tordella HBP, N Macomber GO — BF=4, Outs=3, HBP=1, R=0; B3: G Garris GO, Y Rivera GO, P Yarnell GO — BF=3, Outs=3, R=0; B4: C Stryker 1B, J Willis K_S, B Garris FO, G Draminski FC — BF=4, Outs=3, H=1, K=1, R=0; B5: L Tordella K_L, N Macomber 1B, G Garris PO, Y Rivera GO — BF=4, Outs=3, H=1, K=1, R=0; B6: P Yarnell FO, C Stryker 1B, J Willis 1B, B Garris 1B, G Draminski SAC, L Tordella GO — BF=6, Outs=3, H=3, R=2 (C Stryker on J Willis 1B + A Contreras E; J Willis on G Draminski SAC); no WPs detected in Sec4 B sequences; also bats and plays 1B</t>
        </is>
      </c>
    </row>
    <row r="36" ht="15.75" customHeight="1" s="35">
      <c r="A36" s="8" t="inlineStr">
        <is>
          <t>2026-03-25_RVRH_at_HMMN</t>
        </is>
      </c>
      <c r="B36" s="2" t="n">
        <v>46106</v>
      </c>
      <c r="C36" s="8" t="inlineStr">
        <is>
          <t>Hammond Varsity Bears</t>
        </is>
      </c>
      <c r="D36" s="8" t="inlineStr">
        <is>
          <t>RVRH</t>
        </is>
      </c>
      <c r="E36" s="8" t="inlineStr">
        <is>
          <t>E McCoy</t>
        </is>
      </c>
      <c r="F36" s="8" t="n">
        <v>3</v>
      </c>
      <c r="G36" s="8" t="n">
        <v>3</v>
      </c>
      <c r="H36" s="8" t="n">
        <v>0</v>
      </c>
      <c r="I36" s="8" t="n">
        <v>0</v>
      </c>
      <c r="J36" s="8" t="n">
        <v>0</v>
      </c>
      <c r="K36" s="8" t="n">
        <v>0</v>
      </c>
      <c r="L36" s="8" t="n">
        <v>0</v>
      </c>
      <c r="M36" s="8" t="n">
        <v>0</v>
      </c>
      <c r="N36" s="8" t="n">
        <v>0</v>
      </c>
      <c r="O36" s="8" t="n">
        <v>1</v>
      </c>
      <c r="P36" s="8" t="n">
        <v>0</v>
      </c>
      <c r="Q36" s="8" t="n">
        <v>0</v>
      </c>
      <c r="R36" s="8" t="inlineStr">
        <is>
          <t>B7; entry inferred from 'E McCoy pitching' in play #73 description; N Macomber GO, G Garris FO, T Thomas K_S; also bats and fields</t>
        </is>
      </c>
    </row>
    <row r="37" ht="15.75" customHeight="1" s="35">
      <c r="A37" s="8" t="inlineStr">
        <is>
          <t>2026-03-25_RVRH_at_HMMN</t>
        </is>
      </c>
      <c r="B37" s="2" t="n">
        <v>46106</v>
      </c>
      <c r="C37" s="8" t="inlineStr">
        <is>
          <t>Hammond Varsity Bears</t>
        </is>
      </c>
      <c r="D37" s="8" t="inlineStr">
        <is>
          <t>HMMN</t>
        </is>
      </c>
      <c r="E37" s="8" t="inlineStr">
        <is>
          <t>P Yarnell</t>
        </is>
      </c>
      <c r="F37" s="8" t="n">
        <v>6</v>
      </c>
      <c r="G37" s="8" t="n">
        <v>15</v>
      </c>
      <c r="H37" s="8" t="n">
        <v>7</v>
      </c>
      <c r="I37" s="8" t="n">
        <v>5</v>
      </c>
      <c r="J37" s="8" t="n">
        <v>2</v>
      </c>
      <c r="K37" s="8" t="n">
        <v>0</v>
      </c>
      <c r="L37" s="8" t="n">
        <v>0</v>
      </c>
      <c r="M37" s="8" t="n">
        <v>2</v>
      </c>
      <c r="N37" s="8" t="n">
        <v>0</v>
      </c>
      <c r="O37" s="8" t="n">
        <v>3</v>
      </c>
      <c r="P37" s="8" t="n">
        <v>5</v>
      </c>
      <c r="Q37" s="8" t="n">
        <v>0</v>
      </c>
      <c r="R37" s="8" t="inlineStr">
        <is>
          <t>T1–T3 through play #23; 'Lineup changed: P Yarnell in at pitcher' play #1; T1: R Walsh 2B, C Reis 1B, J Norwood BB, H Zhang SAC fly, C Naecker K_L, G Dang K_S — BF=6, Outs=3, H=2, BB=1, K=2, R=1 (R Walsh on SAC fly); T2: A Fields K_S, E McCoy PO, A Contreras PO — BF=3, Outs=3, K=1, R=0; T3 partial (plays #18–#23): R Walsh BB, C Reis 1B, J Norwood 1B, H Zhang 2B, C Naecker 1B, G Dang 1B — BF=6, Outs=0, H=5, BB=1, R=4 (R Walsh on J Norwood 1B; C Reis on H Zhang 2B; H Zhang/McClellan + J Norwood on C Naecker 1B); also bats B1/B3/B6 and plays SS; 3 errors at SS flagged separately</t>
        </is>
      </c>
    </row>
    <row r="38" ht="15.75" customHeight="1" s="35">
      <c r="A38" s="8" t="inlineStr">
        <is>
          <t>2026-03-25_RVRH_at_HMMN</t>
        </is>
      </c>
      <c r="B38" s="2" t="n">
        <v>46106</v>
      </c>
      <c r="C38" s="8" t="inlineStr">
        <is>
          <t>Hammond Varsity Bears</t>
        </is>
      </c>
      <c r="D38" s="8" t="inlineStr">
        <is>
          <t>HMMN</t>
        </is>
      </c>
      <c r="E38" s="8" t="inlineStr">
        <is>
          <t>L Duckworth</t>
        </is>
      </c>
      <c r="F38" s="8" t="n">
        <v>3</v>
      </c>
      <c r="G38" s="8" t="n">
        <v>6</v>
      </c>
      <c r="H38" s="8" t="n">
        <v>1</v>
      </c>
      <c r="I38" s="8" t="n">
        <v>1</v>
      </c>
      <c r="J38" s="8" t="n">
        <v>0</v>
      </c>
      <c r="K38" s="8" t="n">
        <v>0</v>
      </c>
      <c r="L38" s="8" t="n">
        <v>0</v>
      </c>
      <c r="M38" s="8" t="n">
        <v>1</v>
      </c>
      <c r="N38" s="8" t="n">
        <v>0</v>
      </c>
      <c r="O38" s="8" t="n">
        <v>1</v>
      </c>
      <c r="P38" s="8" t="n">
        <v>3</v>
      </c>
      <c r="Q38" s="8" t="n">
        <v>2</v>
      </c>
      <c r="R38" s="8" t="inlineStr">
        <is>
          <t>T3 from play #24; 'Lineup changed: L Duckworth in at pitcher' play #24; A Fields 1B, E McCoy SAC, A Contreras Error-ROE, R Walsh GO, C Reis BB, J Norwood K_L; BF=6, Outs=3, H=1, BB=1, K=1; WP=1 (Sec4 #24: C Naecker scores on WP during A Fields AB); WP=2 (Sec4 #29: C Reis advances to 2nd on WP during J Norwood K AB); R_Allowed=3: C Naecker on WP (#24), G Dang on A Fields 1B (#24), A Fields on R Walsh GO (#27)</t>
        </is>
      </c>
    </row>
    <row r="39" ht="15.75" customHeight="1" s="35">
      <c r="A39" s="8" t="inlineStr">
        <is>
          <t>2026-03-25_RVRH_at_HMMN</t>
        </is>
      </c>
      <c r="B39" s="2" t="n">
        <v>46106</v>
      </c>
      <c r="C39" s="8" t="inlineStr">
        <is>
          <t>Hammond Varsity Bears</t>
        </is>
      </c>
      <c r="D39" s="8" t="inlineStr">
        <is>
          <t>HMMN</t>
        </is>
      </c>
      <c r="E39" s="8" t="inlineStr">
        <is>
          <t>K Gardner</t>
        </is>
      </c>
      <c r="F39" s="8" t="n">
        <v>9</v>
      </c>
      <c r="G39" s="8" t="n">
        <v>18</v>
      </c>
      <c r="H39" s="8" t="n">
        <v>5</v>
      </c>
      <c r="I39" s="8" t="n">
        <v>5</v>
      </c>
      <c r="J39" s="8" t="n">
        <v>0</v>
      </c>
      <c r="K39" s="8" t="n">
        <v>0</v>
      </c>
      <c r="L39" s="8" t="n">
        <v>0</v>
      </c>
      <c r="M39" s="8" t="n">
        <v>2</v>
      </c>
      <c r="N39" s="8" t="n">
        <v>2</v>
      </c>
      <c r="O39" s="8" t="n">
        <v>0</v>
      </c>
      <c r="P39" s="8" t="n">
        <v>3</v>
      </c>
      <c r="Q39" s="8" t="n">
        <v>0</v>
      </c>
      <c r="R39" s="8" t="inlineStr">
        <is>
          <t>T4–T6; 'Lineup changed: K Gardner in at pitcher' play #33; T4: H Zhang 1B (CR C McClellan in), C Naecker FO, G Dang BB (CR E Skolkin in), A Fields BB, E McCoy LO, A Contreras PO — BF=6, Outs=3, H=1, BB=2, R=0; E by SS P Yarnell (HMMN E=2) advancing C McClellan to 3rd (T4 play #36, embedded, Flag #5) — no WP, charged to P Yarnell; T5: R Walsh FO, C Reis 1B, J Norwood 1B, H Zhang HBP (CR C McClellan in), C Naecker SAC fly, G Dang FO — BF=6, Outs=3, H=2, HBP=1, R=1 (C Reis on SAC fly); T6: A Fields 1B, E McCoy FO, A Contreras HBP, R Walsh GO, C Reis 1B, J Norwood FO — BF=6, Outs=3, H=2, HBP=1, R=2 (A Contreras + A Fields on C Reis 1B)</t>
        </is>
      </c>
    </row>
    <row r="40" ht="15.75" customHeight="1" s="35">
      <c r="A40" s="8" t="inlineStr">
        <is>
          <t>2026-03-25_RVRH_at_HMMN</t>
        </is>
      </c>
      <c r="B40" s="2" t="n">
        <v>46106</v>
      </c>
      <c r="C40" s="8" t="inlineStr">
        <is>
          <t>Hammond Varsity Bears</t>
        </is>
      </c>
      <c r="D40" s="8" t="inlineStr">
        <is>
          <t>HMMN</t>
        </is>
      </c>
      <c r="E40" s="8" t="inlineStr">
        <is>
          <t>G Draminski</t>
        </is>
      </c>
      <c r="F40" s="8" t="n">
        <v>3</v>
      </c>
      <c r="G40" s="8" t="n">
        <v>6</v>
      </c>
      <c r="H40" s="8" t="n">
        <v>2</v>
      </c>
      <c r="I40" s="8" t="n">
        <v>1</v>
      </c>
      <c r="J40" s="8" t="n">
        <v>0</v>
      </c>
      <c r="K40" s="8" t="n">
        <v>0</v>
      </c>
      <c r="L40" s="8" t="n">
        <v>1</v>
      </c>
      <c r="M40" s="8" t="n">
        <v>1</v>
      </c>
      <c r="N40" s="8" t="n">
        <v>0</v>
      </c>
      <c r="O40" s="8" t="n">
        <v>1</v>
      </c>
      <c r="P40" s="8" t="n">
        <v>2</v>
      </c>
      <c r="Q40" s="8" t="n">
        <v>0</v>
      </c>
      <c r="R40" s="8" t="inlineStr">
        <is>
          <t>T7; named 'G Draminski pitching' play #66; H Zhang HR, C Naecker BB, R Ronayne K_L, A Fields 1B, E McCoy PO, A Contreras FO; BF=6, Outs=3, H=2, BB=1, K=1, HR=1; R_Allowed=2: H Zhang HR solo (#65), C Naecker scores on E by SS P Yarnell during E McCoy PO AB (#69) — error by fielder, still R_Allowed for active pitcher; also bats B2/B4/B6 and plays 2B</t>
        </is>
      </c>
    </row>
    <row r="41" ht="15.75" customHeight="1" s="35">
      <c r="A41" s="8" t="inlineStr">
        <is>
          <t>2026-03-27_GLNL_at_RVRH</t>
        </is>
      </c>
      <c r="B41" s="2" t="n">
        <v>46108</v>
      </c>
      <c r="C41" s="8" t="inlineStr">
        <is>
          <t>Glenelg Varsity Gladiators</t>
        </is>
      </c>
      <c r="D41" s="8" t="inlineStr">
        <is>
          <t>RVRH</t>
        </is>
      </c>
      <c r="E41" s="8" t="inlineStr">
        <is>
          <t>R Walsh</t>
        </is>
      </c>
      <c r="F41" s="8" t="n">
        <v>12</v>
      </c>
      <c r="G41" s="8" t="n">
        <v>16</v>
      </c>
      <c r="H41" s="8" t="n">
        <v>1</v>
      </c>
      <c r="I41" s="8" t="n">
        <v>1</v>
      </c>
      <c r="J41" s="8" t="n">
        <v>0</v>
      </c>
      <c r="K41" s="8" t="n">
        <v>0</v>
      </c>
      <c r="L41" s="8" t="n">
        <v>0</v>
      </c>
      <c r="M41" s="8" t="n">
        <v>0</v>
      </c>
      <c r="N41" s="8" t="n">
        <v>2</v>
      </c>
      <c r="O41" s="8" t="n">
        <v>4</v>
      </c>
      <c r="P41" s="8" t="n">
        <v>0</v>
      </c>
      <c r="Q41" s="8" t="n">
        <v>0</v>
      </c>
      <c r="R41" s="8" t="inlineStr">
        <is>
          <t>T1–T4; 'Lineup changed: R Walsh in at pitcher' play #1; T1: M Melhuish FO, A Baker PO, C Lease Error-ROE (not a hit), B Conlon FO — BF=4, Outs=3; T2: J Miles PO, A Nazelrod K_L, S Tong K_S — BF=3, Outs=3, K=2; T3: C Brown HBP, T Blayman 1B-bunt, M Melhuish IF Out, A Baker FO, C Lease FC — BF=5, Outs=3, H=1, HBP=1; T4: B Conlon HBP, J Miles FC (B Conlon out), A Nazelrod K_S, S Tong K_L — BF=4, Outs=3, HBP=1, K=2; also bats</t>
        </is>
      </c>
    </row>
    <row r="42" ht="15.75" customHeight="1" s="35">
      <c r="A42" s="8" t="inlineStr">
        <is>
          <t>2026-03-27_GLNL_at_RVRH</t>
        </is>
      </c>
      <c r="B42" s="2" t="n">
        <v>46108</v>
      </c>
      <c r="C42" s="8" t="inlineStr">
        <is>
          <t>Glenelg Varsity Gladiators</t>
        </is>
      </c>
      <c r="D42" s="8" t="inlineStr">
        <is>
          <t>RVRH</t>
        </is>
      </c>
      <c r="E42" s="8" t="inlineStr">
        <is>
          <t>C Reis</t>
        </is>
      </c>
      <c r="F42" s="8" t="n">
        <v>3</v>
      </c>
      <c r="G42" s="8" t="n">
        <v>4</v>
      </c>
      <c r="H42" s="8" t="n">
        <v>0</v>
      </c>
      <c r="I42" s="8" t="n">
        <v>0</v>
      </c>
      <c r="J42" s="8" t="n">
        <v>0</v>
      </c>
      <c r="K42" s="8" t="n">
        <v>0</v>
      </c>
      <c r="L42" s="8" t="n">
        <v>0</v>
      </c>
      <c r="M42" s="8" t="n">
        <v>0</v>
      </c>
      <c r="N42" s="8" t="n">
        <v>1</v>
      </c>
      <c r="O42" s="8" t="n">
        <v>1</v>
      </c>
      <c r="P42" s="8" t="n">
        <v>0</v>
      </c>
      <c r="Q42" s="8" t="n">
        <v>0</v>
      </c>
      <c r="R42" s="8" t="inlineStr">
        <is>
          <t>T5; 'Lineup changed: C Reis in at pitcher' play #54; C Brown HBP, M Shriner PO, B Burkhardt FC (C Brown out), P Moreau K_S; also bats and plays RF</t>
        </is>
      </c>
    </row>
    <row r="43" ht="15.75" customHeight="1" s="35">
      <c r="A43" s="8" t="inlineStr">
        <is>
          <t>2026-03-27_GLNL_at_RVRH</t>
        </is>
      </c>
      <c r="B43" s="2" t="n">
        <v>46108</v>
      </c>
      <c r="C43" s="8" t="inlineStr">
        <is>
          <t>Glenelg Varsity Gladiators</t>
        </is>
      </c>
      <c r="D43" s="8" t="inlineStr">
        <is>
          <t>GLNL</t>
        </is>
      </c>
      <c r="E43" s="8" t="inlineStr">
        <is>
          <t>M Melhuish</t>
        </is>
      </c>
      <c r="F43" s="8" t="n">
        <v>7</v>
      </c>
      <c r="G43" s="8" t="n">
        <v>14</v>
      </c>
      <c r="H43" s="8" t="n">
        <v>3</v>
      </c>
      <c r="I43" s="8" t="n">
        <v>3</v>
      </c>
      <c r="J43" s="8" t="n">
        <v>0</v>
      </c>
      <c r="K43" s="8" t="n">
        <v>0</v>
      </c>
      <c r="L43" s="8" t="n">
        <v>0</v>
      </c>
      <c r="M43" s="8" t="n">
        <v>4</v>
      </c>
      <c r="N43" s="8" t="n">
        <v>2</v>
      </c>
      <c r="O43" s="8" t="n">
        <v>1</v>
      </c>
      <c r="P43" s="8" t="n">
        <v>5</v>
      </c>
      <c r="Q43" s="8" t="n">
        <v>0</v>
      </c>
      <c r="R43" s="8" t="inlineStr">
        <is>
          <t>B1–B2 + B3 through play #26; entry inferred — M Melhuish named in B1 plays #5,#7,#8,#9; B1: R Walsh BB, C Reis HBP, J Norwood BB, H Zhang GDP (2 outs + R Walsh scores), C Naecker K_S — BF=5, Outs=3, BB=2, HBP=1, K=1, R=1; PB by GLNL catcher during J Norwood walk B1 (Sec4 #7: R Walsh to 3rd, C Reis to 2nd) — PB not in pitching schema, noted here; B2: G Dang 1B (CR B Bixby), A Fields FO, E McCoy DP-line-out (B Bixby out) — BF=3, Outs=3, H=1, R=0; B3 plays #21–#26: A Contreras 1B, R Walsh BB, C Reis HBP, J Norwood BB, H Zhang SAC fly, C Naecker 1B — BF=6, Outs=1, H=2, BB=2, HBP=1, R=4 (A Contreras on J Norwood BB, R Walsh on H Zhang SAC fly, J Norwood on throw + C Reis on C Naecker 1B); also bats T1, T3 and plays P</t>
        </is>
      </c>
    </row>
    <row r="44" ht="15.75" customHeight="1" s="35">
      <c r="A44" s="8" t="inlineStr">
        <is>
          <t>2026-03-27_GLNL_at_RVRH</t>
        </is>
      </c>
      <c r="B44" s="2" t="n">
        <v>46108</v>
      </c>
      <c r="C44" s="8" t="inlineStr">
        <is>
          <t>Glenelg Varsity Gladiators</t>
        </is>
      </c>
      <c r="D44" s="8" t="inlineStr">
        <is>
          <t>GLNL</t>
        </is>
      </c>
      <c r="E44" s="8" t="inlineStr">
        <is>
          <t>N Cohen</t>
        </is>
      </c>
      <c r="F44" s="8" t="n">
        <v>1</v>
      </c>
      <c r="G44" s="8" t="n">
        <v>10</v>
      </c>
      <c r="H44" s="8" t="n">
        <v>4</v>
      </c>
      <c r="I44" s="8" t="n">
        <v>3</v>
      </c>
      <c r="J44" s="8" t="n">
        <v>1</v>
      </c>
      <c r="K44" s="8" t="n">
        <v>0</v>
      </c>
      <c r="L44" s="8" t="n">
        <v>0</v>
      </c>
      <c r="M44" s="8" t="n">
        <v>4</v>
      </c>
      <c r="N44" s="8" t="n">
        <v>1</v>
      </c>
      <c r="O44" s="8" t="n">
        <v>0</v>
      </c>
      <c r="P44" s="8" t="n">
        <v>9</v>
      </c>
      <c r="Q44" s="8" t="n">
        <v>1</v>
      </c>
      <c r="R44" s="8" t="inlineStr">
        <is>
          <t>B3 from play #27 (G Dang SAC fly) through play #36 (G Dang 2B); Flag #2: circular substitution in Sec4 #27 — N Cohen credited as active pitcher per final pitcher entry in sequence; BF=10: G Dang SAC fly, A Fields BB, E McCoy 1B, A Contreras BB, R Walsh HBP, C Reis 1B, J Norwood BB, H Zhang BB, C Naecker 1B, G Dang 2B; Outs=1 (G Dang SAC fly); WP=1 (Sec4 #27: C Naecker advances to 3rd on WP during G Dang SAC fly AB); R_Allowed=9: C Naecker (SAC fly from 3rd after WP), A Fields (R Walsh HBP), E McCoy (C Reis 1B), A Contreras (J Norwood BB forced), C McClellan/R Walsh (H Zhang BB forced), J Norwood (C Naecker 1B), C Reis (C Naecker 1B), C Naecker (G Dang 2B), H Zhang (G Dang 2B)</t>
        </is>
      </c>
    </row>
    <row r="45" ht="15.75" customHeight="1" s="35">
      <c r="A45" s="8" t="inlineStr">
        <is>
          <t>2026-03-27_GLNL_at_RVRH</t>
        </is>
      </c>
      <c r="B45" s="2" t="n">
        <v>46108</v>
      </c>
      <c r="C45" s="8" t="inlineStr">
        <is>
          <t>Glenelg Varsity Gladiators</t>
        </is>
      </c>
      <c r="D45" s="8" t="inlineStr">
        <is>
          <t>GLNL</t>
        </is>
      </c>
      <c r="E45" s="8" t="inlineStr">
        <is>
          <t>C Starcher</t>
        </is>
      </c>
      <c r="F45" s="8" t="n">
        <v>4</v>
      </c>
      <c r="G45" s="8" t="n">
        <v>13</v>
      </c>
      <c r="H45" s="8" t="n">
        <v>4</v>
      </c>
      <c r="I45" s="8" t="n">
        <v>4</v>
      </c>
      <c r="J45" s="8" t="n">
        <v>0</v>
      </c>
      <c r="K45" s="8" t="n">
        <v>0</v>
      </c>
      <c r="L45" s="8" t="n">
        <v>0</v>
      </c>
      <c r="M45" s="8" t="n">
        <v>4</v>
      </c>
      <c r="N45" s="8" t="n">
        <v>0</v>
      </c>
      <c r="O45" s="8" t="n">
        <v>0</v>
      </c>
      <c r="P45" s="8" t="n">
        <v>5</v>
      </c>
      <c r="Q45" s="8" t="n">
        <v>2</v>
      </c>
      <c r="R45" s="8" t="inlineStr">
        <is>
          <t>B3 from play #37 (A Fields BB) through end + all of B4; 'C Starcher in for pitcher N Cohen' Sec4 #37; B3 (plays #37–#40): A Fields BB, E McCoy Error-ROE (not H), A Contreras BB, R Walsh PO — BF=4, Outs=1, BB=2, R=2 (A Fields on error, B Bixby/G Dang CR on error — no RBI for E McCoy); WP B3: Sec4 #38 B Bixby to 3rd + A Fields to 2nd on WP during E McCoy AB; B4 (plays #45–#53): C Reis 1B, J Norwood BB, H Zhang 1B, C Naecker SAC fly, G Dang SAC fly, A Fields 1B, E McCoy 1B, B Bixby BB, C McClellan GO — BF=9, Outs=3, H=4 (all 1B), BB=2, R=3 (R Miller/C Reis on C Naecker SAC fly, J Norwood on G Dang SAC fly, H Zhang on E McCoy 1B on throw); WP B4: Sec4 #52 A Fields to 3rd + E McCoy to 2nd on WP during B Bixby walk AB; B Burkhardt subs for C Starcher as batter T5 (play #56 note)</t>
        </is>
      </c>
    </row>
    <row r="46" ht="15.75" customHeight="1" s="35">
      <c r="A46" s="8" t="inlineStr">
        <is>
          <t>2026-03-30_FLLS_at_RVRH</t>
        </is>
      </c>
      <c r="B46" s="2" t="n">
        <v>46111</v>
      </c>
      <c r="C46" s="8" t="inlineStr">
        <is>
          <t>Fallston Varsity Cougars</t>
        </is>
      </c>
      <c r="D46" s="8" t="inlineStr">
        <is>
          <t>RVRH</t>
        </is>
      </c>
      <c r="E46" s="8" t="inlineStr">
        <is>
          <t>J Jenkins</t>
        </is>
      </c>
      <c r="F46" s="8" t="n">
        <v>12</v>
      </c>
      <c r="G46" s="8" t="n">
        <v>18</v>
      </c>
      <c r="H46" s="8" t="n">
        <v>4</v>
      </c>
      <c r="I46" s="8" t="n">
        <v>4</v>
      </c>
      <c r="J46" s="8" t="n">
        <v>0</v>
      </c>
      <c r="K46" s="8" t="n">
        <v>0</v>
      </c>
      <c r="L46" s="8" t="n">
        <v>0</v>
      </c>
      <c r="M46" s="8" t="n">
        <v>1</v>
      </c>
      <c r="N46" s="8" t="n">
        <v>0</v>
      </c>
      <c r="O46" s="8" t="n">
        <v>5</v>
      </c>
      <c r="P46" s="8" t="n">
        <v>1</v>
      </c>
      <c r="Q46" s="8" t="n">
        <v>2</v>
      </c>
      <c r="R46" s="8" t="inlineStr">
        <is>
          <t>T1–T4; 'Lineup changed: J Jenkins in at pitcher' play #1; T1: E Slicher GO, W Kregel K_S, Z Loewe 1B, F Rebasti K_S — BF=4, Outs=3, H=1, K=2; WP T1: Sec4 #4 Z Loewe advances to 2nd on WP during F Rebasti K AB; T2: R Conley K_L, G Kersch Error-ROE, J Potler BB (CR R Cullison), J Schilpp K_L, I Bishoff 1B, E Slicher FO — BF=6, Outs=3, H=1, BB=1, K=2; T3: W Kregel GO, Z Loewe 1B, F Rebasti GO, R Conley FO — BF=4, Outs=3, H=1, R=1 (Z Loewe on F Rebasti GO); T4: G Kersch GO, J Potler 1B (CR C Blair), J Schilpp FC (C Blair out), I Bishoff K_S — BF=4, Outs=3, H=1, K=1; WP T4: Sec4 #33 J Schilpp advances to 3rd on WP during I Bishoff K AB</t>
        </is>
      </c>
    </row>
    <row r="47" ht="15.75" customHeight="1" s="35">
      <c r="A47" s="8" t="inlineStr">
        <is>
          <t>2026-03-30_FLLS_at_RVRH</t>
        </is>
      </c>
      <c r="B47" s="2" t="n">
        <v>46111</v>
      </c>
      <c r="C47" s="8" t="inlineStr">
        <is>
          <t>Fallston Varsity Cougars</t>
        </is>
      </c>
      <c r="D47" s="8" t="inlineStr">
        <is>
          <t>RVRH</t>
        </is>
      </c>
      <c r="E47" s="8" t="inlineStr">
        <is>
          <t>C Reis</t>
        </is>
      </c>
      <c r="F47" s="8" t="n">
        <v>6</v>
      </c>
      <c r="G47" s="8" t="n">
        <v>10</v>
      </c>
      <c r="H47" s="8" t="n">
        <v>3</v>
      </c>
      <c r="I47" s="8" t="n">
        <v>2</v>
      </c>
      <c r="J47" s="8" t="n">
        <v>0</v>
      </c>
      <c r="K47" s="8" t="n">
        <v>0</v>
      </c>
      <c r="L47" s="8" t="n">
        <v>1</v>
      </c>
      <c r="M47" s="8" t="n">
        <v>1</v>
      </c>
      <c r="N47" s="8" t="n">
        <v>0</v>
      </c>
      <c r="O47" s="8" t="n">
        <v>3</v>
      </c>
      <c r="P47" s="8" t="n">
        <v>2</v>
      </c>
      <c r="Q47" s="8" t="n">
        <v>0</v>
      </c>
      <c r="R47" s="8" t="inlineStr">
        <is>
          <t>T5–T6; entry inferred from 'C Reis pitching' in play descriptions (#43,#44,#45,#53); T5: E Slicher 1B, W Kregel 1B, Z Loewe FC (W Kregel out), F Rebasti BB (E Slicher scores on G Dang error during AB; Flag #3), R Conley K_S, G Kersch K_S — BF=6, Outs=3, H=2, BB=1, K=2, R=1; T6: J Potler HR (solo), J Schilpp GO, I Bishoff K_L, E Slicher FO — BF=4, Outs=3, HR=1, H=1, K=1, R=1; also bats and plays RF</t>
        </is>
      </c>
    </row>
    <row r="48" ht="15.75" customHeight="1" s="35">
      <c r="A48" s="8" t="inlineStr">
        <is>
          <t>2026-03-30_FLLS_at_RVRH</t>
        </is>
      </c>
      <c r="B48" s="2" t="n">
        <v>46111</v>
      </c>
      <c r="C48" s="8" t="inlineStr">
        <is>
          <t>Fallston Varsity Cougars</t>
        </is>
      </c>
      <c r="D48" s="8" t="inlineStr">
        <is>
          <t>RVRH</t>
        </is>
      </c>
      <c r="E48" s="8" t="inlineStr">
        <is>
          <t>R Walsh</t>
        </is>
      </c>
      <c r="F48" s="8" t="n">
        <v>3</v>
      </c>
      <c r="G48" s="8" t="n">
        <v>3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8" t="n">
        <v>2</v>
      </c>
      <c r="P48" s="8" t="n">
        <v>0</v>
      </c>
      <c r="Q48" s="8" t="n">
        <v>0</v>
      </c>
      <c r="R48" s="8" t="inlineStr">
        <is>
          <t>T7; named 'R Walsh pitching' play #61, 'P R Walsh' play #62, 'R Walsh pitching' play #63; W Kregel K_L, Z Loewe GO, F Rebasti K_S; also bats and plays SS</t>
        </is>
      </c>
    </row>
    <row r="49" ht="15.75" customHeight="1" s="35">
      <c r="A49" s="8" t="inlineStr">
        <is>
          <t>2026-03-30_FLLS_at_RVRH</t>
        </is>
      </c>
      <c r="B49" s="2" t="n">
        <v>46111</v>
      </c>
      <c r="C49" s="8" t="inlineStr">
        <is>
          <t>Fallston Varsity Cougars</t>
        </is>
      </c>
      <c r="D49" s="8" t="inlineStr">
        <is>
          <t>FLLS</t>
        </is>
      </c>
      <c r="E49" s="8" t="inlineStr">
        <is>
          <t>C Flanagan</t>
        </is>
      </c>
      <c r="F49" s="8" t="n">
        <v>9</v>
      </c>
      <c r="G49" s="8" t="n">
        <v>15</v>
      </c>
      <c r="H49" s="8" t="n">
        <v>4</v>
      </c>
      <c r="I49" s="8" t="n">
        <v>2</v>
      </c>
      <c r="J49" s="8" t="n">
        <v>1</v>
      </c>
      <c r="K49" s="8" t="n">
        <v>0</v>
      </c>
      <c r="L49" s="8" t="n">
        <v>1</v>
      </c>
      <c r="M49" s="8" t="n">
        <v>1</v>
      </c>
      <c r="N49" s="8" t="n">
        <v>1</v>
      </c>
      <c r="O49" s="8" t="n">
        <v>2</v>
      </c>
      <c r="P49" s="8" t="n">
        <v>3</v>
      </c>
      <c r="Q49" s="8" t="n">
        <v>0</v>
      </c>
      <c r="R49" s="8" t="inlineStr">
        <is>
          <t>B1–B3; 'Lineup changed: C Flanagan in at pitcher' play #5; B1: R Walsh 1B, C Reis GO, J Norwood 2B, H Zhang HR (2-run), C Naecker PO, G Dang HBP (CR C McClellan in), A Fields BB, E McCoy K_S — BF=8, Outs=3, H=3 (1B+2B+HR), BB=1, HBP=1, K=1, HR=1, R=3; B2: A Contreras FO, R Walsh K_S, C Reis FO — BF=3, Outs=3, R=0; B3: J Norwood FO, H Zhang FO, C Naecker 1B, G Dang K_S (foul tip) — BF=4, Outs=3, H=1, K=1, R=0; no WPs detected in Sec4 B1–B3 sequences</t>
        </is>
      </c>
    </row>
    <row r="50" ht="15.75" customHeight="1" s="35">
      <c r="A50" s="8" t="inlineStr">
        <is>
          <t>2026-03-30_FLLS_at_RVRH</t>
        </is>
      </c>
      <c r="B50" s="2" t="n">
        <v>46111</v>
      </c>
      <c r="C50" s="8" t="inlineStr">
        <is>
          <t>Fallston Varsity Cougars</t>
        </is>
      </c>
      <c r="D50" s="8" t="inlineStr">
        <is>
          <t>FLLS</t>
        </is>
      </c>
      <c r="E50" s="8" t="inlineStr">
        <is>
          <t>R Cullison</t>
        </is>
      </c>
      <c r="F50" s="8" t="n">
        <v>9</v>
      </c>
      <c r="G50" s="8" t="n">
        <v>18</v>
      </c>
      <c r="H50" s="8" t="n">
        <v>7</v>
      </c>
      <c r="I50" s="8" t="n">
        <v>5</v>
      </c>
      <c r="J50" s="8" t="n">
        <v>2</v>
      </c>
      <c r="K50" s="8" t="n">
        <v>0</v>
      </c>
      <c r="L50" s="8" t="n">
        <v>0</v>
      </c>
      <c r="M50" s="8" t="n">
        <v>1</v>
      </c>
      <c r="N50" s="8" t="n">
        <v>0</v>
      </c>
      <c r="O50" s="8" t="n">
        <v>1</v>
      </c>
      <c r="P50" s="8" t="n">
        <v>4</v>
      </c>
      <c r="Q50" s="8" t="n">
        <v>1</v>
      </c>
      <c r="R50" s="8" t="inlineStr">
        <is>
          <t>B4–B6 + B7 (0 outs); 'Lineup changed: R Cullison in at pitcher' play #34; B4: A Fields FO, E McCoy BB, A Contreras 1B, R Walsh 2B (E McCoy scores), C Reis SAC fly (A Contreras scores), J Norwood FO — BF=6, Outs=3, H=2, BB=1, R=2; B5: H Zhang 1B (CR B Bixby — stranded at 3rd), C Naecker 1B, G Dang FO, A Fields FO, E McCoy FO — BF=5, Outs=3, H=2, R=0; B6: A Contreras GO, R Walsh K_L, C Reis 1B, J Norwood 2B (C Reis scores on throw; Flag #4), H Zhang 1B (J Norwood scores), C Naecker PO — BF=6, Outs=3, H=3, K=1, R=2; WP B6: Sec4 #59 J Norwood advances to 3rd on WP during H Zhang 1B AB; B7: G Dang no outcome (Flag #1), BF=1, Outs=0; also plays CR for J Potler T2 (FLLS batting half) and bats for FLLS</t>
        </is>
      </c>
    </row>
    <row r="51" ht="15.75" customHeight="1" s="35">
      <c r="A51" s="8" t="inlineStr">
        <is>
          <t>2026-03-07_ELNR_at_NRTH</t>
        </is>
      </c>
      <c r="B51" s="2" t="n">
        <v>46088</v>
      </c>
      <c r="C51" s="8" t="inlineStr">
        <is>
          <t>North Point Varsity Eagles</t>
        </is>
      </c>
      <c r="D51" s="8" t="inlineStr">
        <is>
          <t>ELNR</t>
        </is>
      </c>
      <c r="E51" s="8" t="inlineStr">
        <is>
          <t>J Burke</t>
        </is>
      </c>
      <c r="F51" s="8" t="n">
        <v>3</v>
      </c>
      <c r="G51" s="8" t="n">
        <v>12</v>
      </c>
      <c r="H51" s="8" t="n">
        <v>5</v>
      </c>
      <c r="I51" s="8" t="n">
        <v>5</v>
      </c>
      <c r="J51" s="8" t="n">
        <v>0</v>
      </c>
      <c r="K51" s="8" t="n">
        <v>0</v>
      </c>
      <c r="L51" s="8" t="n">
        <v>0</v>
      </c>
      <c r="M51" s="8" t="n">
        <v>3</v>
      </c>
      <c r="N51" s="8" t="n">
        <v>0</v>
      </c>
      <c r="O51" s="8" t="n">
        <v>1</v>
      </c>
      <c r="P51" s="8" t="n">
        <v>7</v>
      </c>
      <c r="Q51" s="8" t="n">
        <v>0</v>
      </c>
      <c r="R51" s="8" t="inlineStr">
        <is>
          <t>B1. PB during Seq#16 (T Roy/C Pettko advance) — PB not in schema, noted here. J Burke also bats T2/T4.</t>
        </is>
      </c>
    </row>
    <row r="52" ht="15.75" customHeight="1" s="35">
      <c r="A52" s="8" t="inlineStr">
        <is>
          <t>2026-03-07_ELNR_at_NRTH</t>
        </is>
      </c>
      <c r="B52" s="2" t="n">
        <v>46088</v>
      </c>
      <c r="C52" s="8" t="inlineStr">
        <is>
          <t>North Point Varsity Eagles</t>
        </is>
      </c>
      <c r="D52" s="8" t="inlineStr">
        <is>
          <t>ELNR</t>
        </is>
      </c>
      <c r="E52" s="8" t="inlineStr">
        <is>
          <t>M Keaton</t>
        </is>
      </c>
      <c r="F52" s="8" t="n">
        <v>9</v>
      </c>
      <c r="G52" s="8" t="n">
        <v>17</v>
      </c>
      <c r="H52" s="8" t="n">
        <v>4</v>
      </c>
      <c r="I52" s="8" t="n">
        <v>2</v>
      </c>
      <c r="J52" s="8" t="n">
        <v>1</v>
      </c>
      <c r="K52" s="8" t="n">
        <v>0</v>
      </c>
      <c r="L52" s="8" t="n">
        <v>1</v>
      </c>
      <c r="M52" s="8" t="n">
        <v>2</v>
      </c>
      <c r="N52" s="8" t="n">
        <v>1</v>
      </c>
      <c r="O52" s="8" t="n">
        <v>0</v>
      </c>
      <c r="P52" s="8" t="n">
        <v>6</v>
      </c>
      <c r="Q52" s="8" t="n">
        <v>1</v>
      </c>
      <c r="R52" s="8" t="inlineStr">
        <is>
          <t>B2-B4; entry per Lineup changed note play #24. WP B2: S Dixon advances to 2nd (Seq#28).</t>
        </is>
      </c>
    </row>
    <row r="53" ht="15.75" customHeight="1" s="35">
      <c r="A53" s="8" t="inlineStr">
        <is>
          <t>2026-03-07_ELNR_at_NRTH</t>
        </is>
      </c>
      <c r="B53" s="2" t="n">
        <v>46088</v>
      </c>
      <c r="C53" s="8" t="inlineStr">
        <is>
          <t>North Point Varsity Eagles</t>
        </is>
      </c>
      <c r="D53" s="8" t="inlineStr">
        <is>
          <t>ELNR</t>
        </is>
      </c>
      <c r="E53" s="8" t="inlineStr">
        <is>
          <t>A Kennell</t>
        </is>
      </c>
      <c r="F53" s="8" t="n">
        <v>3</v>
      </c>
      <c r="G53" s="8" t="n">
        <v>7</v>
      </c>
      <c r="H53" s="8" t="n">
        <v>1</v>
      </c>
      <c r="I53" s="8" t="n">
        <v>0</v>
      </c>
      <c r="J53" s="8" t="n">
        <v>1</v>
      </c>
      <c r="K53" s="8" t="n">
        <v>0</v>
      </c>
      <c r="L53" s="8" t="n">
        <v>0</v>
      </c>
      <c r="M53" s="8" t="n">
        <v>2</v>
      </c>
      <c r="N53" s="8" t="n">
        <v>0</v>
      </c>
      <c r="O53" s="8" t="n">
        <v>0</v>
      </c>
      <c r="P53" s="8" t="n">
        <v>1</v>
      </c>
      <c r="Q53" s="8" t="n">
        <v>1</v>
      </c>
      <c r="R53" s="8" t="inlineStr">
        <is>
          <t>B5; entry inferred from play descriptions (plays #59-60); no Lineup changed note. WP B5: T Roy advances to 3rd (Seq#55). A Kennell also bats T2/T3.</t>
        </is>
      </c>
    </row>
    <row r="54" ht="15.75" customHeight="1" s="35">
      <c r="A54" s="8" t="inlineStr">
        <is>
          <t>2026-03-07_ELNR_at_NRTH</t>
        </is>
      </c>
      <c r="B54" s="2" t="n">
        <v>46088</v>
      </c>
      <c r="C54" s="8" t="inlineStr">
        <is>
          <t>North Point Varsity Eagles</t>
        </is>
      </c>
      <c r="D54" s="8" t="inlineStr">
        <is>
          <t>NRTH</t>
        </is>
      </c>
      <c r="E54" s="8" t="inlineStr">
        <is>
          <t>C Pettko</t>
        </is>
      </c>
      <c r="F54" s="8" t="n">
        <v>6</v>
      </c>
      <c r="G54" s="8" t="n">
        <v>11</v>
      </c>
      <c r="H54" s="8" t="n">
        <v>1</v>
      </c>
      <c r="I54" s="8" t="n">
        <v>1</v>
      </c>
      <c r="J54" s="8" t="n">
        <v>0</v>
      </c>
      <c r="K54" s="8" t="n">
        <v>0</v>
      </c>
      <c r="L54" s="8" t="n">
        <v>0</v>
      </c>
      <c r="M54" s="8" t="n">
        <v>2</v>
      </c>
      <c r="N54" s="8" t="n">
        <v>2</v>
      </c>
      <c r="O54" s="8" t="n">
        <v>1</v>
      </c>
      <c r="P54" s="8" t="n">
        <v>0</v>
      </c>
      <c r="Q54" s="8" t="n">
        <v>0</v>
      </c>
      <c r="R54" s="8" t="inlineStr">
        <is>
          <t>T1-T2; entry inferred from play descriptions — no Lineup changed note (Flag #11). C Pettko also bats for NRTH.</t>
        </is>
      </c>
    </row>
    <row r="55" ht="15.75" customHeight="1" s="35">
      <c r="A55" s="8" t="inlineStr">
        <is>
          <t>2026-03-07_ELNR_at_NRTH</t>
        </is>
      </c>
      <c r="B55" s="2" t="n">
        <v>46088</v>
      </c>
      <c r="C55" s="8" t="inlineStr">
        <is>
          <t>North Point Varsity Eagles</t>
        </is>
      </c>
      <c r="D55" s="8" t="inlineStr">
        <is>
          <t>NRTH</t>
        </is>
      </c>
      <c r="E55" s="8" t="inlineStr">
        <is>
          <t>A Harding</t>
        </is>
      </c>
      <c r="F55" s="8" t="n">
        <v>3</v>
      </c>
      <c r="G55" s="8" t="n">
        <v>5</v>
      </c>
      <c r="H55" s="8" t="n">
        <v>0</v>
      </c>
      <c r="I55" s="8" t="n">
        <v>0</v>
      </c>
      <c r="J55" s="8" t="n">
        <v>0</v>
      </c>
      <c r="K55" s="8" t="n">
        <v>0</v>
      </c>
      <c r="L55" s="8" t="n">
        <v>0</v>
      </c>
      <c r="M55" s="8" t="n">
        <v>1</v>
      </c>
      <c r="N55" s="8" t="n">
        <v>0</v>
      </c>
      <c r="O55" s="8" t="n">
        <v>2</v>
      </c>
      <c r="P55" s="8" t="n">
        <v>1</v>
      </c>
      <c r="Q55" s="8" t="n">
        <v>0</v>
      </c>
      <c r="R55" s="8" t="inlineStr">
        <is>
          <t>T3; entry inferred — no Lineup changed note. Balk T3 (Seq#33, play #33) — not in schema, noted here; R_Allowed=1 (C Knight scores on balk). A Harding also bats for NRTH.</t>
        </is>
      </c>
    </row>
    <row r="56" ht="15.75" customHeight="1" s="35">
      <c r="A56" s="8" t="inlineStr">
        <is>
          <t>2026-03-07_ELNR_at_NRTH</t>
        </is>
      </c>
      <c r="B56" s="2" t="n">
        <v>46088</v>
      </c>
      <c r="C56" s="8" t="inlineStr">
        <is>
          <t>North Point Varsity Eagles</t>
        </is>
      </c>
      <c r="D56" s="8" t="inlineStr">
        <is>
          <t>NRTH</t>
        </is>
      </c>
      <c r="E56" s="8" t="inlineStr">
        <is>
          <t>Z Bowman</t>
        </is>
      </c>
      <c r="F56" s="8" t="n">
        <v>3</v>
      </c>
      <c r="G56" s="8" t="n">
        <v>3</v>
      </c>
      <c r="H56" s="8" t="n">
        <v>0</v>
      </c>
      <c r="I56" s="8" t="n">
        <v>0</v>
      </c>
      <c r="J56" s="8" t="n">
        <v>0</v>
      </c>
      <c r="K56" s="8" t="n">
        <v>0</v>
      </c>
      <c r="L56" s="8" t="n">
        <v>0</v>
      </c>
      <c r="M56" s="8" t="n">
        <v>0</v>
      </c>
      <c r="N56" s="8" t="n">
        <v>0</v>
      </c>
      <c r="O56" s="8" t="n">
        <v>2</v>
      </c>
      <c r="P56" s="8" t="n">
        <v>0</v>
      </c>
      <c r="Q56" s="8" t="n">
        <v>0</v>
      </c>
      <c r="R56" s="8" t="inlineStr">
        <is>
          <t>T4; entry inferred. Replaced by J Smith per play #50 note. Z Bowman also bats for NRTH.</t>
        </is>
      </c>
    </row>
    <row r="57" ht="15.75" customHeight="1" s="35">
      <c r="A57" s="8" t="inlineStr">
        <is>
          <t>2026-03-07_ELNR_at_NRTH</t>
        </is>
      </c>
      <c r="B57" s="2" t="n">
        <v>46088</v>
      </c>
      <c r="C57" s="8" t="inlineStr">
        <is>
          <t>North Point Varsity Eagles</t>
        </is>
      </c>
      <c r="D57" s="8" t="inlineStr">
        <is>
          <t>NRTH</t>
        </is>
      </c>
      <c r="E57" s="8" t="inlineStr">
        <is>
          <t>J Smith</t>
        </is>
      </c>
      <c r="F57" s="8" t="n">
        <v>3</v>
      </c>
      <c r="G57" s="8" t="n">
        <v>4</v>
      </c>
      <c r="H57" s="8" t="n">
        <v>0</v>
      </c>
      <c r="I57" s="8" t="n">
        <v>0</v>
      </c>
      <c r="J57" s="8" t="n">
        <v>0</v>
      </c>
      <c r="K57" s="8" t="n">
        <v>0</v>
      </c>
      <c r="L57" s="8" t="n">
        <v>0</v>
      </c>
      <c r="M57" s="8" t="n">
        <v>1</v>
      </c>
      <c r="N57" s="8" t="n">
        <v>0</v>
      </c>
      <c r="O57" s="8" t="n">
        <v>0</v>
      </c>
      <c r="P57" s="8" t="n">
        <v>0</v>
      </c>
      <c r="Q57" s="8" t="n">
        <v>0</v>
      </c>
      <c r="R57" s="8" t="inlineStr">
        <is>
          <t>T5; entry per play #50 note ("J Smith in for pitcher Z Bowman"). T White at-bat (play #62, T6) has no recorded outcome — scoring artifact per Flag #1; not counted as BF. J Smith also bats for NRTH (B5).</t>
        </is>
      </c>
    </row>
    <row r="58" ht="15.75" customHeight="1" s="35">
      <c r="A58" s="8" t="inlineStr">
        <is>
          <t>2026-03-14_NRTH_at_ARND</t>
        </is>
      </c>
      <c r="B58" s="2" t="n">
        <v>46095</v>
      </c>
      <c r="C58" s="8" t="inlineStr">
        <is>
          <t>ARND</t>
        </is>
      </c>
      <c r="D58" s="8" t="inlineStr">
        <is>
          <t>NRTH</t>
        </is>
      </c>
      <c r="E58" s="8" t="inlineStr">
        <is>
          <t>C Pettko</t>
        </is>
      </c>
      <c r="F58" s="8" t="n">
        <v>4</v>
      </c>
      <c r="G58" s="8" t="n">
        <v>14</v>
      </c>
      <c r="H58" s="8" t="n">
        <v>3</v>
      </c>
      <c r="I58" s="8" t="n">
        <v>2</v>
      </c>
      <c r="J58" s="8" t="n">
        <v>1</v>
      </c>
      <c r="K58" s="8" t="n">
        <v>0</v>
      </c>
      <c r="L58" s="8" t="n">
        <v>0</v>
      </c>
      <c r="M58" s="8" t="n">
        <v>2</v>
      </c>
      <c r="N58" s="8" t="n">
        <v>3</v>
      </c>
      <c r="O58" s="8" t="n">
        <v>2</v>
      </c>
      <c r="P58" s="8" t="n">
        <v>6</v>
      </c>
      <c r="Q58" s="8" t="n">
        <v>2</v>
      </c>
      <c r="R58" s="8" t="inlineStr">
        <is>
          <t>B1 plays#5-11 + B2 plays#16-21,#23; entry inferred play#5; WP x2 plays#17,#19; pitcher anomaly B2 (Flag#4)</t>
        </is>
      </c>
    </row>
    <row r="59" ht="15.75" customHeight="1" s="35">
      <c r="A59" s="8" t="inlineStr">
        <is>
          <t>2026-03-14_NRTH_at_ARND</t>
        </is>
      </c>
      <c r="B59" s="2" t="n">
        <v>46095</v>
      </c>
      <c r="C59" s="8" t="inlineStr">
        <is>
          <t>ARND</t>
        </is>
      </c>
      <c r="D59" s="8" t="inlineStr">
        <is>
          <t>NRTH</t>
        </is>
      </c>
      <c r="E59" s="8" t="inlineStr">
        <is>
          <t>T Roy</t>
        </is>
      </c>
      <c r="F59" s="8" t="n">
        <v>3</v>
      </c>
      <c r="G59" s="8" t="n">
        <v>10</v>
      </c>
      <c r="H59" s="8" t="n">
        <v>0</v>
      </c>
      <c r="I59" s="8" t="n">
        <v>0</v>
      </c>
      <c r="J59" s="8" t="n">
        <v>0</v>
      </c>
      <c r="K59" s="8" t="n">
        <v>0</v>
      </c>
      <c r="L59" s="8" t="n">
        <v>0</v>
      </c>
      <c r="M59" s="8" t="n">
        <v>7</v>
      </c>
      <c r="N59" s="8" t="n">
        <v>0</v>
      </c>
      <c r="O59" s="8" t="n">
        <v>0</v>
      </c>
      <c r="P59" s="8" t="n">
        <v>2</v>
      </c>
      <c r="Q59" s="8" t="n">
        <v>1</v>
      </c>
      <c r="R59" s="8" t="inlineStr">
        <is>
          <t>Non-consecutive: B2 plays#22,#25; B3 plays#31-35; B4 plays#40-41; WP x1 play#22; pitcher anomaly B2 (Flag#4)</t>
        </is>
      </c>
    </row>
    <row r="60" ht="15.75" customHeight="1" s="35">
      <c r="A60" s="8" t="inlineStr">
        <is>
          <t>2026-03-14_NRTH_at_ARND</t>
        </is>
      </c>
      <c r="B60" s="2" t="n">
        <v>46095</v>
      </c>
      <c r="C60" s="8" t="inlineStr">
        <is>
          <t>ARND</t>
        </is>
      </c>
      <c r="D60" s="8" t="inlineStr">
        <is>
          <t>NRTH</t>
        </is>
      </c>
      <c r="E60" s="8" t="inlineStr">
        <is>
          <t>J Smith</t>
        </is>
      </c>
      <c r="F60" s="8" t="n">
        <v>5</v>
      </c>
      <c r="G60" s="8" t="n">
        <v>10</v>
      </c>
      <c r="H60" s="8" t="n">
        <v>3</v>
      </c>
      <c r="I60" s="8" t="n">
        <v>2</v>
      </c>
      <c r="J60" s="8" t="n">
        <v>0</v>
      </c>
      <c r="K60" s="8" t="n">
        <v>1</v>
      </c>
      <c r="L60" s="8" t="n">
        <v>0</v>
      </c>
      <c r="M60" s="8" t="n">
        <v>2</v>
      </c>
      <c r="N60" s="8" t="n">
        <v>0</v>
      </c>
      <c r="O60" s="8" t="n">
        <v>1</v>
      </c>
      <c r="P60" s="8" t="n">
        <v>6</v>
      </c>
      <c r="Q60" s="8" t="n">
        <v>1</v>
      </c>
      <c r="R60" s="8" t="inlineStr">
        <is>
          <t>Entry play#22 note; B2 plays#24,#26; B4 plays#42-49; WP x1 play#26</t>
        </is>
      </c>
    </row>
    <row r="61" ht="15.75" customHeight="1" s="35">
      <c r="A61" s="8" t="inlineStr">
        <is>
          <t>2026-03-14_NRTH_at_ARND</t>
        </is>
      </c>
      <c r="B61" s="2" t="n">
        <v>46095</v>
      </c>
      <c r="C61" s="8" t="inlineStr">
        <is>
          <t>ARND</t>
        </is>
      </c>
      <c r="D61" s="8" t="inlineStr">
        <is>
          <t>NRTH</t>
        </is>
      </c>
      <c r="E61" s="8" t="inlineStr">
        <is>
          <t>W Kwisnek</t>
        </is>
      </c>
      <c r="F61" s="8" t="n">
        <v>0</v>
      </c>
      <c r="G61" s="8" t="n">
        <v>5</v>
      </c>
      <c r="H61" s="8" t="n">
        <v>0</v>
      </c>
      <c r="I61" s="8" t="n">
        <v>0</v>
      </c>
      <c r="J61" s="8" t="n">
        <v>0</v>
      </c>
      <c r="K61" s="8" t="n">
        <v>0</v>
      </c>
      <c r="L61" s="8" t="n">
        <v>0</v>
      </c>
      <c r="M61" s="8" t="n">
        <v>4</v>
      </c>
      <c r="N61" s="8" t="n">
        <v>0</v>
      </c>
      <c r="O61" s="8" t="n">
        <v>0</v>
      </c>
      <c r="P61" s="8" t="n">
        <v>3</v>
      </c>
      <c r="Q61" s="8" t="n">
        <v>1</v>
      </c>
      <c r="R61" s="8" t="inlineStr">
        <is>
          <t>Entry play#59; B5 incomplete (Flag#1); WP x1 play#63; 1 unattributed run play#63 score 19-&gt;21</t>
        </is>
      </c>
    </row>
    <row r="62" ht="15.75" customHeight="1" s="35">
      <c r="A62" s="8" t="inlineStr">
        <is>
          <t>2026-03-14_NRTH_at_ARND</t>
        </is>
      </c>
      <c r="B62" s="2" t="n">
        <v>46095</v>
      </c>
      <c r="C62" s="8" t="inlineStr">
        <is>
          <t>NRTH</t>
        </is>
      </c>
      <c r="D62" s="8" t="inlineStr">
        <is>
          <t>ARND</t>
        </is>
      </c>
      <c r="E62" s="8" t="inlineStr">
        <is>
          <t>G O'Donnell</t>
        </is>
      </c>
      <c r="F62" s="8" t="n">
        <v>6</v>
      </c>
      <c r="G62" s="8" t="n">
        <v>8</v>
      </c>
      <c r="H62" s="8" t="n">
        <v>1</v>
      </c>
      <c r="I62" s="8" t="n">
        <v>0</v>
      </c>
      <c r="J62" s="8" t="n">
        <v>1</v>
      </c>
      <c r="K62" s="8" t="n">
        <v>0</v>
      </c>
      <c r="L62" s="8" t="n">
        <v>0</v>
      </c>
      <c r="M62" s="8" t="n">
        <v>1</v>
      </c>
      <c r="N62" s="8" t="n">
        <v>0</v>
      </c>
      <c r="O62" s="8" t="n">
        <v>4</v>
      </c>
      <c r="P62" s="8" t="n">
        <v>0</v>
      </c>
      <c r="Q62" s="8" t="n">
        <v>0</v>
      </c>
      <c r="R62" s="8" t="inlineStr">
        <is>
          <t>Entry play#1; T1 plays#1-4 + T2 plays#12-15; exit T3 play#27 (J Witcher in)</t>
        </is>
      </c>
    </row>
    <row r="63" ht="15.75" customHeight="1" s="35">
      <c r="A63" s="8" t="inlineStr">
        <is>
          <t>2026-03-14_NRTH_at_ARND</t>
        </is>
      </c>
      <c r="B63" s="2" t="n">
        <v>46095</v>
      </c>
      <c r="C63" s="8" t="inlineStr">
        <is>
          <t>NRTH</t>
        </is>
      </c>
      <c r="D63" s="8" t="inlineStr">
        <is>
          <t>ARND</t>
        </is>
      </c>
      <c r="E63" s="8" t="inlineStr">
        <is>
          <t>J Witcher</t>
        </is>
      </c>
      <c r="F63" s="8" t="n">
        <v>6</v>
      </c>
      <c r="G63" s="8" t="n">
        <v>7</v>
      </c>
      <c r="H63" s="8" t="n">
        <v>0</v>
      </c>
      <c r="I63" s="8" t="n">
        <v>0</v>
      </c>
      <c r="J63" s="8" t="n">
        <v>0</v>
      </c>
      <c r="K63" s="8" t="n">
        <v>0</v>
      </c>
      <c r="L63" s="8" t="n">
        <v>0</v>
      </c>
      <c r="M63" s="8" t="n">
        <v>1</v>
      </c>
      <c r="N63" s="8" t="n">
        <v>0</v>
      </c>
      <c r="O63" s="8" t="n">
        <v>3</v>
      </c>
      <c r="P63" s="8" t="n">
        <v>0</v>
      </c>
      <c r="Q63" s="8" t="n">
        <v>0</v>
      </c>
      <c r="R63" s="8" t="inlineStr">
        <is>
          <t>Entry play#27; T3 plays#27-29 + T4 plays#36-39; exit T5 play#50 (L Atherton in)</t>
        </is>
      </c>
    </row>
    <row r="64" ht="15.75" customHeight="1" s="35">
      <c r="A64" s="8" t="inlineStr">
        <is>
          <t>2026-03-14_NRTH_at_ARND</t>
        </is>
      </c>
      <c r="B64" s="2" t="n">
        <v>46095</v>
      </c>
      <c r="C64" s="8" t="inlineStr">
        <is>
          <t>NRTH</t>
        </is>
      </c>
      <c r="D64" s="8" t="inlineStr">
        <is>
          <t>ARND</t>
        </is>
      </c>
      <c r="E64" s="8" t="inlineStr">
        <is>
          <t>L Atherton</t>
        </is>
      </c>
      <c r="F64" s="8" t="n">
        <v>3</v>
      </c>
      <c r="G64" s="8" t="n">
        <v>4</v>
      </c>
      <c r="H64" s="8" t="n">
        <v>1</v>
      </c>
      <c r="I64" s="8" t="n">
        <v>0</v>
      </c>
      <c r="J64" s="8" t="n">
        <v>1</v>
      </c>
      <c r="K64" s="8" t="n">
        <v>0</v>
      </c>
      <c r="L64" s="8" t="n">
        <v>0</v>
      </c>
      <c r="M64" s="8" t="n">
        <v>0</v>
      </c>
      <c r="N64" s="8" t="n">
        <v>0</v>
      </c>
      <c r="O64" s="8" t="n">
        <v>2</v>
      </c>
      <c r="P64" s="8" t="n">
        <v>1</v>
      </c>
      <c r="Q64" s="8" t="n">
        <v>1</v>
      </c>
      <c r="R64" s="8" t="inlineStr">
        <is>
          <t>Entry play#50; T5 plays#50-53; WP x1 play#52 (W Kwisnek scores); PB noted play#52 (W Kwisnek adv 3rd)</t>
        </is>
      </c>
    </row>
    <row r="65" ht="15.75" customHeight="1" s="35">
      <c r="A65" s="8" t="inlineStr">
        <is>
          <t>2026-03-14_NRTH_at_MRRT</t>
        </is>
      </c>
      <c r="B65" s="2" t="n">
        <v>46095</v>
      </c>
      <c r="C65" s="8" t="inlineStr">
        <is>
          <t>MRRT</t>
        </is>
      </c>
      <c r="D65" s="8" t="inlineStr">
        <is>
          <t>NRTH</t>
        </is>
      </c>
      <c r="E65" s="8" t="inlineStr">
        <is>
          <t>A Espejo</t>
        </is>
      </c>
      <c r="F65" s="8" t="n">
        <v>6</v>
      </c>
      <c r="G65" s="8" t="n">
        <v>15</v>
      </c>
      <c r="H65" s="8" t="n">
        <v>4</v>
      </c>
      <c r="I65" s="8" t="n">
        <v>3</v>
      </c>
      <c r="J65" s="8" t="n">
        <v>0</v>
      </c>
      <c r="K65" s="8" t="n">
        <v>1</v>
      </c>
      <c r="L65" s="8" t="n">
        <v>0</v>
      </c>
      <c r="M65" s="8" t="n">
        <v>4</v>
      </c>
      <c r="N65" s="8" t="n">
        <v>2</v>
      </c>
      <c r="O65" s="8" t="n">
        <v>2</v>
      </c>
      <c r="P65" s="8" t="n">
        <v>7</v>
      </c>
      <c r="Q65" s="8" t="n">
        <v>2</v>
      </c>
      <c r="R65" s="8" t="inlineStr">
        <is>
          <t>B1 plays#5-10 + B2 plays#15-23; no lineup entry note (Flag#4); WP: Seq#9 (Z Magee adv 3rd) + Seq#23 (N Brown scores); E by A Thomas (play#9) not charged to pitcher</t>
        </is>
      </c>
    </row>
    <row r="66" ht="15.75" customHeight="1" s="35">
      <c r="A66" s="8" t="inlineStr">
        <is>
          <t>2026-03-14_NRTH_at_MRRT</t>
        </is>
      </c>
      <c r="B66" s="2" t="n">
        <v>46095</v>
      </c>
      <c r="C66" s="8" t="inlineStr">
        <is>
          <t>MRRT</t>
        </is>
      </c>
      <c r="D66" s="8" t="inlineStr">
        <is>
          <t>NRTH</t>
        </is>
      </c>
      <c r="E66" s="8" t="inlineStr">
        <is>
          <t>E Zimmerman</t>
        </is>
      </c>
      <c r="F66" s="8" t="n">
        <v>6</v>
      </c>
      <c r="G66" s="8" t="n">
        <v>12</v>
      </c>
      <c r="H66" s="8" t="n">
        <v>2</v>
      </c>
      <c r="I66" s="8" t="n">
        <v>1</v>
      </c>
      <c r="J66" s="8" t="n">
        <v>0</v>
      </c>
      <c r="K66" s="8" t="n">
        <v>0</v>
      </c>
      <c r="L66" s="8" t="n">
        <v>1</v>
      </c>
      <c r="M66" s="8" t="n">
        <v>2</v>
      </c>
      <c r="N66" s="8" t="n">
        <v>0</v>
      </c>
      <c r="O66" s="8" t="n">
        <v>6</v>
      </c>
      <c r="P66" s="8" t="n">
        <v>3</v>
      </c>
      <c r="Q66" s="8" t="n">
        <v>1</v>
      </c>
      <c r="R66" s="8" t="inlineStr">
        <is>
          <t>B3 plays#29-36 + B4 plays#40-43; no lineup entry note (Flag#5); WP Seq#36 (S Thomas scores); 6 K (3 per inning); E by Z Bowman plays#30,#34 not charged to pitcher</t>
        </is>
      </c>
    </row>
    <row r="67" ht="15.75" customHeight="1" s="35">
      <c r="A67" s="8" t="inlineStr">
        <is>
          <t>2026-03-14_NRTH_at_MRRT</t>
        </is>
      </c>
      <c r="B67" s="2" t="n">
        <v>46095</v>
      </c>
      <c r="C67" s="8" t="inlineStr">
        <is>
          <t>MRRT</t>
        </is>
      </c>
      <c r="D67" s="8" t="inlineStr">
        <is>
          <t>NRTH</t>
        </is>
      </c>
      <c r="E67" s="8" t="inlineStr">
        <is>
          <t>Z Bowman</t>
        </is>
      </c>
      <c r="F67" s="8" t="n">
        <v>3</v>
      </c>
      <c r="G67" s="8" t="n">
        <v>9</v>
      </c>
      <c r="H67" s="8" t="n">
        <v>4</v>
      </c>
      <c r="I67" s="8" t="n">
        <v>3</v>
      </c>
      <c r="J67" s="8" t="n">
        <v>1</v>
      </c>
      <c r="K67" s="8" t="n">
        <v>0</v>
      </c>
      <c r="L67" s="8" t="n">
        <v>0</v>
      </c>
      <c r="M67" s="8" t="n">
        <v>2</v>
      </c>
      <c r="N67" s="8" t="n">
        <v>0</v>
      </c>
      <c r="O67" s="8" t="n">
        <v>1</v>
      </c>
      <c r="P67" s="8" t="n">
        <v>5</v>
      </c>
      <c r="Q67" s="8" t="n">
        <v>0</v>
      </c>
      <c r="R67" s="8" t="inlineStr">
        <is>
          <t>B5 plays#49-57; no lineup entry note (Flag#3); E as P play#56 (J Ketterer adv on E Z Bowman embedded B Balighian K); E by S Dixon play#51 and A Williams play#54 not charged to pitcher</t>
        </is>
      </c>
    </row>
    <row r="68" ht="15.75" customHeight="1" s="35">
      <c r="A68" s="8" t="inlineStr">
        <is>
          <t>2026-03-14_NRTH_at_MRRT</t>
        </is>
      </c>
      <c r="B68" s="2" t="n">
        <v>46095</v>
      </c>
      <c r="C68" s="8" t="inlineStr">
        <is>
          <t>NRTH</t>
        </is>
      </c>
      <c r="D68" s="8" t="inlineStr">
        <is>
          <t>MRRT</t>
        </is>
      </c>
      <c r="E68" s="8" t="inlineStr">
        <is>
          <t>S Thomas</t>
        </is>
      </c>
      <c r="F68" s="8" t="n">
        <v>6</v>
      </c>
      <c r="G68" s="8" t="n">
        <v>8</v>
      </c>
      <c r="H68" s="8" t="n">
        <v>2</v>
      </c>
      <c r="I68" s="8" t="n">
        <v>2</v>
      </c>
      <c r="J68" s="8" t="n">
        <v>0</v>
      </c>
      <c r="K68" s="8" t="n">
        <v>0</v>
      </c>
      <c r="L68" s="8" t="n">
        <v>0</v>
      </c>
      <c r="M68" s="8" t="n">
        <v>0</v>
      </c>
      <c r="N68" s="8" t="n">
        <v>1</v>
      </c>
      <c r="O68" s="8" t="n">
        <v>1</v>
      </c>
      <c r="P68" s="8" t="n">
        <v>0</v>
      </c>
      <c r="Q68" s="8" t="n">
        <v>0</v>
      </c>
      <c r="R68" s="8" t="inlineStr">
        <is>
          <t>T1 plays#1-4 + T2 plays#11-14; entry noted play#1 (Lineup changed: S Thomas in at pitcher, Flag#9)</t>
        </is>
      </c>
    </row>
    <row r="69" ht="15.75" customHeight="1" s="35">
      <c r="A69" s="8" t="inlineStr">
        <is>
          <t>2026-03-14_NRTH_at_MRRT</t>
        </is>
      </c>
      <c r="B69" s="2" t="n">
        <v>46095</v>
      </c>
      <c r="C69" s="8" t="inlineStr">
        <is>
          <t>NRTH</t>
        </is>
      </c>
      <c r="D69" s="8" t="inlineStr">
        <is>
          <t>MRRT</t>
        </is>
      </c>
      <c r="E69" s="8" t="inlineStr">
        <is>
          <t>J Yeich</t>
        </is>
      </c>
      <c r="F69" s="8" t="n">
        <v>6</v>
      </c>
      <c r="G69" s="8" t="n">
        <v>8</v>
      </c>
      <c r="H69" s="8" t="n">
        <v>1</v>
      </c>
      <c r="I69" s="8" t="n">
        <v>1</v>
      </c>
      <c r="J69" s="8" t="n">
        <v>0</v>
      </c>
      <c r="K69" s="8" t="n">
        <v>0</v>
      </c>
      <c r="L69" s="8" t="n">
        <v>0</v>
      </c>
      <c r="M69" s="8" t="n">
        <v>1</v>
      </c>
      <c r="N69" s="8" t="n">
        <v>0</v>
      </c>
      <c r="O69" s="8" t="n">
        <v>1</v>
      </c>
      <c r="P69" s="8" t="n">
        <v>1</v>
      </c>
      <c r="Q69" s="8" t="n">
        <v>1</v>
      </c>
      <c r="R69" s="8" t="inlineStr">
        <is>
          <t>T3 plays#24-28 + T4 plays#37-39; entry play#24; WP Seq#25 (T Roy adv to 3rd during A Espejo walk AB); K: W Kwisnek T4 (dropped 3rd strike)</t>
        </is>
      </c>
    </row>
    <row r="70" ht="15.75" customHeight="1" s="35">
      <c r="A70" s="8" t="inlineStr">
        <is>
          <t>2026-03-14_NRTH_at_MRRT</t>
        </is>
      </c>
      <c r="B70" s="2" t="n">
        <v>46095</v>
      </c>
      <c r="C70" s="8" t="inlineStr">
        <is>
          <t>NRTH</t>
        </is>
      </c>
      <c r="D70" s="8" t="inlineStr">
        <is>
          <t>MRRT</t>
        </is>
      </c>
      <c r="E70" s="8" t="inlineStr">
        <is>
          <t>T Smith</t>
        </is>
      </c>
      <c r="F70" s="8" t="n">
        <v>3</v>
      </c>
      <c r="G70" s="8" t="n">
        <v>5</v>
      </c>
      <c r="H70" s="8" t="n">
        <v>0</v>
      </c>
      <c r="I70" s="8" t="n">
        <v>0</v>
      </c>
      <c r="J70" s="8" t="n">
        <v>0</v>
      </c>
      <c r="K70" s="8" t="n">
        <v>0</v>
      </c>
      <c r="L70" s="8" t="n">
        <v>0</v>
      </c>
      <c r="M70" s="8" t="n">
        <v>2</v>
      </c>
      <c r="N70" s="8" t="n">
        <v>0</v>
      </c>
      <c r="O70" s="8" t="n">
        <v>2</v>
      </c>
      <c r="P70" s="8" t="n">
        <v>0</v>
      </c>
      <c r="Q70" s="8" t="n">
        <v>0</v>
      </c>
      <c r="R70" s="8" t="inlineStr">
        <is>
          <t>T5 plays#44-48; entry play#44</t>
        </is>
      </c>
    </row>
    <row r="71" ht="15.75" customHeight="1" s="35">
      <c r="A71" s="8" t="inlineStr">
        <is>
          <t>2026-03-14_NRTH_at_MRRT</t>
        </is>
      </c>
      <c r="B71" s="2" t="n">
        <v>46095</v>
      </c>
      <c r="C71" s="8" t="inlineStr">
        <is>
          <t>NRTH</t>
        </is>
      </c>
      <c r="D71" s="8" t="inlineStr">
        <is>
          <t>MRRT</t>
        </is>
      </c>
      <c r="E71" s="8" t="inlineStr">
        <is>
          <t>R Marsili</t>
        </is>
      </c>
      <c r="F71" s="8" t="n">
        <v>3</v>
      </c>
      <c r="G71" s="8" t="n">
        <v>6</v>
      </c>
      <c r="H71" s="8" t="n">
        <v>1</v>
      </c>
      <c r="I71" s="8" t="n">
        <v>0</v>
      </c>
      <c r="J71" s="8" t="n">
        <v>1</v>
      </c>
      <c r="K71" s="8" t="n">
        <v>0</v>
      </c>
      <c r="L71" s="8" t="n">
        <v>0</v>
      </c>
      <c r="M71" s="8" t="n">
        <v>1</v>
      </c>
      <c r="N71" s="8" t="n">
        <v>1</v>
      </c>
      <c r="O71" s="8" t="n">
        <v>1</v>
      </c>
      <c r="P71" s="8" t="n">
        <v>1</v>
      </c>
      <c r="Q71" s="8" t="n">
        <v>0</v>
      </c>
      <c r="R71" s="8" t="inlineStr">
        <is>
          <t>T6 plays#58-63; entry play#58</t>
        </is>
      </c>
    </row>
    <row r="72" ht="15.75" customHeight="1" s="35">
      <c r="A72" s="8" t="inlineStr">
        <is>
          <t>2026-03-20_PTXN_at_NRTH</t>
        </is>
      </c>
      <c r="B72" s="2" t="n">
        <v>46101</v>
      </c>
      <c r="C72" s="8" t="inlineStr">
        <is>
          <t>PTXN</t>
        </is>
      </c>
      <c r="D72" s="8" t="inlineStr">
        <is>
          <t>NRTH</t>
        </is>
      </c>
      <c r="E72" s="8" t="inlineStr">
        <is>
          <t>A Espejo</t>
        </is>
      </c>
      <c r="F72" s="8" t="n">
        <v>15</v>
      </c>
      <c r="G72" s="8" t="n">
        <v>24</v>
      </c>
      <c r="H72" s="8" t="n">
        <v>5</v>
      </c>
      <c r="I72" s="8" t="n">
        <v>3</v>
      </c>
      <c r="J72" s="8" t="n">
        <v>1</v>
      </c>
      <c r="K72" s="8" t="n">
        <v>0</v>
      </c>
      <c r="L72" s="8" t="n">
        <v>0</v>
      </c>
      <c r="M72" s="8" t="n">
        <v>4</v>
      </c>
      <c r="N72" s="8" t="n">
        <v>0</v>
      </c>
      <c r="O72" s="8" t="n">
        <v>2</v>
      </c>
      <c r="P72" s="8" t="n">
        <v>6</v>
      </c>
      <c r="Q72" s="8" t="n">
        <v>0</v>
      </c>
      <c r="R72" s="8" t="inlineStr">
        <is>
          <t>T1 plays#1-5 + T2 plays#12-18 + T3 plays#25-28 + T4 plays#32-34 + T5 plays#38-42; entry play#1; PB events charged to C A Williams, not pitcher</t>
        </is>
      </c>
    </row>
    <row r="73" ht="15.75" customHeight="1" s="35">
      <c r="A73" s="8" t="inlineStr">
        <is>
          <t>2026-03-20_PTXN_at_NRTH</t>
        </is>
      </c>
      <c r="B73" s="2" t="n">
        <v>46101</v>
      </c>
      <c r="C73" s="8" t="inlineStr">
        <is>
          <t>PTXN</t>
        </is>
      </c>
      <c r="D73" s="8" t="inlineStr">
        <is>
          <t>NRTH</t>
        </is>
      </c>
      <c r="E73" s="8" t="inlineStr">
        <is>
          <t>C Pettko</t>
        </is>
      </c>
      <c r="F73" s="8" t="n">
        <v>6</v>
      </c>
      <c r="G73" s="8" t="n">
        <v>11</v>
      </c>
      <c r="H73" s="8" t="n">
        <v>1</v>
      </c>
      <c r="I73" s="8" t="n">
        <v>1</v>
      </c>
      <c r="J73" s="8" t="n">
        <v>0</v>
      </c>
      <c r="K73" s="8" t="n">
        <v>0</v>
      </c>
      <c r="L73" s="8" t="n">
        <v>0</v>
      </c>
      <c r="M73" s="8" t="n">
        <v>3</v>
      </c>
      <c r="N73" s="8" t="n">
        <v>1</v>
      </c>
      <c r="O73" s="8" t="n">
        <v>3</v>
      </c>
      <c r="P73" s="8" t="n">
        <v>1</v>
      </c>
      <c r="Q73" s="8" t="n">
        <v>0</v>
      </c>
      <c r="R73" s="8" t="inlineStr">
        <is>
          <t>T6 plays#48-54 + T7 plays#61-64; IW (L Powell T6) counted in BB_Allowed; R N Sands T6 scored on E by A Williams (embedded D Bradley GO AB play#50, Flag#7)</t>
        </is>
      </c>
    </row>
    <row r="74" ht="15.75" customHeight="1" s="35">
      <c r="A74" s="8" t="inlineStr">
        <is>
          <t>2026-03-20_PTXN_at_NRTH</t>
        </is>
      </c>
      <c r="B74" s="2" t="n">
        <v>46101</v>
      </c>
      <c r="C74" s="8" t="inlineStr">
        <is>
          <t>NRTH</t>
        </is>
      </c>
      <c r="D74" s="8" t="inlineStr">
        <is>
          <t>PTXN</t>
        </is>
      </c>
      <c r="E74" s="8" t="inlineStr">
        <is>
          <t>C White</t>
        </is>
      </c>
      <c r="F74" s="8" t="n">
        <v>15</v>
      </c>
      <c r="G74" s="8" t="n">
        <v>22</v>
      </c>
      <c r="H74" s="8" t="n">
        <v>5</v>
      </c>
      <c r="I74" s="8" t="n">
        <v>5</v>
      </c>
      <c r="J74" s="8" t="n">
        <v>0</v>
      </c>
      <c r="K74" s="8" t="n">
        <v>0</v>
      </c>
      <c r="L74" s="8" t="n">
        <v>0</v>
      </c>
      <c r="M74" s="8" t="n">
        <v>1</v>
      </c>
      <c r="N74" s="8" t="n">
        <v>0</v>
      </c>
      <c r="O74" s="8" t="n">
        <v>9</v>
      </c>
      <c r="P74" s="8" t="n">
        <v>3</v>
      </c>
      <c r="Q74" s="8" t="n">
        <v>0</v>
      </c>
      <c r="R74" s="8" t="inlineStr">
        <is>
          <t>B1-B5; no lineup entry note (see Flag#2); 9 K (A Espejo+A Thomas+W Kwisnek B1, E Zimmerman+W Kwisnek B3, S Dixon+T Roy B4, A Espejo+A Thomas B5); B5 3rd out via A Harding pickoff (Flag#6)</t>
        </is>
      </c>
    </row>
    <row r="75" ht="15.75" customHeight="1" s="35">
      <c r="A75" s="8" t="inlineStr">
        <is>
          <t>2026-03-20_PTXN_at_NRTH</t>
        </is>
      </c>
      <c r="B75" s="2" t="n">
        <v>46101</v>
      </c>
      <c r="C75" s="8" t="inlineStr">
        <is>
          <t>NRTH</t>
        </is>
      </c>
      <c r="D75" s="8" t="inlineStr">
        <is>
          <t>PTXN</t>
        </is>
      </c>
      <c r="E75" s="8" t="inlineStr">
        <is>
          <t>R Whitney</t>
        </is>
      </c>
      <c r="F75" s="8" t="n">
        <v>6</v>
      </c>
      <c r="G75" s="8" t="n">
        <v>8</v>
      </c>
      <c r="H75" s="8" t="n">
        <v>0</v>
      </c>
      <c r="I75" s="8" t="n">
        <v>0</v>
      </c>
      <c r="J75" s="8" t="n">
        <v>0</v>
      </c>
      <c r="K75" s="8" t="n">
        <v>0</v>
      </c>
      <c r="L75" s="8" t="n">
        <v>0</v>
      </c>
      <c r="M75" s="8" t="n">
        <v>1</v>
      </c>
      <c r="N75" s="8" t="n">
        <v>1</v>
      </c>
      <c r="O75" s="8" t="n">
        <v>3</v>
      </c>
      <c r="P75" s="8" t="n">
        <v>1</v>
      </c>
      <c r="Q75" s="8" t="n">
        <v>1</v>
      </c>
      <c r="R75" s="8" t="inlineStr">
        <is>
          <t>B6-B7; no lineup entry note (Flag#10); WP B6 Seq#56 (J Smith adv 2nd); R: E Zimmerman/J Smith B6 play#59 (T Roy FC); also bats T1+T3+T5+T6 for PTXN</t>
        </is>
      </c>
    </row>
    <row r="76" ht="15.75" customHeight="1" s="35">
      <c r="A76" s="8" t="inlineStr">
        <is>
          <t>2026-03-23_NRTH_at_ST.C</t>
        </is>
      </c>
      <c r="B76" s="2" t="n">
        <v>46104</v>
      </c>
      <c r="C76" s="8" t="inlineStr">
        <is>
          <t>ST.C</t>
        </is>
      </c>
      <c r="D76" s="8" t="inlineStr">
        <is>
          <t>NRTH</t>
        </is>
      </c>
      <c r="E76" s="8" t="inlineStr">
        <is>
          <t>E Zimmerman</t>
        </is>
      </c>
      <c r="F76" s="8" t="n">
        <v>21</v>
      </c>
      <c r="G76" s="8" t="n">
        <v>22</v>
      </c>
      <c r="H76" s="8" t="n">
        <v>1</v>
      </c>
      <c r="I76" s="8" t="n">
        <v>1</v>
      </c>
      <c r="J76" s="8" t="n">
        <v>0</v>
      </c>
      <c r="K76" s="8" t="n">
        <v>0</v>
      </c>
      <c r="L76" s="8" t="n">
        <v>0</v>
      </c>
      <c r="M76" s="8" t="n">
        <v>0</v>
      </c>
      <c r="N76" s="8" t="n">
        <v>0</v>
      </c>
      <c r="O76" s="8" t="n">
        <v>8</v>
      </c>
      <c r="P76" s="8" t="n">
        <v>0</v>
      </c>
      <c r="Q76" s="8" t="n">
        <v>0</v>
      </c>
      <c r="R76" s="8" t="inlineStr">
        <is>
          <t>B1-B7; no lineup entry note (established via attribution); 8 K: M Minick K_S(B1)+T Hyde K_S(B1)+D Tyler K_L(B3)+D Vauss K_S(B3)+E Paredes K_L(B5)+R Generette K_S(B5)+K Giwa-Agbomeirele K_L(B6)+M Minick K_S(B6); balk B6 play#46 (not in schema, noted here); D Tyler 1B only ST.C hit</t>
        </is>
      </c>
    </row>
    <row r="77" ht="15.75" customHeight="1" s="35">
      <c r="A77" s="8" t="inlineStr">
        <is>
          <t>2026-03-23_NRTH_at_ST.C</t>
        </is>
      </c>
      <c r="B77" s="2" t="n">
        <v>46104</v>
      </c>
      <c r="C77" s="8" t="inlineStr">
        <is>
          <t>NRTH</t>
        </is>
      </c>
      <c r="D77" s="8" t="inlineStr">
        <is>
          <t>ST.C</t>
        </is>
      </c>
      <c r="E77" s="8" t="inlineStr">
        <is>
          <t>T Hyde</t>
        </is>
      </c>
      <c r="F77" s="8" t="n">
        <v>15</v>
      </c>
      <c r="G77" s="8" t="n">
        <v>19</v>
      </c>
      <c r="H77" s="8" t="n">
        <v>3</v>
      </c>
      <c r="I77" s="8" t="n">
        <v>2</v>
      </c>
      <c r="J77" s="8" t="n">
        <v>0</v>
      </c>
      <c r="K77" s="8" t="n">
        <v>0</v>
      </c>
      <c r="L77" s="8" t="n">
        <v>1</v>
      </c>
      <c r="M77" s="8" t="n">
        <v>1</v>
      </c>
      <c r="N77" s="8" t="n">
        <v>1</v>
      </c>
      <c r="O77" s="8" t="n">
        <v>8</v>
      </c>
      <c r="P77" s="8" t="n">
        <v>3</v>
      </c>
      <c r="Q77" s="8" t="n">
        <v>0</v>
      </c>
      <c r="R77" s="8" t="inlineStr">
        <is>
          <t>T1-T5; entry play#1 (Lineup changed: T Hyde in for pitcher M Minick); 8K: A Espejo K_S(T1)+A Harding K_S(T1)+W Kwisnek K_L(T2)+C Pettko K_S(T2)+A Espejo K_S(T3)+A Thomas K_L(T3)+E Zimmerman K_S(T4)+T Roy K_S(T5); R_Allowed: A Thomas T1(E)+T Roy+A Harding T3(HR)=3; A Thomas T1 run scored on E (unearned)</t>
        </is>
      </c>
    </row>
    <row r="78" ht="15.75" customHeight="1" s="35">
      <c r="A78" s="8" t="inlineStr">
        <is>
          <t>2026-03-23_NRTH_at_ST.C</t>
        </is>
      </c>
      <c r="B78" s="2" t="n">
        <v>46104</v>
      </c>
      <c r="C78" s="8" t="inlineStr">
        <is>
          <t>NRTH</t>
        </is>
      </c>
      <c r="D78" s="8" t="inlineStr">
        <is>
          <t>ST.C</t>
        </is>
      </c>
      <c r="E78" s="8" t="inlineStr">
        <is>
          <t>C Stokes</t>
        </is>
      </c>
      <c r="F78" s="8" t="n">
        <v>0</v>
      </c>
      <c r="G78" s="8" t="n">
        <v>4</v>
      </c>
      <c r="H78" s="8" t="n">
        <v>1</v>
      </c>
      <c r="I78" s="8" t="n">
        <v>1</v>
      </c>
      <c r="J78" s="8" t="n">
        <v>0</v>
      </c>
      <c r="K78" s="8" t="n">
        <v>0</v>
      </c>
      <c r="L78" s="8" t="n">
        <v>0</v>
      </c>
      <c r="M78" s="8" t="n">
        <v>2</v>
      </c>
      <c r="N78" s="8" t="n">
        <v>1</v>
      </c>
      <c r="O78" s="8" t="n">
        <v>0</v>
      </c>
      <c r="P78" s="8" t="n">
        <v>1</v>
      </c>
      <c r="Q78" s="8" t="n">
        <v>0</v>
      </c>
      <c r="R78" s="8" t="inlineStr">
        <is>
          <t>T6 plays#37-40 only; entry play#37; A Thomas BB + A Harding 1B + Z Bowman HBP + E Zimmerman BB; A Thomas scores on E Zimmerman walk (R_Allowed:1); replaced by M Minick before W Kwisnek AB</t>
        </is>
      </c>
    </row>
    <row r="79" ht="15.75" customHeight="1" s="35">
      <c r="A79" s="8" t="inlineStr">
        <is>
          <t>2026-03-23_NRTH_at_ST.C</t>
        </is>
      </c>
      <c r="B79" s="2" t="n">
        <v>46104</v>
      </c>
      <c r="C79" s="8" t="inlineStr">
        <is>
          <t>NRTH</t>
        </is>
      </c>
      <c r="D79" s="8" t="inlineStr">
        <is>
          <t>ST.C</t>
        </is>
      </c>
      <c r="E79" s="8" t="inlineStr">
        <is>
          <t>M Minick</t>
        </is>
      </c>
      <c r="F79" s="8" t="n">
        <v>6</v>
      </c>
      <c r="G79" s="8" t="n">
        <v>8</v>
      </c>
      <c r="H79" s="8" t="n">
        <v>1</v>
      </c>
      <c r="I79" s="8" t="n">
        <v>0</v>
      </c>
      <c r="J79" s="8" t="n">
        <v>1</v>
      </c>
      <c r="K79" s="8" t="n">
        <v>0</v>
      </c>
      <c r="L79" s="8" t="n">
        <v>0</v>
      </c>
      <c r="M79" s="8" t="n">
        <v>1</v>
      </c>
      <c r="N79" s="8" t="n">
        <v>2</v>
      </c>
      <c r="O79" s="8" t="n">
        <v>2</v>
      </c>
      <c r="P79" s="8" t="n">
        <v>3</v>
      </c>
      <c r="Q79" s="8" t="n">
        <v>2</v>
      </c>
      <c r="R79" s="8" t="inlineStr">
        <is>
          <t>T6 plays#41-44 + T7 plays#49-52; WP x2: play#41 (A Harding scores) + play#42 (Z Bowman scores); R_Allowed: A Harding WP(T6)+Z Bowman WP(T6)+C Harrigan/E Zimmerman C Pettko 2B(T6)=3; HBP: Z Bowman T6, A Espejo T7, A Harding T7; see Flags#5,#6</t>
        </is>
      </c>
    </row>
    <row r="80" ht="15.75" customHeight="1" s="35">
      <c r="A80" s="8" t="inlineStr">
        <is>
          <t>2026-03-25_NRTH_at_CHPT</t>
        </is>
      </c>
      <c r="B80" s="2" t="n">
        <v>46106</v>
      </c>
      <c r="C80" s="8" t="inlineStr">
        <is>
          <t>CHPT</t>
        </is>
      </c>
      <c r="D80" s="8" t="inlineStr">
        <is>
          <t>NRTH</t>
        </is>
      </c>
      <c r="E80" s="8" t="inlineStr">
        <is>
          <t>C Pettko</t>
        </is>
      </c>
      <c r="F80" s="8" t="n">
        <v>15</v>
      </c>
      <c r="G80" s="8" t="n">
        <v>26</v>
      </c>
      <c r="H80" s="8" t="n">
        <v>3</v>
      </c>
      <c r="I80" s="8" t="n">
        <v>1</v>
      </c>
      <c r="J80" s="8" t="n">
        <v>2</v>
      </c>
      <c r="K80" s="8" t="n">
        <v>0</v>
      </c>
      <c r="L80" s="8" t="n">
        <v>0</v>
      </c>
      <c r="M80" s="8" t="n">
        <v>3</v>
      </c>
      <c r="N80" s="8" t="n">
        <v>1</v>
      </c>
      <c r="O80" s="8" t="n">
        <v>0</v>
      </c>
      <c r="P80" s="8" t="n">
        <v>7</v>
      </c>
      <c r="Q80" s="8" t="n">
        <v>1</v>
      </c>
      <c r="R80" s="8" t="inlineStr">
        <is>
          <t>B1-B5; entry play#6; BB: T Bailey+R Welch(B1)+A Garner... wait A Garner HBP. BB: T Bailey(B1)+R Welch(B1)+C Rabon(B1)=3; HBP: A Garner(B1)=1; WP: Seq#38 B4 (M McDermott adv 3rd); balk B1 Seq#9 (not in schema, noted here); chained CRs embedded B1 (Flag#5); 3-runner E score play#11 (Flag#4)</t>
        </is>
      </c>
    </row>
    <row r="81" ht="15.75" customHeight="1" s="35">
      <c r="A81" s="8" t="inlineStr">
        <is>
          <t>2026-03-25_NRTH_at_CHPT</t>
        </is>
      </c>
      <c r="B81" s="2" t="n">
        <v>46106</v>
      </c>
      <c r="C81" s="8" t="inlineStr">
        <is>
          <t>CHPT</t>
        </is>
      </c>
      <c r="D81" s="8" t="inlineStr">
        <is>
          <t>NRTH</t>
        </is>
      </c>
      <c r="E81" s="8" t="inlineStr">
        <is>
          <t>A Espejo</t>
        </is>
      </c>
      <c r="F81" s="8" t="n">
        <v>3</v>
      </c>
      <c r="G81" s="8" t="n">
        <v>3</v>
      </c>
      <c r="H81" s="8" t="n">
        <v>0</v>
      </c>
      <c r="I81" s="8" t="n">
        <v>0</v>
      </c>
      <c r="J81" s="8" t="n">
        <v>0</v>
      </c>
      <c r="K81" s="8" t="n">
        <v>0</v>
      </c>
      <c r="L81" s="8" t="n">
        <v>0</v>
      </c>
      <c r="M81" s="8" t="n">
        <v>0</v>
      </c>
      <c r="N81" s="8" t="n">
        <v>0</v>
      </c>
      <c r="O81" s="8" t="n">
        <v>1</v>
      </c>
      <c r="P81" s="8" t="n">
        <v>0</v>
      </c>
      <c r="Q81" s="8" t="n">
        <v>0</v>
      </c>
      <c r="R81" s="8" t="inlineStr">
        <is>
          <t>B6 plays#51-53; K: T Bailey K_S play#52; B7 (plays#60-62) not counted — scoring artifact (Flag#1)</t>
        </is>
      </c>
    </row>
    <row r="82" ht="15.75" customHeight="1" s="35">
      <c r="A82" s="8" t="inlineStr">
        <is>
          <t>2026-03-25_NRTH_at_CHPT</t>
        </is>
      </c>
      <c r="B82" s="2" t="n">
        <v>46106</v>
      </c>
      <c r="C82" s="8" t="inlineStr">
        <is>
          <t>NRTH</t>
        </is>
      </c>
      <c r="D82" s="8" t="inlineStr">
        <is>
          <t>CHPT</t>
        </is>
      </c>
      <c r="E82" s="8" t="inlineStr">
        <is>
          <t>S Beach</t>
        </is>
      </c>
      <c r="F82" s="8" t="n">
        <v>17</v>
      </c>
      <c r="G82" s="8" t="n">
        <v>22</v>
      </c>
      <c r="H82" s="8" t="n">
        <v>4</v>
      </c>
      <c r="I82" s="8" t="n">
        <v>3</v>
      </c>
      <c r="J82" s="8" t="n">
        <v>1</v>
      </c>
      <c r="K82" s="8" t="n">
        <v>0</v>
      </c>
      <c r="L82" s="8" t="n">
        <v>0</v>
      </c>
      <c r="M82" s="8" t="n">
        <v>1</v>
      </c>
      <c r="N82" s="8" t="n">
        <v>1</v>
      </c>
      <c r="O82" s="8" t="n">
        <v>7</v>
      </c>
      <c r="P82" s="8" t="n">
        <v>1</v>
      </c>
      <c r="Q82" s="8" t="n">
        <v>1</v>
      </c>
      <c r="R82" s="8" t="inlineStr">
        <is>
          <t>T1-T5 + T6 first 2 batters (plays#48-49); entry play#1 (replaces M Minick); K: A Thomas K_S(T1)+W Kwisnek K_S(T2)+C Pettko K_L(T2)+A Espejo K_L(T3)+W Kwisnek K_L(T4)+A Thomas K_S(T5)+A Harding K_S(T6)=7; WP: Seq#5 T1 (Z Bowman adv 2nd); HBP: A Espejo T5 play#32; R_Allowed: A Harding T1 (Z Bowman 1B)=1</t>
        </is>
      </c>
    </row>
    <row r="83" ht="15.75" customHeight="1" s="35">
      <c r="A83" s="8" t="inlineStr">
        <is>
          <t>2026-03-25_NRTH_at_CHPT</t>
        </is>
      </c>
      <c r="B83" s="2" t="n">
        <v>46106</v>
      </c>
      <c r="C83" s="8" t="inlineStr">
        <is>
          <t>NRTH</t>
        </is>
      </c>
      <c r="D83" s="8" t="inlineStr">
        <is>
          <t>CHPT</t>
        </is>
      </c>
      <c r="E83" s="8" t="inlineStr">
        <is>
          <t>D Watson</t>
        </is>
      </c>
      <c r="F83" s="8" t="n">
        <v>4</v>
      </c>
      <c r="G83" s="8" t="n">
        <v>7</v>
      </c>
      <c r="H83" s="8" t="n">
        <v>2</v>
      </c>
      <c r="I83" s="8" t="n">
        <v>2</v>
      </c>
      <c r="J83" s="8" t="n">
        <v>0</v>
      </c>
      <c r="K83" s="8" t="n">
        <v>0</v>
      </c>
      <c r="L83" s="8" t="n">
        <v>0</v>
      </c>
      <c r="M83" s="8" t="n">
        <v>0</v>
      </c>
      <c r="N83" s="8" t="n">
        <v>0</v>
      </c>
      <c r="O83" s="8" t="n">
        <v>1</v>
      </c>
      <c r="P83" s="8" t="n">
        <v>1</v>
      </c>
      <c r="Q83" s="8" t="n">
        <v>0</v>
      </c>
      <c r="R83" s="8" t="inlineStr">
        <is>
          <t>T6 play#50 (J Smith GO) + T7 plays#54-59; entry play#50 (D Watson in for S Beach); K: T Roy K_S T7 Seq#57; R_Allowed: W Kwisnek T7 play#55 (S Dixon 1B)=1</t>
        </is>
      </c>
    </row>
    <row r="84" ht="15.75" customHeight="1" s="35">
      <c r="A84" s="8" t="inlineStr">
        <is>
          <t>2026-03-26_THMS_at_NRTH</t>
        </is>
      </c>
      <c r="B84" s="2" t="n">
        <v>46107</v>
      </c>
      <c r="C84" s="8" t="inlineStr">
        <is>
          <t>THMS</t>
        </is>
      </c>
      <c r="D84" s="8" t="inlineStr">
        <is>
          <t>NRTH</t>
        </is>
      </c>
      <c r="E84" s="8" t="inlineStr">
        <is>
          <t>Z Bowman</t>
        </is>
      </c>
      <c r="F84" s="8" t="n">
        <v>6</v>
      </c>
      <c r="G84" s="8" t="n">
        <v>16</v>
      </c>
      <c r="H84" s="8" t="n">
        <v>1</v>
      </c>
      <c r="I84" s="8" t="n">
        <v>1</v>
      </c>
      <c r="J84" s="8" t="n">
        <v>0</v>
      </c>
      <c r="K84" s="8" t="n">
        <v>0</v>
      </c>
      <c r="L84" s="8" t="n">
        <v>0</v>
      </c>
      <c r="M84" s="8" t="n">
        <v>4</v>
      </c>
      <c r="N84" s="8" t="n">
        <v>2</v>
      </c>
      <c r="O84" s="8" t="n">
        <v>4</v>
      </c>
      <c r="P84" s="8" t="n">
        <v>5</v>
      </c>
      <c r="Q84" s="8" t="n">
        <v>1</v>
      </c>
      <c r="R84" s="8" t="inlineStr">
        <is>
          <t>T1 plays#1-8 + T2 plays#28-35; entry play#1; BB: #17+#11+#1(T1)+#8(T2)=4; HBP: #11+#10(T2); K: #10 K_S(T1)+#16 K_L(T1)+#4 K_L(T2)+#1 K_L(T2)=4; WP: Seq#3 T1 (#2 adv 2nd); R: T1 PB play#8 charged to C(catcher), E plays#1,#5 not charged; #2 steal of home T2 Seq#32 not charged to pitcher</t>
        </is>
      </c>
    </row>
    <row r="85" ht="15.75" customHeight="1" s="35">
      <c r="A85" s="8" t="inlineStr">
        <is>
          <t>2026-03-26_THMS_at_NRTH</t>
        </is>
      </c>
      <c r="B85" s="2" t="n">
        <v>46107</v>
      </c>
      <c r="C85" s="8" t="inlineStr">
        <is>
          <t>THMS</t>
        </is>
      </c>
      <c r="D85" s="8" t="inlineStr">
        <is>
          <t>NRTH</t>
        </is>
      </c>
      <c r="E85" s="8" t="inlineStr">
        <is>
          <t>A Harding</t>
        </is>
      </c>
      <c r="F85" s="8" t="n">
        <v>6</v>
      </c>
      <c r="G85" s="8" t="n">
        <v>8</v>
      </c>
      <c r="H85" s="8" t="n">
        <v>1</v>
      </c>
      <c r="I85" s="8" t="n">
        <v>1</v>
      </c>
      <c r="J85" s="8" t="n">
        <v>0</v>
      </c>
      <c r="K85" s="8" t="n">
        <v>0</v>
      </c>
      <c r="L85" s="8" t="n">
        <v>0</v>
      </c>
      <c r="M85" s="8" t="n">
        <v>0</v>
      </c>
      <c r="N85" s="8" t="n">
        <v>1</v>
      </c>
      <c r="O85" s="8" t="n">
        <v>5</v>
      </c>
      <c r="P85" s="8" t="n">
        <v>0</v>
      </c>
      <c r="Q85" s="8" t="n">
        <v>0</v>
      </c>
      <c r="R85" s="8" t="inlineStr">
        <is>
          <t>T3 plays#42-45 + T4 plays#49-52; K: #16 K_S(T3)+#8 K_S(T3)+#11 K_L(T4)+#21 K_S(T4)+#22 K_L(T4)=5; HBP: #17(T4); H: #4 1B T3 (pop fly to P notation, Flag#11)</t>
        </is>
      </c>
    </row>
    <row r="86" ht="15.75" customHeight="1" s="35">
      <c r="A86" s="8" t="inlineStr">
        <is>
          <t>2026-03-26_THMS_at_NRTH</t>
        </is>
      </c>
      <c r="B86" s="2" t="n">
        <v>46107</v>
      </c>
      <c r="C86" s="8" t="inlineStr">
        <is>
          <t>THMS</t>
        </is>
      </c>
      <c r="D86" s="8" t="inlineStr">
        <is>
          <t>NRTH</t>
        </is>
      </c>
      <c r="E86" s="8" t="inlineStr">
        <is>
          <t>T Roy</t>
        </is>
      </c>
      <c r="F86" s="8" t="n">
        <v>3</v>
      </c>
      <c r="G86" s="8" t="n">
        <v>3</v>
      </c>
      <c r="H86" s="8" t="n">
        <v>0</v>
      </c>
      <c r="I86" s="8" t="n">
        <v>0</v>
      </c>
      <c r="J86" s="8" t="n">
        <v>0</v>
      </c>
      <c r="K86" s="8" t="n">
        <v>0</v>
      </c>
      <c r="L86" s="8" t="n">
        <v>0</v>
      </c>
      <c r="M86" s="8" t="n">
        <v>0</v>
      </c>
      <c r="N86" s="8" t="n">
        <v>0</v>
      </c>
      <c r="O86" s="8" t="n">
        <v>2</v>
      </c>
      <c r="P86" s="8" t="n">
        <v>0</v>
      </c>
      <c r="Q86" s="8" t="n">
        <v>0</v>
      </c>
      <c r="R86" s="8" t="inlineStr">
        <is>
          <t>T5 plays#56-58; entry play#56; K: #16 K_S(T5)+#8 K_S(T5)=2</t>
        </is>
      </c>
    </row>
    <row r="87" ht="15.75" customHeight="1" s="35">
      <c r="A87" s="8" t="inlineStr">
        <is>
          <t>2026-03-26_THMS_at_NRTH</t>
        </is>
      </c>
      <c r="B87" s="2" t="n">
        <v>46107</v>
      </c>
      <c r="C87" s="8" t="inlineStr">
        <is>
          <t>NRTH</t>
        </is>
      </c>
      <c r="D87" s="8" t="inlineStr">
        <is>
          <t>THMS</t>
        </is>
      </c>
      <c r="E87" s="8" t="inlineStr">
        <is>
          <t>#17</t>
        </is>
      </c>
      <c r="F87" s="8" t="n">
        <v>0</v>
      </c>
      <c r="G87" s="8" t="n">
        <v>10</v>
      </c>
      <c r="H87" s="8" t="n">
        <v>3</v>
      </c>
      <c r="I87" s="8" t="n">
        <v>1</v>
      </c>
      <c r="J87" s="8" t="n">
        <v>0</v>
      </c>
      <c r="K87" s="8" t="n">
        <v>2</v>
      </c>
      <c r="L87" s="8" t="n">
        <v>0</v>
      </c>
      <c r="M87" s="8" t="n">
        <v>6</v>
      </c>
      <c r="N87" s="8" t="n">
        <v>1</v>
      </c>
      <c r="O87" s="8" t="n">
        <v>0</v>
      </c>
      <c r="P87" s="8" t="n">
        <v>7</v>
      </c>
      <c r="Q87" s="8" t="n">
        <v>1</v>
      </c>
      <c r="R87" s="8" t="inlineStr">
        <is>
          <t>B1 plays#9-18; entry play#9; 0 outs before #1 relieves; BB: A Espejo+Z Bowman+C Pettko+J Smith+T Roy+J Borawski=6; HBP: A Espejo (2nd time); WP: Seq#12 (A Harding scores); H: A Thomas 1B+A Harding 3B+E Zimmerman 3B; R_Allowed: 7 (plays#11-18)</t>
        </is>
      </c>
    </row>
    <row r="88" ht="15.75" customHeight="1" s="35">
      <c r="A88" s="8" t="inlineStr">
        <is>
          <t>2026-03-26_THMS_at_NRTH</t>
        </is>
      </c>
      <c r="B88" s="2" t="n">
        <v>46107</v>
      </c>
      <c r="C88" s="8" t="inlineStr">
        <is>
          <t>NRTH</t>
        </is>
      </c>
      <c r="D88" s="8" t="inlineStr">
        <is>
          <t>THMS</t>
        </is>
      </c>
      <c r="E88" s="8" t="inlineStr">
        <is>
          <t>#1</t>
        </is>
      </c>
      <c r="F88" s="8" t="n">
        <v>12</v>
      </c>
      <c r="G88" s="8" t="n">
        <v>20</v>
      </c>
      <c r="H88" s="8" t="n">
        <v>7</v>
      </c>
      <c r="I88" s="8" t="n">
        <v>2</v>
      </c>
      <c r="J88" s="8" t="n">
        <v>3</v>
      </c>
      <c r="K88" s="8" t="n">
        <v>1</v>
      </c>
      <c r="L88" s="8" t="n">
        <v>0</v>
      </c>
      <c r="M88" s="8" t="n">
        <v>7</v>
      </c>
      <c r="N88" s="8" t="n">
        <v>1</v>
      </c>
      <c r="O88" s="8" t="n">
        <v>0</v>
      </c>
      <c r="P88" s="8" t="n">
        <v>10</v>
      </c>
      <c r="Q88" s="8" t="n">
        <v>1</v>
      </c>
      <c r="R88" s="8" t="inlineStr">
        <is>
          <t>B1(from play#19)-B4; entry play#18 note; outs: J Smith GO+J Borawski LO+A Espejo PO(B1) + Z Bowman CS+E Zimmerman PO+C Pettko PO(B2) + J Smith PO+T Roy PO+J Borawski out adv(B3) + A Espejo PO+C Harrigan FO+A Harding LO(B4)=12; H: A Thomas 2B+Z Bowman 2B+C Pettko 1B+T Roy 3B(B1)+A Harding 2B+J Borawski 2B(B3, Flag#12)+A Espejo 1B(B4)=7; BB: A Harding+E Zimmerman(B1)+A Thomas+Z Bowman+E Zimmerman(B2)+J Smith+T Roy(B3)=7; HBP: C Pettko(B2); WP: Seq#20 B1 (A Espejo scores); Balk x2 B2 plays#40-41 (not in schema, see Flag#10); R_Allowed: 8(B1 plays#19-27)+2(B2 plays#37-38)=10</t>
        </is>
      </c>
    </row>
    <row r="89" ht="15.75" customHeight="1" s="35">
      <c r="A89" s="8" t="inlineStr">
        <is>
          <t>2026-03-07_DMSC_at_GLNL</t>
        </is>
      </c>
      <c r="B89" s="2" t="n">
        <v>46088</v>
      </c>
      <c r="C89" s="8" t="inlineStr">
        <is>
          <t>DMSC</t>
        </is>
      </c>
      <c r="D89" s="8" t="inlineStr">
        <is>
          <t>GLNL</t>
        </is>
      </c>
      <c r="E89" s="8" t="inlineStr">
        <is>
          <t>M Shriner</t>
        </is>
      </c>
      <c r="F89" s="8" t="n">
        <v>3</v>
      </c>
      <c r="G89" s="8" t="n">
        <v>3</v>
      </c>
      <c r="H89" s="8" t="n">
        <v>0</v>
      </c>
      <c r="I89" s="8" t="n">
        <v>0</v>
      </c>
      <c r="J89" s="8" t="n">
        <v>0</v>
      </c>
      <c r="K89" s="8" t="n">
        <v>0</v>
      </c>
      <c r="L89" s="8" t="n">
        <v>0</v>
      </c>
      <c r="M89" s="8" t="n">
        <v>0</v>
      </c>
      <c r="N89" s="8" t="n">
        <v>0</v>
      </c>
      <c r="O89" s="8" t="n">
        <v>2</v>
      </c>
      <c r="P89" s="8" t="n">
        <v>0</v>
      </c>
      <c r="Q89" s="8" t="n">
        <v>0</v>
      </c>
      <c r="R89" s="8" t="inlineStr">
        <is>
          <t>T1 only; entry play#1 pitch seq</t>
        </is>
      </c>
    </row>
    <row r="90" ht="15.75" customHeight="1" s="35">
      <c r="A90" s="8" t="inlineStr">
        <is>
          <t>2026-03-07_DMSC_at_GLNL</t>
        </is>
      </c>
      <c r="B90" s="2" t="n">
        <v>46088</v>
      </c>
      <c r="C90" s="8" t="inlineStr">
        <is>
          <t>DMSC</t>
        </is>
      </c>
      <c r="D90" s="8" t="inlineStr">
        <is>
          <t>GLNL</t>
        </is>
      </c>
      <c r="E90" s="8" t="inlineStr">
        <is>
          <t>M Melhuish</t>
        </is>
      </c>
      <c r="F90" s="8" t="n">
        <v>3</v>
      </c>
      <c r="G90" s="8" t="n">
        <v>6</v>
      </c>
      <c r="H90" s="8" t="n">
        <v>1</v>
      </c>
      <c r="I90" s="8" t="n">
        <v>1</v>
      </c>
      <c r="J90" s="8" t="n">
        <v>0</v>
      </c>
      <c r="K90" s="8" t="n">
        <v>0</v>
      </c>
      <c r="L90" s="8" t="n">
        <v>0</v>
      </c>
      <c r="M90" s="8" t="n">
        <v>1</v>
      </c>
      <c r="N90" s="8" t="n">
        <v>0</v>
      </c>
      <c r="O90" s="8" t="n">
        <v>1</v>
      </c>
      <c r="P90" s="8" t="n">
        <v>1</v>
      </c>
      <c r="Q90" s="8" t="n">
        <v>0</v>
      </c>
      <c r="R90" s="8" t="inlineStr">
        <is>
          <t>T2 only; entry play#9 pitch seq; H: C Gardner 1B (play#11); BB: R Chidakel (play#12); K: G Iorio (play#9); R: L Curtin on C Holland SAC fly (play#13); L Curtin reached on E by A Baker (play#10) — not a hit</t>
        </is>
      </c>
    </row>
    <row r="91" ht="15.75" customHeight="1" s="35">
      <c r="A91" s="8" t="inlineStr">
        <is>
          <t>2026-03-07_DMSC_at_GLNL</t>
        </is>
      </c>
      <c r="B91" s="2" t="n">
        <v>46088</v>
      </c>
      <c r="C91" s="8" t="inlineStr">
        <is>
          <t>DMSC</t>
        </is>
      </c>
      <c r="D91" s="8" t="inlineStr">
        <is>
          <t>GLNL</t>
        </is>
      </c>
      <c r="E91" s="8" t="inlineStr">
        <is>
          <t>J Miles</t>
        </is>
      </c>
      <c r="F91" s="8" t="n">
        <v>3</v>
      </c>
      <c r="G91" s="8" t="n">
        <v>5</v>
      </c>
      <c r="H91" s="8" t="n">
        <v>1</v>
      </c>
      <c r="I91" s="8" t="n">
        <v>1</v>
      </c>
      <c r="J91" s="8" t="n">
        <v>0</v>
      </c>
      <c r="K91" s="8" t="n">
        <v>0</v>
      </c>
      <c r="L91" s="8" t="n">
        <v>0</v>
      </c>
      <c r="M91" s="8" t="n">
        <v>1</v>
      </c>
      <c r="N91" s="8" t="n">
        <v>0</v>
      </c>
      <c r="O91" s="8" t="n">
        <v>1</v>
      </c>
      <c r="P91" s="8" t="n">
        <v>0</v>
      </c>
      <c r="Q91" s="8" t="n">
        <v>0</v>
      </c>
      <c r="R91" s="8" t="inlineStr">
        <is>
          <t>T3 only; entry play#19 pitch seq; H: K Childers 1B (play#21); BB: A Iorio (play#22); K: G Iorio (play#23); PB play#22 (K Childers adv to 3B) — not WP; E by G Melhuish play#22 (embedded)</t>
        </is>
      </c>
    </row>
    <row r="92" ht="15.75" customHeight="1" s="35">
      <c r="A92" s="8" t="inlineStr">
        <is>
          <t>2026-03-07_DMSC_at_GLNL</t>
        </is>
      </c>
      <c r="B92" s="2" t="n">
        <v>46088</v>
      </c>
      <c r="C92" s="8" t="inlineStr">
        <is>
          <t>DMSC</t>
        </is>
      </c>
      <c r="D92" s="8" t="inlineStr">
        <is>
          <t>GLNL</t>
        </is>
      </c>
      <c r="E92" s="8" t="inlineStr">
        <is>
          <t>B Conlon</t>
        </is>
      </c>
      <c r="F92" s="8" t="n">
        <v>3</v>
      </c>
      <c r="G92" s="8" t="n">
        <v>6</v>
      </c>
      <c r="H92" s="8" t="n">
        <v>1</v>
      </c>
      <c r="I92" s="8" t="n">
        <v>1</v>
      </c>
      <c r="J92" s="8" t="n">
        <v>0</v>
      </c>
      <c r="K92" s="8" t="n">
        <v>0</v>
      </c>
      <c r="L92" s="8" t="n">
        <v>0</v>
      </c>
      <c r="M92" s="8" t="n">
        <v>2</v>
      </c>
      <c r="N92" s="8" t="n">
        <v>0</v>
      </c>
      <c r="O92" s="8" t="n">
        <v>3</v>
      </c>
      <c r="P92" s="8" t="n">
        <v>0</v>
      </c>
      <c r="Q92" s="8" t="n">
        <v>0</v>
      </c>
      <c r="R92" s="8" t="inlineStr">
        <is>
          <t>T4 only; entry inferred from play descriptions (plays#32,34,35,36,37) — no lineup note (Flag #1); H: C Gardner 1B (play#33); BB: R Chidakel (play#34), N Cooley (play#36); K: L Curtin (play#32), C Holland (play#35), J Witmer (play#37); PB play#36 (C Gardner adv to 3B, R Chidakel to 2B) — not WP</t>
        </is>
      </c>
    </row>
    <row r="93" ht="15.75" customHeight="1" s="35">
      <c r="A93" s="8" t="inlineStr">
        <is>
          <t>2026-03-07_DMSC_at_GLNL</t>
        </is>
      </c>
      <c r="B93" s="2" t="n">
        <v>46088</v>
      </c>
      <c r="C93" s="8" t="inlineStr">
        <is>
          <t>DMSC</t>
        </is>
      </c>
      <c r="D93" s="8" t="inlineStr">
        <is>
          <t>GLNL</t>
        </is>
      </c>
      <c r="E93" s="8" t="inlineStr">
        <is>
          <t>N Cohen</t>
        </is>
      </c>
      <c r="F93" s="8" t="n">
        <v>3</v>
      </c>
      <c r="G93" s="8" t="n">
        <v>6</v>
      </c>
      <c r="H93" s="8" t="n">
        <v>3</v>
      </c>
      <c r="I93" s="8" t="n">
        <v>3</v>
      </c>
      <c r="J93" s="8" t="n">
        <v>0</v>
      </c>
      <c r="K93" s="8" t="n">
        <v>0</v>
      </c>
      <c r="L93" s="8" t="n">
        <v>0</v>
      </c>
      <c r="M93" s="8" t="n">
        <v>1</v>
      </c>
      <c r="N93" s="8" t="n">
        <v>0</v>
      </c>
      <c r="O93" s="8" t="n">
        <v>0</v>
      </c>
      <c r="P93" s="8" t="n">
        <v>1</v>
      </c>
      <c r="Q93" s="8" t="n">
        <v>0</v>
      </c>
      <c r="R93" s="8" t="inlineStr">
        <is>
          <t>T5 only; entry play#45 pitch seq; H: K Childers 1B(play#46), A Iorio 1B(play#47), L Curtin 1B(play#49); BB: G Iorio (play#48); R: K Childers on L Curtin 1B (play#49); DP play#50 (C Gardner, 2 outs credited)</t>
        </is>
      </c>
    </row>
    <row r="94" ht="15.75" customHeight="1" s="35">
      <c r="A94" s="8" t="inlineStr">
        <is>
          <t>2026-03-07_DMSC_at_GLNL</t>
        </is>
      </c>
      <c r="B94" s="2" t="n">
        <v>46088</v>
      </c>
      <c r="C94" s="8" t="inlineStr">
        <is>
          <t>DMSC</t>
        </is>
      </c>
      <c r="D94" s="8" t="inlineStr">
        <is>
          <t>GLNL</t>
        </is>
      </c>
      <c r="E94" s="8" t="inlineStr">
        <is>
          <t>C Starcher</t>
        </is>
      </c>
      <c r="F94" s="8" t="n">
        <v>3</v>
      </c>
      <c r="G94" s="8" t="n">
        <v>4</v>
      </c>
      <c r="H94" s="8" t="n">
        <v>1</v>
      </c>
      <c r="I94" s="8" t="n">
        <v>0</v>
      </c>
      <c r="J94" s="8" t="n">
        <v>1</v>
      </c>
      <c r="K94" s="8" t="n">
        <v>0</v>
      </c>
      <c r="L94" s="8" t="n">
        <v>0</v>
      </c>
      <c r="M94" s="8" t="n">
        <v>0</v>
      </c>
      <c r="N94" s="8" t="n">
        <v>0</v>
      </c>
      <c r="O94" s="8" t="n">
        <v>1</v>
      </c>
      <c r="P94" s="8" t="n">
        <v>0</v>
      </c>
      <c r="Q94" s="8" t="n">
        <v>0</v>
      </c>
      <c r="R94" s="8" t="inlineStr">
        <is>
          <t>T6 only; entry play#55 pitch seq; H: R Chidakel 2B (play#55); K: C Holland (play#56)</t>
        </is>
      </c>
    </row>
    <row r="95" ht="15.75" customHeight="1" s="35">
      <c r="A95" s="8" t="inlineStr">
        <is>
          <t>2026-03-07_DMSC_at_GLNL</t>
        </is>
      </c>
      <c r="B95" s="2" t="n">
        <v>46088</v>
      </c>
      <c r="C95" s="8" t="inlineStr">
        <is>
          <t>DMSC</t>
        </is>
      </c>
      <c r="D95" s="8" t="inlineStr">
        <is>
          <t>GLNL</t>
        </is>
      </c>
      <c r="E95" s="8" t="inlineStr">
        <is>
          <t>M Kirk</t>
        </is>
      </c>
      <c r="F95" s="8" t="n">
        <v>3</v>
      </c>
      <c r="G95" s="8" t="n">
        <v>5</v>
      </c>
      <c r="H95" s="8" t="n">
        <v>0</v>
      </c>
      <c r="I95" s="8" t="n">
        <v>0</v>
      </c>
      <c r="J95" s="8" t="n">
        <v>0</v>
      </c>
      <c r="K95" s="8" t="n">
        <v>0</v>
      </c>
      <c r="L95" s="8" t="n">
        <v>0</v>
      </c>
      <c r="M95" s="8" t="n">
        <v>2</v>
      </c>
      <c r="N95" s="8" t="n">
        <v>0</v>
      </c>
      <c r="O95" s="8" t="n">
        <v>2</v>
      </c>
      <c r="P95" s="8" t="n">
        <v>0</v>
      </c>
      <c r="Q95" s="8" t="n">
        <v>0</v>
      </c>
      <c r="R95" s="8" t="inlineStr">
        <is>
          <t>T7 only; entry play#66 pitch seq; BB: J Reyes (play#66), K Childers (play#67); K: G Iorio (play#69), L Curtin (play#70)</t>
        </is>
      </c>
    </row>
    <row r="96" ht="15.75" customHeight="1" s="35">
      <c r="A96" s="8" t="inlineStr">
        <is>
          <t>2026-03-14_GLNL_at_OKDL</t>
        </is>
      </c>
      <c r="B96" s="2" t="n">
        <v>46095</v>
      </c>
      <c r="C96" s="8" t="inlineStr">
        <is>
          <t>OKDL</t>
        </is>
      </c>
      <c r="D96" s="8" t="inlineStr">
        <is>
          <t>GLNL</t>
        </is>
      </c>
      <c r="E96" s="8" t="inlineStr">
        <is>
          <t>J Miles</t>
        </is>
      </c>
      <c r="F96" s="8" t="n">
        <v>6</v>
      </c>
      <c r="G96" s="8" t="n">
        <v>11</v>
      </c>
      <c r="H96" s="8" t="n">
        <v>3</v>
      </c>
      <c r="I96" s="8" t="n">
        <v>3</v>
      </c>
      <c r="J96" s="8" t="n">
        <v>0</v>
      </c>
      <c r="K96" s="8" t="n">
        <v>0</v>
      </c>
      <c r="L96" s="8" t="n">
        <v>0</v>
      </c>
      <c r="M96" s="8" t="n">
        <v>4</v>
      </c>
      <c r="N96" s="8" t="n">
        <v>0</v>
      </c>
      <c r="O96" s="8" t="n">
        <v>4</v>
      </c>
      <c r="P96" s="8" t="n">
        <v>3</v>
      </c>
      <c r="Q96" s="8" t="n">
        <v>2</v>
      </c>
      <c r="R96" s="8" t="inlineStr">
        <is>
          <t>B1-B2; entry inferred from play descriptions (plays#4,5,6,7,9,15,18,19), Flag#1; H: P Dix 1B(play#8), L Rosenberg 1B(play#16), L Patterson 1B(play#17); BB: C Thompson(play#6), C Scarzello(play#7), G Beaver(play#15), C DeWaal(play#19); K: C DeWaal(play#4), N Noweski(play#5), D O'Conner(play#9), K Huynh(play#18); R: C Thompson on P Dix 1B(play#8) + G Beaver on L Rosenberg 1B(play#16) + L Rosenberg on WP(play#19 embedded) = 3; WP: play#18 (L Rosenberg 3B, L Patterson 2B) + play#19 (L Rosenberg scores) = 2; Bottom 2nd 3-out total uses scorekeeper end (Flag#2 — only 1 play-logged out)</t>
        </is>
      </c>
    </row>
    <row r="97" ht="15.75" customHeight="1" s="35">
      <c r="A97" s="8" t="inlineStr">
        <is>
          <t>2026-03-14_GLNL_at_OKDL</t>
        </is>
      </c>
      <c r="B97" s="2" t="n">
        <v>46095</v>
      </c>
      <c r="C97" s="8" t="inlineStr">
        <is>
          <t>OKDL</t>
        </is>
      </c>
      <c r="D97" s="8" t="inlineStr">
        <is>
          <t>GLNL</t>
        </is>
      </c>
      <c r="E97" s="8" t="inlineStr">
        <is>
          <t>B Conlon</t>
        </is>
      </c>
      <c r="F97" s="8" t="n">
        <v>6</v>
      </c>
      <c r="G97" s="8" t="n">
        <v>10</v>
      </c>
      <c r="H97" s="8" t="n">
        <v>2</v>
      </c>
      <c r="I97" s="8" t="n">
        <v>2</v>
      </c>
      <c r="J97" s="8" t="n">
        <v>0</v>
      </c>
      <c r="K97" s="8" t="n">
        <v>0</v>
      </c>
      <c r="L97" s="8" t="n">
        <v>0</v>
      </c>
      <c r="M97" s="8" t="n">
        <v>2</v>
      </c>
      <c r="N97" s="8" t="n">
        <v>0</v>
      </c>
      <c r="O97" s="8" t="n">
        <v>1</v>
      </c>
      <c r="P97" s="8" t="n">
        <v>1</v>
      </c>
      <c r="Q97" s="8" t="n">
        <v>0</v>
      </c>
      <c r="R97" s="8" t="inlineStr">
        <is>
          <t>B3-B4; entry inferred from play descriptions (plays#25,27,37), Flag#1; H: P Dix 1B(play#28), D O'Conner 1B(play#29); BB: N Noweski(play#25), K Huynh(play#37); K: C Scarzello(play#27); R: N Noweski on P Dix 1B(play#28); also batter (2 PA this game)</t>
        </is>
      </c>
    </row>
    <row r="98" ht="15.75" customHeight="1" s="35">
      <c r="A98" s="8" t="inlineStr">
        <is>
          <t>2026-03-14_GLNL_at_OKDL</t>
        </is>
      </c>
      <c r="B98" s="2" t="n">
        <v>46095</v>
      </c>
      <c r="C98" s="8" t="inlineStr">
        <is>
          <t>OKDL</t>
        </is>
      </c>
      <c r="D98" s="8" t="inlineStr">
        <is>
          <t>GLNL</t>
        </is>
      </c>
      <c r="E98" s="8" t="inlineStr">
        <is>
          <t>A Baker</t>
        </is>
      </c>
      <c r="F98" s="8" t="n">
        <v>3</v>
      </c>
      <c r="G98" s="8" t="n">
        <v>3</v>
      </c>
      <c r="H98" s="8" t="n">
        <v>0</v>
      </c>
      <c r="I98" s="8" t="n">
        <v>0</v>
      </c>
      <c r="J98" s="8" t="n">
        <v>0</v>
      </c>
      <c r="K98" s="8" t="n">
        <v>0</v>
      </c>
      <c r="L98" s="8" t="n">
        <v>0</v>
      </c>
      <c r="M98" s="8" t="n">
        <v>0</v>
      </c>
      <c r="N98" s="8" t="n">
        <v>0</v>
      </c>
      <c r="O98" s="8" t="n">
        <v>1</v>
      </c>
      <c r="P98" s="8" t="n">
        <v>0</v>
      </c>
      <c r="Q98" s="8" t="n">
        <v>0</v>
      </c>
      <c r="R98" s="8" t="inlineStr">
        <is>
          <t>B5 only; entry inferred from play description (play#42), Flag#1; K: N Noweski(play#42); also batter (3 PA this game)</t>
        </is>
      </c>
    </row>
    <row r="99" ht="15.75" customHeight="1" s="35">
      <c r="A99" s="8" t="inlineStr">
        <is>
          <t>2026-03-14_GLNL_at_OKDL</t>
        </is>
      </c>
      <c r="B99" s="2" t="n">
        <v>46095</v>
      </c>
      <c r="C99" s="8" t="inlineStr">
        <is>
          <t>OKDL</t>
        </is>
      </c>
      <c r="D99" s="8" t="inlineStr">
        <is>
          <t>GLNL</t>
        </is>
      </c>
      <c r="E99" s="8" t="inlineStr">
        <is>
          <t>M Kirk</t>
        </is>
      </c>
      <c r="F99" s="8" t="n">
        <v>3</v>
      </c>
      <c r="G99" s="8" t="n">
        <v>3</v>
      </c>
      <c r="H99" s="8" t="n">
        <v>0</v>
      </c>
      <c r="I99" s="8" t="n">
        <v>0</v>
      </c>
      <c r="J99" s="8" t="n">
        <v>0</v>
      </c>
      <c r="K99" s="8" t="n">
        <v>0</v>
      </c>
      <c r="L99" s="8" t="n">
        <v>0</v>
      </c>
      <c r="M99" s="8" t="n">
        <v>1</v>
      </c>
      <c r="N99" s="8" t="n">
        <v>0</v>
      </c>
      <c r="O99" s="8" t="n">
        <v>2</v>
      </c>
      <c r="P99" s="8" t="n">
        <v>0</v>
      </c>
      <c r="Q99" s="8" t="n">
        <v>0</v>
      </c>
      <c r="R99" s="8" t="inlineStr">
        <is>
          <t>B6 only; entry play#50 pitch seq (documented); BB: D O'Conner(play#51); K: P Dix(play#50), G Beaver(play#52); D O'Conner CS 3rd (play#52 embedded) = out#2; G Beaver K = out#3; PB by C Lease (play#52 embedded) — not WP</t>
        </is>
      </c>
    </row>
    <row r="100" ht="15.75" customHeight="1" s="35">
      <c r="A100" s="8" t="inlineStr">
        <is>
          <t>2026-03-14_GLNL_at_OKDL</t>
        </is>
      </c>
      <c r="B100" s="2" t="n">
        <v>46095</v>
      </c>
      <c r="C100" s="8" t="inlineStr">
        <is>
          <t>GLNL</t>
        </is>
      </c>
      <c r="D100" s="8" t="inlineStr">
        <is>
          <t>OKDL</t>
        </is>
      </c>
      <c r="E100" s="8" t="inlineStr">
        <is>
          <t>P Dix</t>
        </is>
      </c>
      <c r="F100" s="8" t="n">
        <v>9</v>
      </c>
      <c r="G100" s="8" t="n">
        <v>12</v>
      </c>
      <c r="H100" s="8" t="n">
        <v>3</v>
      </c>
      <c r="I100" s="8" t="n">
        <v>3</v>
      </c>
      <c r="J100" s="8" t="n">
        <v>0</v>
      </c>
      <c r="K100" s="8" t="n">
        <v>0</v>
      </c>
      <c r="L100" s="8" t="n">
        <v>0</v>
      </c>
      <c r="M100" s="8" t="n">
        <v>1</v>
      </c>
      <c r="N100" s="8" t="n">
        <v>0</v>
      </c>
      <c r="O100" s="8" t="n">
        <v>5</v>
      </c>
      <c r="P100" s="8" t="n">
        <v>1</v>
      </c>
      <c r="Q100" s="8" t="n">
        <v>0</v>
      </c>
      <c r="R100" s="8" t="inlineStr">
        <is>
          <t>T1-T3; entry play#1 pitch seq (documented); H: A Baker 1B(play#2), B Conlon 1B(play#10), A Nazelrod 1B(play#13); BB: A Baker(play#23); K: E Laprise(play#1), J Miles(play#11), C Brown(play#12), G Melhuish(play#14), M Beares(play#21); R: B Conlon on A Nazelrod 1B(play#13) = 1; M Melhuish DP T1 (play#3) = 2 outs; also batter (3 PA this game)</t>
        </is>
      </c>
    </row>
    <row r="101" ht="15.75" customHeight="1" s="35">
      <c r="A101" s="8" t="inlineStr">
        <is>
          <t>2026-03-14_GLNL_at_OKDL</t>
        </is>
      </c>
      <c r="B101" s="2" t="n">
        <v>46095</v>
      </c>
      <c r="C101" s="8" t="inlineStr">
        <is>
          <t>GLNL</t>
        </is>
      </c>
      <c r="D101" s="8" t="inlineStr">
        <is>
          <t>OKDL</t>
        </is>
      </c>
      <c r="E101" s="8" t="inlineStr">
        <is>
          <t>B Yowell</t>
        </is>
      </c>
      <c r="F101" s="8" t="n">
        <v>6</v>
      </c>
      <c r="G101" s="8" t="n">
        <v>7</v>
      </c>
      <c r="H101" s="8" t="n">
        <v>1</v>
      </c>
      <c r="I101" s="8" t="n">
        <v>1</v>
      </c>
      <c r="J101" s="8" t="n">
        <v>0</v>
      </c>
      <c r="K101" s="8" t="n">
        <v>0</v>
      </c>
      <c r="L101" s="8" t="n">
        <v>0</v>
      </c>
      <c r="M101" s="8" t="n">
        <v>0</v>
      </c>
      <c r="N101" s="8" t="n">
        <v>0</v>
      </c>
      <c r="O101" s="8" t="n">
        <v>1</v>
      </c>
      <c r="P101" s="8" t="n">
        <v>0</v>
      </c>
      <c r="Q101" s="8" t="n">
        <v>0</v>
      </c>
      <c r="R101" s="8" t="inlineStr">
        <is>
          <t>T4-T5; entry play#31 pitch seq (documented); H: B Conlon 1B(play#31); K: M Beares(play#40); also CR for P Dix B1 (play#9 — did not score, no batting row)</t>
        </is>
      </c>
    </row>
    <row r="102" ht="15.75" customHeight="1" s="35">
      <c r="A102" s="8" t="inlineStr">
        <is>
          <t>2026-03-14_GLNL_at_OKDL</t>
        </is>
      </c>
      <c r="B102" s="2" t="n">
        <v>46095</v>
      </c>
      <c r="C102" s="8" t="inlineStr">
        <is>
          <t>GLNL</t>
        </is>
      </c>
      <c r="D102" s="8" t="inlineStr">
        <is>
          <t>OKDL</t>
        </is>
      </c>
      <c r="E102" s="8" t="inlineStr">
        <is>
          <t>C Thompson</t>
        </is>
      </c>
      <c r="F102" s="8" t="n">
        <v>6</v>
      </c>
      <c r="G102" s="8" t="n">
        <v>9</v>
      </c>
      <c r="H102" s="8" t="n">
        <v>3</v>
      </c>
      <c r="I102" s="8" t="n">
        <v>3</v>
      </c>
      <c r="J102" s="8" t="n">
        <v>0</v>
      </c>
      <c r="K102" s="8" t="n">
        <v>0</v>
      </c>
      <c r="L102" s="8" t="n">
        <v>0</v>
      </c>
      <c r="M102" s="8" t="n">
        <v>1</v>
      </c>
      <c r="N102" s="8" t="n">
        <v>0</v>
      </c>
      <c r="O102" s="8" t="n">
        <v>3</v>
      </c>
      <c r="P102" s="8" t="n">
        <v>1</v>
      </c>
      <c r="Q102" s="8" t="n">
        <v>2</v>
      </c>
      <c r="R102" s="8" t="inlineStr">
        <is>
          <t>T6-T7; entry play#45 pitch seq (documented); H: A Baker 1B(play#45), S Tong 1B(play#47), A Nazelrod 1B(play#53); BB: M Melhuish(play#46); K: B Burckhardt(play#48), M Beares(play#55), J Jones(play#56); R: M Melhuish on S Tong 1B(play#47) = 1; WP: play#47 (P Moreau adv 3B) + play#55 (A Nazelrod adv 2B) = 2; P Moreau CS home by K Huynh (play#47 embedded) — out credited to C Thompson's tenure; K Huynh E (play#47 embedded) separate from WP; also batter (3 PA this game)</t>
        </is>
      </c>
    </row>
    <row r="103" ht="15.75" customHeight="1" s="35">
      <c r="A103" s="8" t="inlineStr">
        <is>
          <t>2026-03-14_LBRT_at_GLNL</t>
        </is>
      </c>
      <c r="B103" s="2" t="n">
        <v>46095</v>
      </c>
      <c r="C103" s="8" t="inlineStr">
        <is>
          <t>LBRT</t>
        </is>
      </c>
      <c r="D103" s="8" t="inlineStr">
        <is>
          <t>GLNL</t>
        </is>
      </c>
      <c r="E103" s="8" t="inlineStr">
        <is>
          <t>M Melhuish</t>
        </is>
      </c>
      <c r="F103" s="8" t="n">
        <v>6</v>
      </c>
      <c r="G103" s="8" t="n">
        <v>7</v>
      </c>
      <c r="H103" s="8" t="n">
        <v>1</v>
      </c>
      <c r="I103" s="8" t="n">
        <v>1</v>
      </c>
      <c r="J103" s="8" t="n">
        <v>0</v>
      </c>
      <c r="K103" s="8" t="n">
        <v>0</v>
      </c>
      <c r="L103" s="8" t="n">
        <v>0</v>
      </c>
      <c r="M103" s="8" t="n">
        <v>1</v>
      </c>
      <c r="N103" s="8" t="n">
        <v>0</v>
      </c>
      <c r="O103" s="8" t="n">
        <v>3</v>
      </c>
      <c r="P103" s="8" t="n">
        <v>0</v>
      </c>
      <c r="Q103" s="8" t="n">
        <v>0</v>
      </c>
      <c r="R103" s="8" t="inlineStr">
        <is>
          <t>T1-T2; entry play#1 pitch seq (documented); H: C Shanks 1B(play#3); BB: C Hitzel(play#2); K: D McGarity(play#1), S Crochunis(play#11), J Sfanos(play#12); DP play#4 = 2 outs (C Shanks out advancing + D Nelson batter out); also batter (3PA)</t>
        </is>
      </c>
    </row>
    <row r="104" ht="15.75" customHeight="1" s="35">
      <c r="A104" s="8" t="inlineStr">
        <is>
          <t>2026-03-14_LBRT_at_GLNL</t>
        </is>
      </c>
      <c r="B104" s="2" t="n">
        <v>46095</v>
      </c>
      <c r="C104" s="8" t="inlineStr">
        <is>
          <t>LBRT</t>
        </is>
      </c>
      <c r="D104" s="8" t="inlineStr">
        <is>
          <t>GLNL</t>
        </is>
      </c>
      <c r="E104" s="8" t="inlineStr">
        <is>
          <t>C Starcher</t>
        </is>
      </c>
      <c r="F104" s="8" t="n">
        <v>3</v>
      </c>
      <c r="G104" s="8" t="n">
        <v>8</v>
      </c>
      <c r="H104" s="8" t="n">
        <v>3</v>
      </c>
      <c r="I104" s="8" t="n">
        <v>2</v>
      </c>
      <c r="J104" s="8" t="n">
        <v>0</v>
      </c>
      <c r="K104" s="8" t="n">
        <v>1</v>
      </c>
      <c r="L104" s="8" t="n">
        <v>0</v>
      </c>
      <c r="M104" s="8" t="n">
        <v>2</v>
      </c>
      <c r="N104" s="8" t="n">
        <v>0</v>
      </c>
      <c r="O104" s="8" t="n">
        <v>2</v>
      </c>
      <c r="P104" s="8" t="n">
        <v>4</v>
      </c>
      <c r="Q104" s="8" t="n">
        <v>0</v>
      </c>
      <c r="R104" s="8" t="inlineStr">
        <is>
          <t>T3 only; entry play#20 (documented); H: C Hitzel 1B(play#24), C Shanks 3B(play#25), D Nelson 1B(play#26); BB: C DiCerbo(play#20), B Freiert(play#22); K: B DiCerbo(play#21), D McGarity(play#23); R: C DiCerbo on E(play#24 embedded)+B Freiert on C Shanks 3B(play#25)+C Hitzel on C Shanks 3B(play#25)+C Shanks on D Nelson 1B(play#26)=4; C DiCerbo run scored on E by catcher C Lease (not WP)</t>
        </is>
      </c>
    </row>
    <row r="105" ht="15.75" customHeight="1" s="35">
      <c r="A105" s="8" t="inlineStr">
        <is>
          <t>2026-03-14_LBRT_at_GLNL</t>
        </is>
      </c>
      <c r="B105" s="2" t="n">
        <v>46095</v>
      </c>
      <c r="C105" s="8" t="inlineStr">
        <is>
          <t>LBRT</t>
        </is>
      </c>
      <c r="D105" s="8" t="inlineStr">
        <is>
          <t>GLNL</t>
        </is>
      </c>
      <c r="E105" s="8" t="inlineStr">
        <is>
          <t>N Cohen</t>
        </is>
      </c>
      <c r="F105" s="8" t="n">
        <v>6</v>
      </c>
      <c r="G105" s="8" t="n">
        <v>8</v>
      </c>
      <c r="H105" s="8" t="n">
        <v>1</v>
      </c>
      <c r="I105" s="8" t="n">
        <v>0</v>
      </c>
      <c r="J105" s="8" t="n">
        <v>1</v>
      </c>
      <c r="K105" s="8" t="n">
        <v>0</v>
      </c>
      <c r="L105" s="8" t="n">
        <v>0</v>
      </c>
      <c r="M105" s="8" t="n">
        <v>1</v>
      </c>
      <c r="N105" s="8" t="n">
        <v>0</v>
      </c>
      <c r="O105" s="8" t="n">
        <v>4</v>
      </c>
      <c r="P105" s="8" t="n">
        <v>0</v>
      </c>
      <c r="Q105" s="8" t="n">
        <v>0</v>
      </c>
      <c r="R105" s="8" t="inlineStr">
        <is>
          <t>T4-T5; entry play#32 (documented); H: C DiCerbo 2B(play#34); BB: D McGarity(play#41); K: S Crochunis(play#32), B Freiert(play#40), B Knight(play#42), J Hebert(play#43); E play#43 (D McGarity adv 2B on E by N Cohen embedded) — fielding error, not WP; also batter (0 PA this game)</t>
        </is>
      </c>
    </row>
    <row r="106" ht="15.75" customHeight="1" s="35">
      <c r="A106" s="8" t="inlineStr">
        <is>
          <t>2026-03-14_LBRT_at_GLNL</t>
        </is>
      </c>
      <c r="B106" s="2" t="n">
        <v>46095</v>
      </c>
      <c r="C106" s="8" t="inlineStr">
        <is>
          <t>GLNL</t>
        </is>
      </c>
      <c r="D106" s="8" t="inlineStr">
        <is>
          <t>LBRT</t>
        </is>
      </c>
      <c r="E106" s="8" t="inlineStr">
        <is>
          <t>S Crochunis</t>
        </is>
      </c>
      <c r="F106" s="8" t="n">
        <v>4</v>
      </c>
      <c r="G106" s="8" t="n">
        <v>8</v>
      </c>
      <c r="H106" s="8" t="n">
        <v>3</v>
      </c>
      <c r="I106" s="8" t="n">
        <v>1</v>
      </c>
      <c r="J106" s="8" t="n">
        <v>2</v>
      </c>
      <c r="K106" s="8" t="n">
        <v>0</v>
      </c>
      <c r="L106" s="8" t="n">
        <v>0</v>
      </c>
      <c r="M106" s="8" t="n">
        <v>2</v>
      </c>
      <c r="N106" s="8" t="n">
        <v>0</v>
      </c>
      <c r="O106" s="8" t="n">
        <v>2</v>
      </c>
      <c r="P106" s="8" t="n">
        <v>1</v>
      </c>
      <c r="Q106" s="8" t="n">
        <v>0</v>
      </c>
      <c r="R106" s="8" t="inlineStr">
        <is>
          <t>B1 through P Moreau PO in B2; undocumented start (Flag#1); H: J Jones 1B(play#5), B Conlon 2B(play#7), A Nazelrod 2B(play#14); BB: M Melhuish(play#6), C Lease(play#13); K: B Burckhardt(play#8), C Brown(play#9); R: E Laprise/C Lease scores on A Nazelrod 2B(play#14)=1; PB play#14 (E Laprise adv 2B) + PB play#16 during G Knauss AB before C DiCerbo enters (A Nazelrod adv 3B) — both PB, not WP; G Knauss AB started under S Crochunis, completed by C DiCerbo (mid-AB change play#16 — outcome credited to C DiCerbo); also batter (2 PA)</t>
        </is>
      </c>
    </row>
    <row r="107" ht="15.75" customHeight="1" s="35">
      <c r="A107" s="8" t="inlineStr">
        <is>
          <t>2026-03-14_LBRT_at_GLNL</t>
        </is>
      </c>
      <c r="B107" s="2" t="n">
        <v>46095</v>
      </c>
      <c r="C107" s="8" t="inlineStr">
        <is>
          <t>GLNL</t>
        </is>
      </c>
      <c r="D107" s="8" t="inlineStr">
        <is>
          <t>LBRT</t>
        </is>
      </c>
      <c r="E107" s="8" t="inlineStr">
        <is>
          <t>C DiCerbo</t>
        </is>
      </c>
      <c r="F107" s="8" t="n">
        <v>5</v>
      </c>
      <c r="G107" s="8" t="n">
        <v>8</v>
      </c>
      <c r="H107" s="8" t="n">
        <v>1</v>
      </c>
      <c r="I107" s="8" t="n">
        <v>0</v>
      </c>
      <c r="J107" s="8" t="n">
        <v>1</v>
      </c>
      <c r="K107" s="8" t="n">
        <v>0</v>
      </c>
      <c r="L107" s="8" t="n">
        <v>0</v>
      </c>
      <c r="M107" s="8" t="n">
        <v>1</v>
      </c>
      <c r="N107" s="8" t="n">
        <v>0</v>
      </c>
      <c r="O107" s="8" t="n">
        <v>2</v>
      </c>
      <c r="P107" s="8" t="n">
        <v>2</v>
      </c>
      <c r="Q107" s="8" t="n">
        <v>0</v>
      </c>
      <c r="R107" s="8" t="inlineStr">
        <is>
          <t>B2 from G Knauss AB (mid-AB entry play#16 embedded) through B3; H: G Knauss 2B(play#16); BB: B Burckhardt(play#28); K: J Jones(play#17), C Brown(play#29); R: A Nazelrod scores on G Knauss 2B(play#16)+G Knauss scores on M Melhuish E reach(play#18)=2; G Knauss E reach(play#18) not a hit — AB charged, R allowed credited; also batter (2 PA); two-way player (Flag#6)</t>
        </is>
      </c>
    </row>
    <row r="108" ht="15.75" customHeight="1" s="35">
      <c r="A108" s="8" t="inlineStr">
        <is>
          <t>2026-03-14_LBRT_at_GLNL</t>
        </is>
      </c>
      <c r="B108" s="2" t="n">
        <v>46095</v>
      </c>
      <c r="C108" s="8" t="inlineStr">
        <is>
          <t>GLNL</t>
        </is>
      </c>
      <c r="D108" s="8" t="inlineStr">
        <is>
          <t>LBRT</t>
        </is>
      </c>
      <c r="E108" s="8" t="inlineStr">
        <is>
          <t>D Nelson</t>
        </is>
      </c>
      <c r="F108" s="8" t="n">
        <v>2</v>
      </c>
      <c r="G108" s="8" t="n">
        <v>3</v>
      </c>
      <c r="H108" s="8" t="n">
        <v>1</v>
      </c>
      <c r="I108" s="8" t="n">
        <v>1</v>
      </c>
      <c r="J108" s="8" t="n">
        <v>0</v>
      </c>
      <c r="K108" s="8" t="n">
        <v>0</v>
      </c>
      <c r="L108" s="8" t="n">
        <v>0</v>
      </c>
      <c r="M108" s="8" t="n">
        <v>0</v>
      </c>
      <c r="N108" s="8" t="n">
        <v>0</v>
      </c>
      <c r="O108" s="8" t="n">
        <v>2</v>
      </c>
      <c r="P108" s="8" t="n">
        <v>0</v>
      </c>
      <c r="Q108" s="8" t="n">
        <v>0</v>
      </c>
      <c r="R108" s="8" t="inlineStr">
        <is>
          <t>B4 plays#36-38; entry inferred from play descriptions (plays#36,37), Flag#2; H: J Jones 1B(play#38); K: P Moreau(play#36), G Knauss(play#37); J Jones AB started + completed under D Nelson; M Melhuish AB started under D Nelson, completed by T Kane (mid-AB entry play#39); also batter (2 PA); two-way player (Flag#2)</t>
        </is>
      </c>
    </row>
    <row r="109" ht="15.75" customHeight="1" s="35">
      <c r="A109" s="8" t="inlineStr">
        <is>
          <t>2026-03-14_LBRT_at_GLNL</t>
        </is>
      </c>
      <c r="B109" s="2" t="n">
        <v>46095</v>
      </c>
      <c r="C109" s="8" t="inlineStr">
        <is>
          <t>GLNL</t>
        </is>
      </c>
      <c r="D109" s="8" t="inlineStr">
        <is>
          <t>LBRT</t>
        </is>
      </c>
      <c r="E109" s="8" t="inlineStr">
        <is>
          <t>T Kane</t>
        </is>
      </c>
      <c r="F109" s="8" t="n">
        <v>1</v>
      </c>
      <c r="G109" s="8" t="n">
        <v>1</v>
      </c>
      <c r="H109" s="8" t="n">
        <v>0</v>
      </c>
      <c r="I109" s="8" t="n">
        <v>0</v>
      </c>
      <c r="J109" s="8" t="n">
        <v>0</v>
      </c>
      <c r="K109" s="8" t="n">
        <v>0</v>
      </c>
      <c r="L109" s="8" t="n">
        <v>0</v>
      </c>
      <c r="M109" s="8" t="n">
        <v>0</v>
      </c>
      <c r="N109" s="8" t="n">
        <v>0</v>
      </c>
      <c r="O109" s="8" t="n">
        <v>1</v>
      </c>
      <c r="P109" s="8" t="n">
        <v>0</v>
      </c>
      <c r="Q109" s="8" t="n">
        <v>0</v>
      </c>
      <c r="R109" s="8" t="inlineStr">
        <is>
          <t>B4 from M Melhuish AB onward (mid-AB entry play#39 documented); K: M Melhuish(play#39) = 3rd out B4; GLNL did not bat B5 (Flag#3); also batter (2 PA) and catcher</t>
        </is>
      </c>
    </row>
    <row r="110" ht="15.75" customHeight="1" s="35">
      <c r="A110" s="8" t="inlineStr">
        <is>
          <t>2026-03-21_GLNL_at_MRRT</t>
        </is>
      </c>
      <c r="B110" s="2" t="n">
        <v>46102</v>
      </c>
      <c r="C110" s="8" t="inlineStr">
        <is>
          <t>MRRT</t>
        </is>
      </c>
      <c r="D110" s="8" t="inlineStr">
        <is>
          <t>GLNL</t>
        </is>
      </c>
      <c r="E110" s="8" t="inlineStr">
        <is>
          <t>J Miles</t>
        </is>
      </c>
      <c r="F110" s="8" t="n">
        <v>9</v>
      </c>
      <c r="G110" s="8" t="n">
        <v>15</v>
      </c>
      <c r="H110" s="8" t="n">
        <v>4</v>
      </c>
      <c r="I110" s="8" t="n">
        <v>2</v>
      </c>
      <c r="J110" s="8" t="n">
        <v>1</v>
      </c>
      <c r="K110" s="8" t="n">
        <v>1</v>
      </c>
      <c r="L110" s="8" t="n">
        <v>0</v>
      </c>
      <c r="M110" s="8" t="n">
        <v>2</v>
      </c>
      <c r="N110" s="8" t="n">
        <v>0</v>
      </c>
      <c r="O110" s="8" t="n">
        <v>2</v>
      </c>
      <c r="P110" s="8" t="n">
        <v>4</v>
      </c>
      <c r="Q110" s="8" t="n">
        <v>0</v>
      </c>
      <c r="R110" s="8" t="inlineStr">
        <is>
          <t>B1-B3; undocumented start (Flag#1); H: A Devito 2B(play#12), J Devito 3B(play#14), M Parson 1B(play#22), N Brown 1B(play#23); BB: M Delmonte(play#19), A Schwendeman(play#21); K: M Parson(play#7), Z Magee(play#25); R: A Devito on J Devito 3B(B2)+O Snow on M Parson 1B(B3)+M Parson+A Schwendeman on N Brown 1B(B3)=4; E play#23 (embedded: A Schwendeman adv 3B + M Parson adv 2B on J Miles pitching error) — fielding E, not WP; also batter (2 PA this game)</t>
        </is>
      </c>
    </row>
    <row r="111" ht="15.75" customHeight="1" s="35">
      <c r="A111" s="8" t="inlineStr">
        <is>
          <t>2026-03-21_GLNL_at_MRRT</t>
        </is>
      </c>
      <c r="B111" s="2" t="n">
        <v>46102</v>
      </c>
      <c r="C111" s="8" t="inlineStr">
        <is>
          <t>MRRT</t>
        </is>
      </c>
      <c r="D111" s="8" t="inlineStr">
        <is>
          <t>GLNL</t>
        </is>
      </c>
      <c r="E111" s="8" t="inlineStr">
        <is>
          <t>M Kirk</t>
        </is>
      </c>
      <c r="F111" s="8" t="n">
        <v>5</v>
      </c>
      <c r="G111" s="8" t="n">
        <v>11</v>
      </c>
      <c r="H111" s="8" t="n">
        <v>2</v>
      </c>
      <c r="I111" s="8" t="n">
        <v>2</v>
      </c>
      <c r="J111" s="8" t="n">
        <v>0</v>
      </c>
      <c r="K111" s="8" t="n">
        <v>0</v>
      </c>
      <c r="L111" s="8" t="n">
        <v>0</v>
      </c>
      <c r="M111" s="8" t="n">
        <v>4</v>
      </c>
      <c r="N111" s="8" t="n">
        <v>0</v>
      </c>
      <c r="O111" s="8" t="n">
        <v>2</v>
      </c>
      <c r="P111" s="8" t="n">
        <v>2</v>
      </c>
      <c r="Q111" s="8" t="n">
        <v>0</v>
      </c>
      <c r="R111" s="8" t="inlineStr">
        <is>
          <t>B4 + B5 through J Yeich walk; entry play#30 (documented); H: M Delmonte 1B(play#32), N Brown 1B(play#42); BB: M Parson(play#41), A Devito(play#43), Z Magee(play#44), J Yeich(play#46); K: J Devito(play#30), S Thomas(play#31); R: M Parson on Z Magee walk(play#44)+N Brown tag-up on J Devito FO(play#45)=2; M Delmonte AB started under M Kirk, completed by C Starcher (mid-AB entry play#47 — 3B + R credited to C Starcher)</t>
        </is>
      </c>
    </row>
    <row r="112" ht="15.75" customHeight="1" s="35">
      <c r="A112" s="8" t="inlineStr">
        <is>
          <t>2026-03-21_GLNL_at_MRRT</t>
        </is>
      </c>
      <c r="B112" s="2" t="n">
        <v>46102</v>
      </c>
      <c r="C112" s="8" t="inlineStr">
        <is>
          <t>MRRT</t>
        </is>
      </c>
      <c r="D112" s="8" t="inlineStr">
        <is>
          <t>GLNL</t>
        </is>
      </c>
      <c r="E112" s="8" t="inlineStr">
        <is>
          <t>C Starcher</t>
        </is>
      </c>
      <c r="F112" s="8" t="n">
        <v>0</v>
      </c>
      <c r="G112" s="8" t="n">
        <v>2</v>
      </c>
      <c r="H112" s="8" t="n">
        <v>1</v>
      </c>
      <c r="I112" s="8" t="n">
        <v>0</v>
      </c>
      <c r="J112" s="8" t="n">
        <v>0</v>
      </c>
      <c r="K112" s="8" t="n">
        <v>1</v>
      </c>
      <c r="L112" s="8" t="n">
        <v>0</v>
      </c>
      <c r="M112" s="8" t="n">
        <v>0</v>
      </c>
      <c r="N112" s="8" t="n">
        <v>0</v>
      </c>
      <c r="O112" s="8" t="n">
        <v>0</v>
      </c>
      <c r="P112" s="8" t="n">
        <v>4</v>
      </c>
      <c r="Q112" s="8" t="n">
        <v>1</v>
      </c>
      <c r="R112" s="8" t="inlineStr">
        <is>
          <t>B5 from M Delmonte mid-AB onward (documented play#47 embedded); H: M Delmonte 3B(play#47 — credited to C Starcher per mid-AB rule); R: A Devito+Z Magee+J Yeich on M Delmonte 3B(play#47)+M Delmonte on WP(play#48)=4; WP: play#48 (M Delmonte scores during O Snow incomplete AB); 0 outs recorded — game ends mid-AB at play#48 after WP; O Snow counted as BF (AB began before game ended)</t>
        </is>
      </c>
    </row>
    <row r="113" ht="15.75" customHeight="1" s="35">
      <c r="A113" s="8" t="inlineStr">
        <is>
          <t>2026-03-21_GLNL_at_MRRT</t>
        </is>
      </c>
      <c r="B113" s="2" t="n">
        <v>46102</v>
      </c>
      <c r="C113" s="8" t="inlineStr">
        <is>
          <t>GLNL</t>
        </is>
      </c>
      <c r="D113" s="8" t="inlineStr">
        <is>
          <t>MRRT</t>
        </is>
      </c>
      <c r="E113" s="8" t="inlineStr">
        <is>
          <t>S Thomas</t>
        </is>
      </c>
      <c r="F113" s="8" t="n">
        <v>14</v>
      </c>
      <c r="G113" s="8" t="n">
        <v>18</v>
      </c>
      <c r="H113" s="8" t="n">
        <v>1</v>
      </c>
      <c r="I113" s="8" t="n">
        <v>0</v>
      </c>
      <c r="J113" s="8" t="n">
        <v>1</v>
      </c>
      <c r="K113" s="8" t="n">
        <v>0</v>
      </c>
      <c r="L113" s="8" t="n">
        <v>0</v>
      </c>
      <c r="M113" s="8" t="n">
        <v>2</v>
      </c>
      <c r="N113" s="8" t="n">
        <v>0</v>
      </c>
      <c r="O113" s="8" t="n">
        <v>6</v>
      </c>
      <c r="P113" s="8" t="n">
        <v>0</v>
      </c>
      <c r="Q113" s="8" t="n">
        <v>0</v>
      </c>
      <c r="R113" s="8" t="inlineStr">
        <is>
          <t>T1 mid-AB through G Knauss walk in T5; entry documented play#1 seq (S Thomas enters mid-AB during A Baker's AB — A Baker K credited to S Thomas per mid-AB rule; anonymous unnamed MRRT starter threw 5 prior pitches, no name in log, no pitching row created for unnamed pitcher); H: C Lease 2B(play#34); BB: M Melhuish(play#3), G Knauss(play#37); K: A Baker K_L(play#1), C Lease K_S(play#9), C Brown K_S(play#16), B Conlon K_S(play#28), J Miles K_S(play#29), C Brown K_L(play#36) = 6; E Laprise 'Batter Out (other)' play#2 counted as AB+out (Flag#3); M Melhuish E reach(play#27) not a H; also batter (2 PA this game)</t>
        </is>
      </c>
    </row>
    <row r="114" ht="15.75" customHeight="1" s="35">
      <c r="A114" s="8" t="inlineStr">
        <is>
          <t>2026-03-21_GLNL_at_MRRT</t>
        </is>
      </c>
      <c r="B114" s="2" t="n">
        <v>46102</v>
      </c>
      <c r="C114" s="8" t="inlineStr">
        <is>
          <t>GLNL</t>
        </is>
      </c>
      <c r="D114" s="8" t="inlineStr">
        <is>
          <t>MRRT</t>
        </is>
      </c>
      <c r="E114" s="8" t="inlineStr">
        <is>
          <t>J Yeich</t>
        </is>
      </c>
      <c r="F114" s="8" t="n">
        <v>1</v>
      </c>
      <c r="G114" s="8" t="n">
        <v>2</v>
      </c>
      <c r="H114" s="8" t="n">
        <v>0</v>
      </c>
      <c r="I114" s="8" t="n">
        <v>0</v>
      </c>
      <c r="J114" s="8" t="n">
        <v>0</v>
      </c>
      <c r="K114" s="8" t="n">
        <v>0</v>
      </c>
      <c r="L114" s="8" t="n">
        <v>0</v>
      </c>
      <c r="M114" s="8" t="n">
        <v>1</v>
      </c>
      <c r="N114" s="8" t="n">
        <v>0</v>
      </c>
      <c r="O114" s="8" t="n">
        <v>0</v>
      </c>
      <c r="P114" s="8" t="n">
        <v>0</v>
      </c>
      <c r="Q114" s="8" t="n">
        <v>0</v>
      </c>
      <c r="R114" s="8" t="inlineStr">
        <is>
          <t>T5 from A Baker mid-AB onward (documented play#38 seq); BB: A Baker(play#38); E Laprise GO(play#39) = 1 out; also batter (1 PA this game, Flag#7)</t>
        </is>
      </c>
    </row>
    <row r="115" ht="15.75" customHeight="1" s="35">
      <c r="A115" s="8" t="inlineStr">
        <is>
          <t>2026-03-23_GLNL_at_HWRD</t>
        </is>
      </c>
      <c r="B115" s="2" t="n">
        <v>46104</v>
      </c>
      <c r="C115" s="8" t="inlineStr">
        <is>
          <t>HWRD</t>
        </is>
      </c>
      <c r="D115" s="8" t="inlineStr">
        <is>
          <t>GLNL</t>
        </is>
      </c>
      <c r="E115" s="8" t="inlineStr">
        <is>
          <t>B Conlon</t>
        </is>
      </c>
      <c r="F115" s="8" t="n">
        <v>10</v>
      </c>
      <c r="G115" s="8" t="n">
        <v>17</v>
      </c>
      <c r="H115" s="8" t="n">
        <v>3</v>
      </c>
      <c r="I115" s="8" t="n">
        <v>2</v>
      </c>
      <c r="J115" s="8" t="n">
        <v>1</v>
      </c>
      <c r="K115" s="8" t="n">
        <v>0</v>
      </c>
      <c r="L115" s="8" t="n">
        <v>0</v>
      </c>
      <c r="M115" s="8" t="n">
        <v>3</v>
      </c>
      <c r="N115" s="8" t="n">
        <v>1</v>
      </c>
      <c r="O115" s="8" t="n">
        <v>5</v>
      </c>
      <c r="P115" s="8" t="n">
        <v>1</v>
      </c>
      <c r="Q115" s="8" t="n">
        <v>0</v>
      </c>
      <c r="R115" s="8" t="inlineStr">
        <is>
          <t>B1-B4 through N Hegedus 1B; undocumented start (Flag#1); H: B Sawyer 1B(play#17,B2), C Hudson 2B(play#41,B4), N Hegedus 1B(play#44,B4); BB: B Giangrasso(play#32,B3), B Sawyer(play#42,B4), D Alves(play#43,B4); HBP: G Nystrom(play#33,B3); K: D Heim(play#15,B2), C Hudson(play#16,B2), D Alves(play#18,B2), N Hegedus(play#30,B3), D Heim(play#40,B4); R: C Hudson on N Hegedus 1B(play#44,B4)=1; also batter (3 PA this game)</t>
        </is>
      </c>
    </row>
    <row r="116" ht="15.75" customHeight="1" s="35">
      <c r="A116" s="8" t="inlineStr">
        <is>
          <t>2026-03-23_GLNL_at_HWRD</t>
        </is>
      </c>
      <c r="B116" s="2" t="n">
        <v>46104</v>
      </c>
      <c r="C116" s="8" t="inlineStr">
        <is>
          <t>HWRD</t>
        </is>
      </c>
      <c r="D116" s="8" t="inlineStr">
        <is>
          <t>GLNL</t>
        </is>
      </c>
      <c r="E116" s="8" t="inlineStr">
        <is>
          <t>N Cohen</t>
        </is>
      </c>
      <c r="F116" s="8" t="n">
        <v>5</v>
      </c>
      <c r="G116" s="8" t="n">
        <v>6</v>
      </c>
      <c r="H116" s="8" t="n">
        <v>0</v>
      </c>
      <c r="I116" s="8" t="n">
        <v>0</v>
      </c>
      <c r="J116" s="8" t="n">
        <v>0</v>
      </c>
      <c r="K116" s="8" t="n">
        <v>0</v>
      </c>
      <c r="L116" s="8" t="n">
        <v>0</v>
      </c>
      <c r="M116" s="8" t="n">
        <v>0</v>
      </c>
      <c r="N116" s="8" t="n">
        <v>0</v>
      </c>
      <c r="O116" s="8" t="n">
        <v>2</v>
      </c>
      <c r="P116" s="8" t="n">
        <v>0</v>
      </c>
      <c r="Q116" s="8" t="n">
        <v>0</v>
      </c>
      <c r="R116" s="8" t="inlineStr">
        <is>
          <t>B4 from C Parise AB onward (documented play#45); K: C Parise(play#45,B4), C Hudson(play#54,B5); Z Blair E reach(play#52) not a H; B Giangrasso FC(play#46): B Sawyer out at home = out #2 B4; outs B5: G Nystrom GO + D Heim GO + C Hudson K = 3; Z Blair E reach = 0 outs</t>
        </is>
      </c>
    </row>
    <row r="117" ht="15.75" customHeight="1" s="35">
      <c r="A117" s="8" t="inlineStr">
        <is>
          <t>2026-03-23_GLNL_at_HWRD</t>
        </is>
      </c>
      <c r="B117" s="2" t="n">
        <v>46104</v>
      </c>
      <c r="C117" s="8" t="inlineStr">
        <is>
          <t>GLNL</t>
        </is>
      </c>
      <c r="D117" s="8" t="inlineStr">
        <is>
          <t>HWRD</t>
        </is>
      </c>
      <c r="E117" s="8" t="inlineStr">
        <is>
          <t>D Heim</t>
        </is>
      </c>
      <c r="F117" s="8" t="n">
        <v>9</v>
      </c>
      <c r="G117" s="8" t="n">
        <v>22</v>
      </c>
      <c r="H117" s="8" t="n">
        <v>8</v>
      </c>
      <c r="I117" s="8" t="n">
        <v>4</v>
      </c>
      <c r="J117" s="8" t="n">
        <v>3</v>
      </c>
      <c r="K117" s="8" t="n">
        <v>1</v>
      </c>
      <c r="L117" s="8" t="n">
        <v>0</v>
      </c>
      <c r="M117" s="8" t="n">
        <v>1</v>
      </c>
      <c r="N117" s="8" t="n">
        <v>3</v>
      </c>
      <c r="O117" s="8" t="n">
        <v>1</v>
      </c>
      <c r="P117" s="8" t="n">
        <v>9</v>
      </c>
      <c r="Q117" s="8" t="n">
        <v>0</v>
      </c>
      <c r="R117" s="8" t="inlineStr">
        <is>
          <t>T1-T3; entry documented play#1 seq; H: G Knauss 2B(play#10,T2), C Brown 1B(play#12,T2), J Miles 1B(play#21,T3), A Nazelrod 1B(play#22,T3), C Brown 2B(play#25,T3), M Melhuish 2B(play#26,T3), A Baker 3B(play#27,T3), C Lease 1B(play#28,T3)=8; BB: C Lease(play#19,T3)=1; HBP: M Melhuish(play#1,T1), E Laprise(play#11,T2), G Knauss(play#23,T3)=3; K: J Miles(play#5,T1)=1; R: T1(M Melhuish)+T2(G Knauss)+T3(C Lease+B Conlon+G Knauss+A Nazelrod+C Brown+M Melhuish+A Baker)=9; E play#2 (D Heim own E — A Baker adv to 2B) in Fielding; transitions to 3B in T4 (Flag#4); also batter (3 PA this game)</t>
        </is>
      </c>
    </row>
    <row r="118" ht="15.75" customHeight="1" s="35">
      <c r="A118" s="8" t="inlineStr">
        <is>
          <t>2026-03-23_GLNL_at_HWRD</t>
        </is>
      </c>
      <c r="B118" s="2" t="n">
        <v>46104</v>
      </c>
      <c r="C118" s="8" t="inlineStr">
        <is>
          <t>GLNL</t>
        </is>
      </c>
      <c r="D118" s="8" t="inlineStr">
        <is>
          <t>HWRD</t>
        </is>
      </c>
      <c r="E118" s="8" t="inlineStr">
        <is>
          <t>C Hudson</t>
        </is>
      </c>
      <c r="F118" s="8" t="n">
        <v>6</v>
      </c>
      <c r="G118" s="8" t="n">
        <v>9</v>
      </c>
      <c r="H118" s="8" t="n">
        <v>3</v>
      </c>
      <c r="I118" s="8" t="n">
        <v>2</v>
      </c>
      <c r="J118" s="8" t="n">
        <v>1</v>
      </c>
      <c r="K118" s="8" t="n">
        <v>0</v>
      </c>
      <c r="L118" s="8" t="n">
        <v>0</v>
      </c>
      <c r="M118" s="8" t="n">
        <v>0</v>
      </c>
      <c r="N118" s="8" t="n">
        <v>0</v>
      </c>
      <c r="O118" s="8" t="n">
        <v>1</v>
      </c>
      <c r="P118" s="8" t="n">
        <v>1</v>
      </c>
      <c r="Q118" s="8" t="n">
        <v>0</v>
      </c>
      <c r="R118" s="8" t="inlineStr">
        <is>
          <t>T4-T5; T4 entry inferred from Flag#4 (D Heim at 3B play#35, C Hudson 'presumably takes mound'); T5 confirmed play#47/50 ('C Hudson pitching'); H: A Nazelrod 1B(play#36,T4), E Laprise 1B(play#38,T4), G Melhuish 2B(play#49,T5 — mid-AB entry, outcome credited to C Hudson); K: J Jones(play#50,T5)=1; R: A Nazelrod on M Beares GO(play#37,T4)=1; 2 PBs by HWRD catcher during M Beares AB (play#37 embedded) — not WP; also batter (3 PA this game); two-way player (Flag#4)</t>
        </is>
      </c>
    </row>
    <row r="119" ht="15.75" customHeight="1" s="35">
      <c r="A119" s="8" t="inlineStr">
        <is>
          <t>2026-03-30_SHRW_at_GLNL</t>
        </is>
      </c>
      <c r="B119" s="2" t="n">
        <v>46111</v>
      </c>
      <c r="C119" s="8" t="inlineStr">
        <is>
          <t>SHRW</t>
        </is>
      </c>
      <c r="D119" s="8" t="inlineStr">
        <is>
          <t>GLNL</t>
        </is>
      </c>
      <c r="E119" s="8" t="inlineStr">
        <is>
          <t>J Miles</t>
        </is>
      </c>
      <c r="F119" s="8" t="n">
        <v>17</v>
      </c>
      <c r="G119" s="8" t="n">
        <v>24</v>
      </c>
      <c r="H119" s="8" t="n">
        <v>4</v>
      </c>
      <c r="I119" s="8" t="n">
        <v>2</v>
      </c>
      <c r="J119" s="8" t="n">
        <v>2</v>
      </c>
      <c r="K119" s="8" t="n">
        <v>0</v>
      </c>
      <c r="L119" s="8" t="n">
        <v>0</v>
      </c>
      <c r="M119" s="8" t="n">
        <v>1</v>
      </c>
      <c r="N119" s="8" t="n">
        <v>0</v>
      </c>
      <c r="O119" s="8" t="n">
        <v>7</v>
      </c>
      <c r="P119" s="8" t="n">
        <v>3</v>
      </c>
      <c r="Q119" s="8" t="n">
        <v>2</v>
      </c>
      <c r="R119" s="8" t="inlineStr">
        <is>
          <t>T1-T6 through C Flickinger FO (play#41); entry documented play#1 seq; H: C Sweeney-Strawberry 2B(play#18,T3), J Bender 1B(play#37,T6), C Jagannathan 1B(play#39,T6), J Berger 2B(play#40,T6); BB: C Calandro(play#30,T5); K(7): J Bender K_S(play#2,T1), A Jenkins K_L(play#16,T3), K Blake K_S(play#17,T3), J Bender K_S(play#19,T3 dropped 3rd — reached), J Sarita K_S(play#20,T3), J Berger K_S(play#25,T4 dropped 3rd — out), J Sarita K_S(play#38,T6 foul tip); R: C Calandro on WP(T5)+J Bender on C Jagannathan 1B(T6)+C Jagannathan/J Hall on J Berger 2B(T6)=3; WP: play#33 (C Calandro scores, T5) + play#40 (J Hall adv 2B, T6)=2; PB play#19 charged to GLNL catcher (J Bender dropped 3rd, not WP); also batter (3 PA this game)</t>
        </is>
      </c>
    </row>
    <row r="120" ht="15.75" customHeight="1" s="35">
      <c r="A120" s="8" t="inlineStr">
        <is>
          <t>2026-03-30_SHRW_at_GLNL</t>
        </is>
      </c>
      <c r="B120" s="2" t="n">
        <v>46111</v>
      </c>
      <c r="C120" s="8" t="inlineStr">
        <is>
          <t>SHRW</t>
        </is>
      </c>
      <c r="D120" s="8" t="inlineStr">
        <is>
          <t>GLNL</t>
        </is>
      </c>
      <c r="E120" s="8" t="inlineStr">
        <is>
          <t>B Conlon</t>
        </is>
      </c>
      <c r="F120" s="8" t="n">
        <v>1</v>
      </c>
      <c r="G120" s="8" t="n">
        <v>1</v>
      </c>
      <c r="H120" s="8" t="n">
        <v>0</v>
      </c>
      <c r="I120" s="8" t="n">
        <v>0</v>
      </c>
      <c r="J120" s="8" t="n">
        <v>0</v>
      </c>
      <c r="K120" s="8" t="n">
        <v>0</v>
      </c>
      <c r="L120" s="8" t="n">
        <v>0</v>
      </c>
      <c r="M120" s="8" t="n">
        <v>0</v>
      </c>
      <c r="N120" s="8" t="n">
        <v>0</v>
      </c>
      <c r="O120" s="8" t="n">
        <v>1</v>
      </c>
      <c r="P120" s="8" t="n">
        <v>0</v>
      </c>
      <c r="Q120" s="8" t="n">
        <v>0</v>
      </c>
      <c r="R120" s="8" t="inlineStr">
        <is>
          <t>T6 play#42 only; undocumented entry from RF (Flag#1); K: C Calandro K_S foul tip (play#42, Flag#4); also batter (3 PA this game)</t>
        </is>
      </c>
    </row>
    <row r="121" ht="15.75" customHeight="1" s="35">
      <c r="A121" s="8" t="inlineStr">
        <is>
          <t>2026-03-30_SHRW_at_GLNL</t>
        </is>
      </c>
      <c r="B121" s="2" t="n">
        <v>46111</v>
      </c>
      <c r="C121" s="8" t="inlineStr">
        <is>
          <t>SHRW</t>
        </is>
      </c>
      <c r="D121" s="8" t="inlineStr">
        <is>
          <t>GLNL</t>
        </is>
      </c>
      <c r="E121" s="8" t="inlineStr">
        <is>
          <t>M Shriner</t>
        </is>
      </c>
      <c r="F121" s="8" t="n">
        <v>3</v>
      </c>
      <c r="G121" s="8" t="n">
        <v>6</v>
      </c>
      <c r="H121" s="8" t="n">
        <v>0</v>
      </c>
      <c r="I121" s="8" t="n">
        <v>0</v>
      </c>
      <c r="J121" s="8" t="n">
        <v>0</v>
      </c>
      <c r="K121" s="8" t="n">
        <v>0</v>
      </c>
      <c r="L121" s="8" t="n">
        <v>0</v>
      </c>
      <c r="M121" s="8" t="n">
        <v>2</v>
      </c>
      <c r="N121" s="8" t="n">
        <v>1</v>
      </c>
      <c r="O121" s="8" t="n">
        <v>2</v>
      </c>
      <c r="P121" s="8" t="n">
        <v>0</v>
      </c>
      <c r="Q121" s="8" t="n">
        <v>0</v>
      </c>
      <c r="R121" s="8" t="inlineStr">
        <is>
          <t>T7 only; entry documented play#47 seq; BB: C Sweeney-Strawberry(play#49), J Bender(play#50); HBP: J Sarita(play#51); K: A Jenkins K_S(play#47), K Blake K_L(play#48); PR M Cheng in for J Sarita (play#52 seq) before C Jagannathan GO; PB play#50 (C Sweeney-Strawberry adv 3B) — charged to GLNL catcher, not WP; DI play#51 (J Bender adv 2B) — not a baserunning steal</t>
        </is>
      </c>
    </row>
    <row r="122" ht="15.75" customHeight="1" s="35">
      <c r="A122" s="8" t="inlineStr">
        <is>
          <t>2026-03-30_SHRW_at_GLNL</t>
        </is>
      </c>
      <c r="B122" s="2" t="n">
        <v>46111</v>
      </c>
      <c r="C122" s="8" t="inlineStr">
        <is>
          <t>GLNL</t>
        </is>
      </c>
      <c r="D122" s="8" t="inlineStr">
        <is>
          <t>SHRW</t>
        </is>
      </c>
      <c r="E122" s="8" t="inlineStr">
        <is>
          <t>L Gisriel</t>
        </is>
      </c>
      <c r="F122" s="8" t="n">
        <v>18</v>
      </c>
      <c r="G122" s="8" t="n">
        <v>21</v>
      </c>
      <c r="H122" s="8" t="n">
        <v>1</v>
      </c>
      <c r="I122" s="8" t="n">
        <v>1</v>
      </c>
      <c r="J122" s="8" t="n">
        <v>0</v>
      </c>
      <c r="K122" s="8" t="n">
        <v>0</v>
      </c>
      <c r="L122" s="8" t="n">
        <v>0</v>
      </c>
      <c r="M122" s="8" t="n">
        <v>0</v>
      </c>
      <c r="N122" s="8" t="n">
        <v>1</v>
      </c>
      <c r="O122" s="8" t="n">
        <v>10</v>
      </c>
      <c r="P122" s="8" t="n">
        <v>0</v>
      </c>
      <c r="Q122" s="8" t="n">
        <v>0</v>
      </c>
      <c r="R122" s="8" t="inlineStr">
        <is>
          <t>B1-B6; entry documented play#5 seq; H: C Lease 1B(play#44,B6); HBP: C Lease(play#5,B1); K(10): M Melhuish K_S(play#8,B1), A Baker K_S(play#12,B2), J Miles K_L(play#14,B2), A Nazelrod K_L(play#15,B2), C Brown K_S(play#21,B3), B Conlon K_S(play#27,B4), A Baker K_S foul tip(play#29,B4,Flag#4), J Miles K_L(play#35,B5), A Nazelrod K_L(play#36,B5), T Blayman K_L(play#45,B6); S Tong E reach(play#13) not a H; T Blayman SAC bunt out(play#6) = 1 out credited; 2 pickoff attempts at 1st (play#6 embedded) — no out</t>
        </is>
      </c>
    </row>
    <row r="123" ht="15.75" customHeight="1" s="35">
      <c r="A123" s="8" t="inlineStr">
        <is>
          <t>2026-03-30_SHRW_at_GLNL</t>
        </is>
      </c>
      <c r="B123" s="2" t="n">
        <v>46111</v>
      </c>
      <c r="C123" s="8" t="inlineStr">
        <is>
          <t>GLNL</t>
        </is>
      </c>
      <c r="D123" s="8" t="inlineStr">
        <is>
          <t>SHRW</t>
        </is>
      </c>
      <c r="E123" s="8" t="inlineStr">
        <is>
          <t>C Crismond</t>
        </is>
      </c>
      <c r="F123" s="8" t="n">
        <v>3</v>
      </c>
      <c r="G123" s="8" t="n">
        <v>5</v>
      </c>
      <c r="H123" s="8" t="n">
        <v>1</v>
      </c>
      <c r="I123" s="8" t="n">
        <v>0</v>
      </c>
      <c r="J123" s="8" t="n">
        <v>1</v>
      </c>
      <c r="K123" s="8" t="n">
        <v>0</v>
      </c>
      <c r="L123" s="8" t="n">
        <v>0</v>
      </c>
      <c r="M123" s="8" t="n">
        <v>0</v>
      </c>
      <c r="N123" s="8" t="n">
        <v>0</v>
      </c>
      <c r="O123" s="8" t="n">
        <v>3</v>
      </c>
      <c r="P123" s="8" t="n">
        <v>0</v>
      </c>
      <c r="Q123" s="8" t="n">
        <v>0</v>
      </c>
      <c r="R123" s="8" t="inlineStr">
        <is>
          <t>B7 only; entry documented play#53 seq; H: A Baker 2B(play#54); K: S Tong K_S(play#55), J Miles K_S(play#56), B Burckhardt K_L(play#57); M Melhuish E reach(play#53) not a H</t>
        </is>
      </c>
    </row>
    <row r="124" ht="15.75" customHeight="1" s="35">
      <c r="A124" s="8" t="inlineStr">
        <is>
          <t>2026-03-31_GLNL_at_ATHL</t>
        </is>
      </c>
      <c r="B124" s="2" t="n">
        <v>46112</v>
      </c>
      <c r="C124" s="8" t="inlineStr">
        <is>
          <t>ATHL</t>
        </is>
      </c>
      <c r="D124" s="8" t="inlineStr">
        <is>
          <t>GLNL</t>
        </is>
      </c>
      <c r="E124" s="8" t="inlineStr">
        <is>
          <t>B Conlon</t>
        </is>
      </c>
      <c r="F124" s="8" t="n">
        <v>19</v>
      </c>
      <c r="G124" s="8" t="n">
        <v>24</v>
      </c>
      <c r="H124" s="8" t="n">
        <v>2</v>
      </c>
      <c r="I124" s="8" t="n">
        <v>2</v>
      </c>
      <c r="J124" s="8" t="n">
        <v>0</v>
      </c>
      <c r="K124" s="8" t="n">
        <v>0</v>
      </c>
      <c r="L124" s="8" t="n">
        <v>0</v>
      </c>
      <c r="M124" s="8" t="n">
        <v>3</v>
      </c>
      <c r="N124" s="8" t="n">
        <v>0</v>
      </c>
      <c r="O124" s="8" t="n">
        <v>8</v>
      </c>
      <c r="P124" s="8" t="n">
        <v>0</v>
      </c>
      <c r="Q124" s="8" t="n">
        <v>0</v>
      </c>
      <c r="R124" s="8" t="inlineStr">
        <is>
          <t>B1-B7 play#57; undocumented start (Flag#1); H: J Martin 1B(play#5,B1), J Whiting 1B(play#57,B7); BB: T MacKenzie(play#7,B1), N Brewer(play#41,B5), A Chutka(play#43,B5); K(8): N Weinig K_S(play#6,B1), L Conroy K_S(play#8,B1), J Whiting K_S(play#15,B2), W Martin K_S(play#17,B2), T MacKenzie K_L(play#31,B4), J Whiting K_S(play#40,B5), B Skaggs K_S(play#42,B5), L Conroy K_S(play#56,B7); also batter (4 PA this game)</t>
        </is>
      </c>
    </row>
    <row r="125" ht="15.75" customHeight="1" s="35">
      <c r="A125" s="8" t="inlineStr">
        <is>
          <t>2026-03-31_GLNL_at_ATHL</t>
        </is>
      </c>
      <c r="B125" s="2" t="n">
        <v>46112</v>
      </c>
      <c r="C125" s="8" t="inlineStr">
        <is>
          <t>ATHL</t>
        </is>
      </c>
      <c r="D125" s="8" t="inlineStr">
        <is>
          <t>GLNL</t>
        </is>
      </c>
      <c r="E125" s="8" t="inlineStr">
        <is>
          <t>M Kirk</t>
        </is>
      </c>
      <c r="F125" s="8" t="n">
        <v>2</v>
      </c>
      <c r="G125" s="8" t="n">
        <v>3</v>
      </c>
      <c r="H125" s="8" t="n">
        <v>0</v>
      </c>
      <c r="I125" s="8" t="n">
        <v>0</v>
      </c>
      <c r="J125" s="8" t="n">
        <v>0</v>
      </c>
      <c r="K125" s="8" t="n">
        <v>0</v>
      </c>
      <c r="L125" s="8" t="n">
        <v>0</v>
      </c>
      <c r="M125" s="8" t="n">
        <v>1</v>
      </c>
      <c r="N125" s="8" t="n">
        <v>0</v>
      </c>
      <c r="O125" s="8" t="n">
        <v>1</v>
      </c>
      <c r="P125" s="8" t="n">
        <v>0</v>
      </c>
      <c r="Q125" s="8" t="n">
        <v>0</v>
      </c>
      <c r="R125" s="8" t="inlineStr">
        <is>
          <t>B7 from N Brewer onward; entry documented play#58 seq; duplicate lineup entry play#59 (Flag#3); BB: N Brewer(play#58); K: B Skaggs K_S(play#59); PB play#59 (J Whiting adv 3B, N Brewer adv 2B) — charged to GLNL catcher</t>
        </is>
      </c>
    </row>
    <row r="126" ht="15.75" customHeight="1" s="35">
      <c r="A126" s="8" t="inlineStr">
        <is>
          <t>2026-03-31_GLNL_at_ATHL</t>
        </is>
      </c>
      <c r="B126" s="2" t="n">
        <v>46112</v>
      </c>
      <c r="C126" s="8" t="inlineStr">
        <is>
          <t>GLNL</t>
        </is>
      </c>
      <c r="D126" s="8" t="inlineStr">
        <is>
          <t>ATHL</t>
        </is>
      </c>
      <c r="E126" s="8" t="inlineStr">
        <is>
          <t>L Byrns</t>
        </is>
      </c>
      <c r="F126" s="8" t="n">
        <v>14</v>
      </c>
      <c r="G126" s="8" t="n">
        <v>23</v>
      </c>
      <c r="H126" s="8" t="n">
        <v>1</v>
      </c>
      <c r="I126" s="8" t="n">
        <v>1</v>
      </c>
      <c r="J126" s="8" t="n">
        <v>0</v>
      </c>
      <c r="K126" s="8" t="n">
        <v>0</v>
      </c>
      <c r="L126" s="8" t="n">
        <v>0</v>
      </c>
      <c r="M126" s="8" t="n">
        <v>5</v>
      </c>
      <c r="N126" s="8" t="n">
        <v>0</v>
      </c>
      <c r="O126" s="8" t="n">
        <v>9</v>
      </c>
      <c r="P126" s="8" t="n">
        <v>4</v>
      </c>
      <c r="Q126" s="8" t="n">
        <v>2</v>
      </c>
      <c r="R126" s="8" t="inlineStr">
        <is>
          <t>T1-T5 through A Baker FC (play#37); entry documented play#1 seq (mid-AB T1); H: B Conlon 1B(play#9,T2); BB: E Laprise(play#12,T2), S Tong(play#19,T3), C Lease(play#20,T3), C Lease(play#35,T5), B Conlon IBW(play#36,T5)=5; K(9): T Blayman K_S(play#1,T1), S Tong K_L(play#2,T1), C Lease K_S(play#3,T1), G Melhuish K_S(play#13,T2 dropped 3rd WP — reaches), G Knauss K_L(play#14,T2), E Laprise K_S(play#27,T4), G Knauss K_S(play#29,T4), T Blayman K_L(play#33,T5), S Tong K_S(play#34,T5 dropped 3rd PB — reaches); R: T2(B Conlon via G Melhuish dropped K/WP)+T3(S Tong SAC fly)+T5(B Conlon+S Tong on J Martin E)=4; WP: play#13 (B Conlon scores; G Melhuish dropped 3rd mechanism) + play#20 (S Tong adv 2B) = 2; C Lease out on A Baker FC (play#37) = outs credit to L Byrns</t>
        </is>
      </c>
    </row>
    <row r="127" ht="15.75" customHeight="1" s="35">
      <c r="A127" s="8" t="inlineStr">
        <is>
          <t>2026-03-31_GLNL_at_ATHL</t>
        </is>
      </c>
      <c r="B127" s="2" t="n">
        <v>46112</v>
      </c>
      <c r="C127" s="8" t="inlineStr">
        <is>
          <t>GLNL</t>
        </is>
      </c>
      <c r="D127" s="8" t="inlineStr">
        <is>
          <t>ATHL</t>
        </is>
      </c>
      <c r="E127" s="8" t="inlineStr">
        <is>
          <t>J Bott</t>
        </is>
      </c>
      <c r="F127" s="8" t="n">
        <v>4</v>
      </c>
      <c r="G127" s="8" t="n">
        <v>7</v>
      </c>
      <c r="H127" s="8" t="n">
        <v>2</v>
      </c>
      <c r="I127" s="8" t="n">
        <v>2</v>
      </c>
      <c r="J127" s="8" t="n">
        <v>0</v>
      </c>
      <c r="K127" s="8" t="n">
        <v>0</v>
      </c>
      <c r="L127" s="8" t="n">
        <v>0</v>
      </c>
      <c r="M127" s="8" t="n">
        <v>1</v>
      </c>
      <c r="N127" s="8" t="n">
        <v>0</v>
      </c>
      <c r="O127" s="8" t="n">
        <v>0</v>
      </c>
      <c r="P127" s="8" t="n">
        <v>2</v>
      </c>
      <c r="Q127" s="8" t="n">
        <v>2</v>
      </c>
      <c r="R127" s="8" t="inlineStr">
        <is>
          <t>T5 from A Nazelrod AB onward + T6; entry documented play#38 seq (mid-AB T5); H: G Knauss 1B bunt(play#46,T6), T Blayman 1B bunt(play#47,T6); BB: G Melhuish(play#45,T6); K: 0; R: A Baker on J Whiting E(play#38,T5) + G Melhuish/P Moreau on WP(play#48,T6)=2; WP: play#46 (P Moreau adv 2B during G Knauss AB) + play#48 (P Moreau scores; G Knauss adv 3B; T Blayman adv 2B — all same pitch) = 2; S Tong fly-into-DP play#48: 2 outs credited (S Tong out + G Knauss out at home)</t>
        </is>
      </c>
    </row>
    <row r="128" ht="15.75" customHeight="1" s="35">
      <c r="A128" s="8" t="inlineStr">
        <is>
          <t>2026-03-31_GLNL_at_ATHL</t>
        </is>
      </c>
      <c r="B128" s="2" t="n">
        <v>46112</v>
      </c>
      <c r="C128" s="8" t="inlineStr">
        <is>
          <t>GLNL</t>
        </is>
      </c>
      <c r="D128" s="8" t="inlineStr">
        <is>
          <t>ATHL</t>
        </is>
      </c>
      <c r="E128" s="8" t="inlineStr">
        <is>
          <t>T MacKenzie</t>
        </is>
      </c>
      <c r="F128" s="8" t="n">
        <v>3</v>
      </c>
      <c r="G128" s="8" t="n">
        <v>3</v>
      </c>
      <c r="H128" s="8" t="n">
        <v>0</v>
      </c>
      <c r="I128" s="8" t="n">
        <v>0</v>
      </c>
      <c r="J128" s="8" t="n">
        <v>0</v>
      </c>
      <c r="K128" s="8" t="n">
        <v>0</v>
      </c>
      <c r="L128" s="8" t="n">
        <v>0</v>
      </c>
      <c r="M128" s="8" t="n">
        <v>0</v>
      </c>
      <c r="N128" s="8" t="n">
        <v>0</v>
      </c>
      <c r="O128" s="8" t="n">
        <v>1</v>
      </c>
      <c r="P128" s="8" t="n">
        <v>0</v>
      </c>
      <c r="Q128" s="8" t="n">
        <v>0</v>
      </c>
      <c r="R128" s="8" t="inlineStr">
        <is>
          <t>T7; entry inferred from play description play#54 ('T MacKenzie pitching'), Flag#12; K: A Baker K_S(play#54)</t>
        </is>
      </c>
    </row>
    <row r="129" ht="15.75" customHeight="1" s="35">
      <c r="A129" s="8" t="inlineStr">
        <is>
          <t>2026-03-07_HNTN_at_LNGR</t>
        </is>
      </c>
      <c r="B129" s="2" t="n">
        <v>46088</v>
      </c>
      <c r="C129" s="8" t="inlineStr">
        <is>
          <t>Long Reach HS</t>
        </is>
      </c>
      <c r="D129" s="8" t="inlineStr">
        <is>
          <t>HNTN</t>
        </is>
      </c>
      <c r="E129" s="8" t="inlineStr">
        <is>
          <t>N McMurray</t>
        </is>
      </c>
      <c r="F129" s="8" t="n">
        <v>6</v>
      </c>
      <c r="G129" s="8" t="n">
        <v>8</v>
      </c>
      <c r="H129" s="8" t="n">
        <v>2</v>
      </c>
      <c r="I129" s="8" t="n">
        <v>1</v>
      </c>
      <c r="J129" s="8" t="n">
        <v>0</v>
      </c>
      <c r="K129" s="8" t="n">
        <v>0</v>
      </c>
      <c r="L129" s="8" t="n">
        <v>1</v>
      </c>
      <c r="M129" s="8" t="n">
        <v>1</v>
      </c>
      <c r="N129" s="8" t="n">
        <v>0</v>
      </c>
      <c r="O129" s="8" t="n">
        <v>3</v>
      </c>
      <c r="P129" s="8" t="n">
        <v>3</v>
      </c>
      <c r="Q129" s="8" t="n">
        <v>2</v>
      </c>
      <c r="R129" s="8" t="inlineStr">
        <is>
          <t>B1–B2; entry not logged with 'Lineup changed' note — inferred from play #9 description; 2 WPs during #1 AB play #24 (runs scored on WPs); also bats T1–T5</t>
        </is>
      </c>
    </row>
    <row r="130" ht="15.75" customHeight="1" s="35">
      <c r="A130" s="8" t="inlineStr">
        <is>
          <t>2026-03-07_HNTN_at_LNGR</t>
        </is>
      </c>
      <c r="B130" s="2" t="n">
        <v>46088</v>
      </c>
      <c r="C130" s="8" t="inlineStr">
        <is>
          <t>Long Reach HS</t>
        </is>
      </c>
      <c r="D130" s="8" t="inlineStr">
        <is>
          <t>HNTN</t>
        </is>
      </c>
      <c r="E130" s="8" t="inlineStr">
        <is>
          <t>B Marlowe</t>
        </is>
      </c>
      <c r="F130" s="8" t="n">
        <v>6</v>
      </c>
      <c r="G130" s="8" t="n">
        <v>10</v>
      </c>
      <c r="H130" s="8" t="n">
        <v>2</v>
      </c>
      <c r="I130" s="8" t="n">
        <v>2</v>
      </c>
      <c r="J130" s="8" t="n">
        <v>0</v>
      </c>
      <c r="K130" s="8" t="n">
        <v>0</v>
      </c>
      <c r="L130" s="8" t="n">
        <v>0</v>
      </c>
      <c r="M130" s="8" t="n">
        <v>1</v>
      </c>
      <c r="N130" s="8" t="n">
        <v>0</v>
      </c>
      <c r="O130" s="8" t="n">
        <v>4</v>
      </c>
      <c r="P130" s="8" t="n">
        <v>0</v>
      </c>
      <c r="Q130" s="8" t="n">
        <v>0</v>
      </c>
      <c r="R130" s="8" t="inlineStr">
        <is>
          <t>B3–B4; PB during #23 AB play #50 (noted, not WP); also PH/batter T4 play #41 and T6 play #60</t>
        </is>
      </c>
    </row>
    <row r="131" ht="15.75" customHeight="1" s="35">
      <c r="A131" s="8" t="inlineStr">
        <is>
          <t>2026-03-07_HNTN_at_LNGR</t>
        </is>
      </c>
      <c r="B131" s="2" t="n">
        <v>46088</v>
      </c>
      <c r="C131" s="8" t="inlineStr">
        <is>
          <t>Long Reach HS</t>
        </is>
      </c>
      <c r="D131" s="8" t="inlineStr">
        <is>
          <t>HNTN</t>
        </is>
      </c>
      <c r="E131" s="8" t="inlineStr">
        <is>
          <t>R Kessler</t>
        </is>
      </c>
      <c r="F131" s="8" t="n">
        <v>6</v>
      </c>
      <c r="G131" s="8" t="n">
        <v>6</v>
      </c>
      <c r="H131" s="8" t="n">
        <v>0</v>
      </c>
      <c r="I131" s="8" t="n">
        <v>0</v>
      </c>
      <c r="J131" s="8" t="n">
        <v>0</v>
      </c>
      <c r="K131" s="8" t="n">
        <v>0</v>
      </c>
      <c r="L131" s="8" t="n">
        <v>0</v>
      </c>
      <c r="M131" s="8" t="n">
        <v>0</v>
      </c>
      <c r="N131" s="8" t="n">
        <v>0</v>
      </c>
      <c r="O131" s="8" t="n">
        <v>2</v>
      </c>
      <c r="P131" s="8" t="n">
        <v>0</v>
      </c>
      <c r="Q131" s="8" t="n">
        <v>0</v>
      </c>
      <c r="R131" s="8" t="inlineStr">
        <is>
          <t>B5–B6; also PH in J Laur batting slot T6 play #61 (Flag #10)</t>
        </is>
      </c>
    </row>
    <row r="132" ht="15.75" customHeight="1" s="35">
      <c r="A132" s="8" t="inlineStr">
        <is>
          <t>2026-03-07_HNTN_at_LNGR</t>
        </is>
      </c>
      <c r="B132" s="2" t="n">
        <v>46088</v>
      </c>
      <c r="C132" s="8" t="inlineStr">
        <is>
          <t>Huntingtown Varsity Hurricanes</t>
        </is>
      </c>
      <c r="D132" s="8" t="inlineStr">
        <is>
          <t>LNGR</t>
        </is>
      </c>
      <c r="E132" s="8" t="inlineStr">
        <is>
          <t>LNGR_#7</t>
        </is>
      </c>
      <c r="F132" s="8" t="n">
        <v>6</v>
      </c>
      <c r="G132" s="8" t="n">
        <v>15</v>
      </c>
      <c r="H132" s="8" t="n">
        <v>5</v>
      </c>
      <c r="I132" s="8" t="n">
        <v>3</v>
      </c>
      <c r="J132" s="8" t="n">
        <v>2</v>
      </c>
      <c r="K132" s="8" t="n">
        <v>0</v>
      </c>
      <c r="L132" s="8" t="n">
        <v>0</v>
      </c>
      <c r="M132" s="8" t="n">
        <v>3</v>
      </c>
      <c r="N132" s="8" t="n">
        <v>1</v>
      </c>
      <c r="O132" s="8" t="n">
        <v>1</v>
      </c>
      <c r="P132" s="8" t="n">
        <v>7</v>
      </c>
      <c r="Q132" s="8" t="n">
        <v>0</v>
      </c>
      <c r="R132" s="8" t="inlineStr">
        <is>
          <t>T1–T2; entry logged play #1 ('Lineup changed: #7 in at pitcher'); PB during R Gaetano AB play #4 (not WP); also bats B1 and B4</t>
        </is>
      </c>
    </row>
    <row r="133" ht="15.75" customHeight="1" s="35">
      <c r="A133" s="8" t="inlineStr">
        <is>
          <t>2026-03-07_HNTN_at_LNGR</t>
        </is>
      </c>
      <c r="B133" s="2" t="n">
        <v>46088</v>
      </c>
      <c r="C133" s="8" t="inlineStr">
        <is>
          <t>Huntingtown Varsity Hurricanes</t>
        </is>
      </c>
      <c r="D133" s="8" t="inlineStr">
        <is>
          <t>LNGR</t>
        </is>
      </c>
      <c r="E133" s="8" t="inlineStr">
        <is>
          <t>LNGR_#3</t>
        </is>
      </c>
      <c r="F133" s="8" t="n">
        <v>3</v>
      </c>
      <c r="G133" s="8" t="n">
        <v>6</v>
      </c>
      <c r="H133" s="8" t="n">
        <v>4</v>
      </c>
      <c r="I133" s="8" t="n">
        <v>1</v>
      </c>
      <c r="J133" s="8" t="n">
        <v>3</v>
      </c>
      <c r="K133" s="8" t="n">
        <v>0</v>
      </c>
      <c r="L133" s="8" t="n">
        <v>0</v>
      </c>
      <c r="M133" s="8" t="n">
        <v>0</v>
      </c>
      <c r="N133" s="8" t="n">
        <v>0</v>
      </c>
      <c r="O133" s="8" t="n">
        <v>0</v>
      </c>
      <c r="P133" s="8" t="n">
        <v>3</v>
      </c>
      <c r="Q133" s="8" t="n">
        <v>0</v>
      </c>
      <c r="R133" s="8" t="inlineStr">
        <is>
          <t>T3; entry logged play #25; Runner Out (J Hann pickoff play #31) counted as 1 out; also bats B1 and B3</t>
        </is>
      </c>
    </row>
    <row r="134" ht="15.75" customHeight="1" s="35">
      <c r="A134" s="8" t="inlineStr">
        <is>
          <t>2026-03-07_HNTN_at_LNGR</t>
        </is>
      </c>
      <c r="B134" s="2" t="n">
        <v>46088</v>
      </c>
      <c r="C134" s="8" t="inlineStr">
        <is>
          <t>Huntingtown Varsity Hurricanes</t>
        </is>
      </c>
      <c r="D134" s="8" t="inlineStr">
        <is>
          <t>LNGR</t>
        </is>
      </c>
      <c r="E134" s="8" t="inlineStr">
        <is>
          <t>LNGR_#17</t>
        </is>
      </c>
      <c r="F134" s="8" t="n">
        <v>3</v>
      </c>
      <c r="G134" s="8" t="n">
        <v>9</v>
      </c>
      <c r="H134" s="8" t="n">
        <v>4</v>
      </c>
      <c r="I134" s="8" t="n">
        <v>4</v>
      </c>
      <c r="J134" s="8" t="n">
        <v>0</v>
      </c>
      <c r="K134" s="8" t="n">
        <v>0</v>
      </c>
      <c r="L134" s="8" t="n">
        <v>0</v>
      </c>
      <c r="M134" s="8" t="n">
        <v>2</v>
      </c>
      <c r="N134" s="8" t="n">
        <v>0</v>
      </c>
      <c r="O134" s="8" t="n">
        <v>1</v>
      </c>
      <c r="P134" s="8" t="n">
        <v>5</v>
      </c>
      <c r="Q134" s="8" t="n">
        <v>0</v>
      </c>
      <c r="R134" s="8" t="inlineStr">
        <is>
          <t>T4; entry inferred from play descriptions #37, #38, #43 — no 'Lineup changed' note logged (Flag #5); Runner Out (E Elliott CS play #46) counted as 1 out; R Gaetano run via unspecified mechanism included in R_Allowed (Flag #13); also bats B1 and B4</t>
        </is>
      </c>
    </row>
    <row r="135" ht="15.75" customHeight="1" s="35">
      <c r="A135" s="8" t="inlineStr">
        <is>
          <t>2026-03-07_HNTN_at_LNGR</t>
        </is>
      </c>
      <c r="B135" s="2" t="n">
        <v>46088</v>
      </c>
      <c r="C135" s="8" t="inlineStr">
        <is>
          <t>Huntingtown Varsity Hurricanes</t>
        </is>
      </c>
      <c r="D135" s="8" t="inlineStr">
        <is>
          <t>LNGR</t>
        </is>
      </c>
      <c r="E135" s="8" t="inlineStr">
        <is>
          <t>LNGR_#4</t>
        </is>
      </c>
      <c r="F135" s="8" t="n">
        <v>3</v>
      </c>
      <c r="G135" s="8" t="n">
        <v>3</v>
      </c>
      <c r="H135" s="8" t="n">
        <v>0</v>
      </c>
      <c r="I135" s="8" t="n">
        <v>0</v>
      </c>
      <c r="J135" s="8" t="n">
        <v>0</v>
      </c>
      <c r="K135" s="8" t="n">
        <v>0</v>
      </c>
      <c r="L135" s="8" t="n">
        <v>0</v>
      </c>
      <c r="M135" s="8" t="n">
        <v>1</v>
      </c>
      <c r="N135" s="8" t="n">
        <v>0</v>
      </c>
      <c r="O135" s="8" t="n">
        <v>0</v>
      </c>
      <c r="P135" s="8" t="n">
        <v>0</v>
      </c>
      <c r="Q135" s="8" t="n">
        <v>0</v>
      </c>
      <c r="R135" s="8" t="inlineStr">
        <is>
          <t>T5; entry logged play #52; Runner Out (R Gaetano pickoff play #55) counted as 1 out; also bats B3 and B6</t>
        </is>
      </c>
    </row>
    <row r="136" ht="15.75" customHeight="1" s="35">
      <c r="A136" s="8" t="inlineStr">
        <is>
          <t>2026-03-07_HNTN_at_LNGR</t>
        </is>
      </c>
      <c r="B136" s="2" t="n">
        <v>46088</v>
      </c>
      <c r="C136" s="8" t="inlineStr">
        <is>
          <t>Huntingtown Varsity Hurricanes</t>
        </is>
      </c>
      <c r="D136" s="8" t="inlineStr">
        <is>
          <t>LNGR</t>
        </is>
      </c>
      <c r="E136" s="8" t="inlineStr">
        <is>
          <t>LNGR_#15</t>
        </is>
      </c>
      <c r="F136" s="8" t="n">
        <v>3</v>
      </c>
      <c r="G136" s="8" t="n">
        <v>5</v>
      </c>
      <c r="H136" s="8" t="n">
        <v>1</v>
      </c>
      <c r="I136" s="8" t="n">
        <v>1</v>
      </c>
      <c r="J136" s="8" t="n">
        <v>0</v>
      </c>
      <c r="K136" s="8" t="n">
        <v>0</v>
      </c>
      <c r="L136" s="8" t="n">
        <v>0</v>
      </c>
      <c r="M136" s="8" t="n">
        <v>1</v>
      </c>
      <c r="N136" s="8" t="n">
        <v>0</v>
      </c>
      <c r="O136" s="8" t="n">
        <v>0</v>
      </c>
      <c r="P136" s="8" t="n">
        <v>0</v>
      </c>
      <c r="Q136" s="8" t="n">
        <v>1</v>
      </c>
      <c r="R136" s="8" t="inlineStr">
        <is>
          <t>T6; entry inferred from play #60 description — no 'Lineup changed' note logged (Flag #6); WP play #60 (J Walter advances to 2nd); also bats B2 and B4</t>
        </is>
      </c>
    </row>
    <row r="137" ht="15.75" customHeight="1" s="35">
      <c r="A137" s="8" t="inlineStr">
        <is>
          <t>2026-03-14_KNTS_at_HNTN</t>
        </is>
      </c>
      <c r="B137" s="2" t="n">
        <v>46095</v>
      </c>
      <c r="C137" s="8" t="inlineStr">
        <is>
          <t>Kent Island HS</t>
        </is>
      </c>
      <c r="D137" s="8" t="inlineStr">
        <is>
          <t>HNTN</t>
        </is>
      </c>
      <c r="E137" s="8" t="inlineStr">
        <is>
          <t>R Kessler</t>
        </is>
      </c>
      <c r="F137" s="8" t="n">
        <v>11</v>
      </c>
      <c r="G137" s="8" t="n">
        <v>15</v>
      </c>
      <c r="H137" s="8" t="n">
        <v>4</v>
      </c>
      <c r="I137" s="8" t="n">
        <v>4</v>
      </c>
      <c r="J137" s="8" t="n">
        <v>0</v>
      </c>
      <c r="K137" s="8" t="n">
        <v>0</v>
      </c>
      <c r="L137" s="8" t="n">
        <v>0</v>
      </c>
      <c r="M137" s="8" t="n">
        <v>1</v>
      </c>
      <c r="N137" s="8" t="n">
        <v>0</v>
      </c>
      <c r="O137" s="8" t="n">
        <v>3</v>
      </c>
      <c r="P137" s="8" t="n">
        <v>1</v>
      </c>
      <c r="Q137" s="8" t="n">
        <v>0</v>
      </c>
      <c r="R137" s="8" t="inlineStr">
        <is>
          <t>T1–T4 (exits mid-T4 when J Fields enters during #14 AB play #36); Runner Outs in T1 (#3 CS play #4) and T3 (#8 out at home play #26) each credited as 1 out; also bats B1 and B3</t>
        </is>
      </c>
    </row>
    <row r="138" ht="15.75" customHeight="1" s="35">
      <c r="A138" s="8" t="inlineStr">
        <is>
          <t>2026-03-14_KNTS_at_HNTN</t>
        </is>
      </c>
      <c r="B138" s="2" t="n">
        <v>46095</v>
      </c>
      <c r="C138" s="8" t="inlineStr">
        <is>
          <t>Kent Island HS</t>
        </is>
      </c>
      <c r="D138" s="8" t="inlineStr">
        <is>
          <t>HNTN</t>
        </is>
      </c>
      <c r="E138" s="8" t="inlineStr">
        <is>
          <t>J Fields</t>
        </is>
      </c>
      <c r="F138" s="8" t="n">
        <v>3</v>
      </c>
      <c r="G138" s="8" t="n">
        <v>8</v>
      </c>
      <c r="H138" s="8" t="n">
        <v>2</v>
      </c>
      <c r="I138" s="8" t="n">
        <v>1</v>
      </c>
      <c r="J138" s="8" t="n">
        <v>1</v>
      </c>
      <c r="K138" s="8" t="n">
        <v>0</v>
      </c>
      <c r="L138" s="8" t="n">
        <v>0</v>
      </c>
      <c r="M138" s="8" t="n">
        <v>3</v>
      </c>
      <c r="N138" s="8" t="n">
        <v>0</v>
      </c>
      <c r="O138" s="8" t="n">
        <v>1</v>
      </c>
      <c r="P138" s="8" t="n">
        <v>3</v>
      </c>
      <c r="Q138" s="8" t="n">
        <v>1</v>
      </c>
      <c r="R138" s="8" t="inlineStr">
        <is>
          <t>Enters mid-T4 during #14 AB play #36 (1 out in T4); T5 through #9 HBP play #47 (2 outs in T5); WP T5 embedded in #7 walk play #42 (#13 advances to 2nd); PB T5 during #17 walk play #45 (#12 scores — PB, not WP, noted in catcher credit); also active fielder</t>
        </is>
      </c>
    </row>
    <row r="139" ht="15.75" customHeight="1" s="35">
      <c r="A139" s="8" t="inlineStr">
        <is>
          <t>2026-03-14_KNTS_at_HNTN</t>
        </is>
      </c>
      <c r="B139" s="2" t="n">
        <v>46095</v>
      </c>
      <c r="C139" s="8" t="inlineStr">
        <is>
          <t>Kent Island HS</t>
        </is>
      </c>
      <c r="D139" s="8" t="inlineStr">
        <is>
          <t>HNTN</t>
        </is>
      </c>
      <c r="E139" s="8" t="inlineStr">
        <is>
          <t>J Walter</t>
        </is>
      </c>
      <c r="F139" s="8" t="n">
        <v>1</v>
      </c>
      <c r="G139" s="8" t="n">
        <v>3</v>
      </c>
      <c r="H139" s="8" t="n">
        <v>0</v>
      </c>
      <c r="I139" s="8" t="n">
        <v>0</v>
      </c>
      <c r="J139" s="8" t="n">
        <v>0</v>
      </c>
      <c r="K139" s="8" t="n">
        <v>0</v>
      </c>
      <c r="L139" s="8" t="n">
        <v>0</v>
      </c>
      <c r="M139" s="8" t="n">
        <v>1</v>
      </c>
      <c r="N139" s="8" t="n">
        <v>1</v>
      </c>
      <c r="O139" s="8" t="n">
        <v>0</v>
      </c>
      <c r="P139" s="8" t="n">
        <v>2</v>
      </c>
      <c r="Q139" s="8" t="n">
        <v>0</v>
      </c>
      <c r="R139" s="8" t="inlineStr">
        <is>
          <t>Enters mid-T5 during #9 HBP play #47; T5 only (plays 47–49); PB during #8 GO play #49 (#11 scores — PB, not WP); also has batting slot taken by J Laur PH in B6 (Flag #11)</t>
        </is>
      </c>
    </row>
    <row r="140" ht="15.75" customHeight="1" s="35">
      <c r="A140" s="8" t="inlineStr">
        <is>
          <t>2026-03-14_KNTS_at_HNTN</t>
        </is>
      </c>
      <c r="B140" s="2" t="n">
        <v>46095</v>
      </c>
      <c r="C140" s="8" t="inlineStr">
        <is>
          <t>Kent Island HS</t>
        </is>
      </c>
      <c r="D140" s="8" t="inlineStr">
        <is>
          <t>HNTN</t>
        </is>
      </c>
      <c r="E140" s="8" t="inlineStr">
        <is>
          <t>J Hann</t>
        </is>
      </c>
      <c r="F140" s="8" t="n">
        <v>3</v>
      </c>
      <c r="G140" s="8" t="n">
        <v>10</v>
      </c>
      <c r="H140" s="8" t="n">
        <v>4</v>
      </c>
      <c r="I140" s="8" t="n">
        <v>3</v>
      </c>
      <c r="J140" s="8" t="n">
        <v>1</v>
      </c>
      <c r="K140" s="8" t="n">
        <v>0</v>
      </c>
      <c r="L140" s="8" t="n">
        <v>0</v>
      </c>
      <c r="M140" s="8" t="n">
        <v>1</v>
      </c>
      <c r="N140" s="8" t="n">
        <v>2</v>
      </c>
      <c r="O140" s="8" t="n">
        <v>0</v>
      </c>
      <c r="P140" s="8" t="n">
        <v>5</v>
      </c>
      <c r="Q140" s="8" t="n">
        <v>0</v>
      </c>
      <c r="R140" s="8" t="inlineStr">
        <is>
          <t>T6; entry inferred from plays #56–57 — no 'Lineup changed' logged (Flag #6); 2 HBP (#12 play #56, #17 play #57); also active HNTN batter (B1, B2, B4)</t>
        </is>
      </c>
    </row>
    <row r="141" ht="15.75" customHeight="1" s="35">
      <c r="A141" s="8" t="inlineStr">
        <is>
          <t>2026-03-14_KNTS_at_HNTN</t>
        </is>
      </c>
      <c r="B141" s="2" t="n">
        <v>46095</v>
      </c>
      <c r="C141" s="8" t="inlineStr">
        <is>
          <t>Huntingtown Varsity Hurricanes</t>
        </is>
      </c>
      <c r="D141" s="8" t="inlineStr">
        <is>
          <t>KNTS</t>
        </is>
      </c>
      <c r="E141" s="8" t="inlineStr">
        <is>
          <t>KNTS_SP_Unknown</t>
        </is>
      </c>
      <c r="F141" s="8" t="n">
        <v>1</v>
      </c>
      <c r="G141" s="8" t="n">
        <v>4</v>
      </c>
      <c r="H141" s="8" t="n">
        <v>2</v>
      </c>
      <c r="I141" s="8" t="n">
        <v>1</v>
      </c>
      <c r="J141" s="8" t="n">
        <v>1</v>
      </c>
      <c r="K141" s="8" t="n">
        <v>0</v>
      </c>
      <c r="L141" s="8" t="n">
        <v>0</v>
      </c>
      <c r="M141" s="8" t="n">
        <v>1</v>
      </c>
      <c r="N141" s="8" t="n">
        <v>0</v>
      </c>
      <c r="O141" s="8" t="n">
        <v>1</v>
      </c>
      <c r="P141" s="8" t="n">
        <v>1</v>
      </c>
      <c r="Q141" s="8" t="n">
        <v>0</v>
      </c>
      <c r="R141" s="8" t="inlineStr">
        <is>
          <t>Identity unknown — Flag #5; B1 partial (before #17 enters during T Burghard AB play #9); 1 out recorded (R Gaetano K play #8); 1 run allowed (N McMurray scores on J Cadden single play #7)</t>
        </is>
      </c>
    </row>
    <row r="142" ht="15.75" customHeight="1" s="35">
      <c r="A142" s="8" t="inlineStr">
        <is>
          <t>2026-03-14_KNTS_at_HNTN</t>
        </is>
      </c>
      <c r="B142" s="2" t="n">
        <v>46095</v>
      </c>
      <c r="C142" s="8" t="inlineStr">
        <is>
          <t>Huntingtown Varsity Hurricanes</t>
        </is>
      </c>
      <c r="D142" s="8" t="inlineStr">
        <is>
          <t>KNTS</t>
        </is>
      </c>
      <c r="E142" s="8" t="inlineStr">
        <is>
          <t>KNTS_#17</t>
        </is>
      </c>
      <c r="F142" s="8" t="n">
        <v>5</v>
      </c>
      <c r="G142" s="8" t="n">
        <v>9</v>
      </c>
      <c r="H142" s="8" t="n">
        <v>3</v>
      </c>
      <c r="I142" s="8" t="n">
        <v>3</v>
      </c>
      <c r="J142" s="8" t="n">
        <v>0</v>
      </c>
      <c r="K142" s="8" t="n">
        <v>0</v>
      </c>
      <c r="L142" s="8" t="n">
        <v>0</v>
      </c>
      <c r="M142" s="8" t="n">
        <v>1</v>
      </c>
      <c r="N142" s="8" t="n">
        <v>0</v>
      </c>
      <c r="O142" s="8" t="n">
        <v>3</v>
      </c>
      <c r="P142" s="8" t="n">
        <v>4</v>
      </c>
      <c r="Q142" s="8" t="n">
        <v>1</v>
      </c>
      <c r="R142" s="8" t="inlineStr">
        <is>
          <t>B1 partial (enters during T Burghard AB play #9 — Flag #5) through B2; replaced by #6 at start of T Burghard AB B3 play #27; WP B2 play #20 (J Hann scores); also bats T2 and T4 as KNTS batter</t>
        </is>
      </c>
    </row>
    <row r="143" ht="15.75" customHeight="1" s="35">
      <c r="A143" s="8" t="inlineStr">
        <is>
          <t>2026-03-14_KNTS_at_HNTN</t>
        </is>
      </c>
      <c r="B143" s="2" t="n">
        <v>46095</v>
      </c>
      <c r="C143" s="8" t="inlineStr">
        <is>
          <t>Huntingtown Varsity Hurricanes</t>
        </is>
      </c>
      <c r="D143" s="8" t="inlineStr">
        <is>
          <t>KNTS</t>
        </is>
      </c>
      <c r="E143" s="8" t="inlineStr">
        <is>
          <t>KNTS_#6</t>
        </is>
      </c>
      <c r="F143" s="8" t="n">
        <v>6</v>
      </c>
      <c r="G143" s="8" t="n">
        <v>8</v>
      </c>
      <c r="H143" s="8" t="n">
        <v>2</v>
      </c>
      <c r="I143" s="8" t="n">
        <v>0</v>
      </c>
      <c r="J143" s="8" t="n">
        <v>2</v>
      </c>
      <c r="K143" s="8" t="n">
        <v>0</v>
      </c>
      <c r="L143" s="8" t="n">
        <v>0</v>
      </c>
      <c r="M143" s="8" t="n">
        <v>0</v>
      </c>
      <c r="N143" s="8" t="n">
        <v>0</v>
      </c>
      <c r="O143" s="8" t="n">
        <v>3</v>
      </c>
      <c r="P143" s="8" t="n">
        <v>1</v>
      </c>
      <c r="Q143" s="8" t="n">
        <v>0</v>
      </c>
      <c r="R143" s="8" t="inlineStr">
        <is>
          <t>B3 (enters start of T Burghard AB play #27) through B4; replaced by #5 at start of R Gaetano AB B5 play #50</t>
        </is>
      </c>
    </row>
    <row r="144" ht="15.75" customHeight="1" s="35">
      <c r="A144" s="8" t="inlineStr">
        <is>
          <t>2026-03-14_KNTS_at_HNTN</t>
        </is>
      </c>
      <c r="B144" s="2" t="n">
        <v>46095</v>
      </c>
      <c r="C144" s="8" t="inlineStr">
        <is>
          <t>Huntingtown Varsity Hurricanes</t>
        </is>
      </c>
      <c r="D144" s="8" t="inlineStr">
        <is>
          <t>KNTS</t>
        </is>
      </c>
      <c r="E144" s="8" t="inlineStr">
        <is>
          <t>KNTS_#5</t>
        </is>
      </c>
      <c r="F144" s="8" t="n">
        <v>6</v>
      </c>
      <c r="G144" s="8" t="n">
        <v>6</v>
      </c>
      <c r="H144" s="8" t="n">
        <v>0</v>
      </c>
      <c r="I144" s="8" t="n">
        <v>0</v>
      </c>
      <c r="J144" s="8" t="n">
        <v>0</v>
      </c>
      <c r="K144" s="8" t="n">
        <v>0</v>
      </c>
      <c r="L144" s="8" t="n">
        <v>0</v>
      </c>
      <c r="M144" s="8" t="n">
        <v>1</v>
      </c>
      <c r="N144" s="8" t="n">
        <v>0</v>
      </c>
      <c r="O144" s="8" t="n">
        <v>2</v>
      </c>
      <c r="P144" s="8" t="n">
        <v>0</v>
      </c>
      <c r="Q144" s="8" t="n">
        <v>0</v>
      </c>
      <c r="R144" s="8" t="inlineStr">
        <is>
          <t>B5 (enters start of R Gaetano AB play #50) through B6; 2 Ks: J Laur K_L play #63, G Grimes dropped 3rd strike K_S play #65 (out at 1st)</t>
        </is>
      </c>
    </row>
    <row r="145" ht="15.75" customHeight="1" s="35">
      <c r="A145" s="8" t="inlineStr">
        <is>
          <t>2026-03-14_HNTN_at_SRVR</t>
        </is>
      </c>
      <c r="B145" s="2" t="n">
        <v>46095</v>
      </c>
      <c r="C145" s="8" t="inlineStr">
        <is>
          <t>South River Varsity Seahawks</t>
        </is>
      </c>
      <c r="D145" s="8" t="inlineStr">
        <is>
          <t>HNTN</t>
        </is>
      </c>
      <c r="E145" s="8" t="inlineStr">
        <is>
          <t>N McMurray</t>
        </is>
      </c>
      <c r="F145" s="8" t="n">
        <v>9</v>
      </c>
      <c r="G145" s="8" t="n">
        <v>13</v>
      </c>
      <c r="H145" s="8" t="n">
        <v>3</v>
      </c>
      <c r="I145" s="8" t="n">
        <v>3</v>
      </c>
      <c r="J145" s="8" t="n">
        <v>0</v>
      </c>
      <c r="K145" s="8" t="n">
        <v>0</v>
      </c>
      <c r="L145" s="8" t="n">
        <v>0</v>
      </c>
      <c r="M145" s="8" t="n">
        <v>1</v>
      </c>
      <c r="N145" s="8" t="n">
        <v>0</v>
      </c>
      <c r="O145" s="8" t="n">
        <v>5</v>
      </c>
      <c r="P145" s="8" t="n">
        <v>0</v>
      </c>
      <c r="Q145" s="8" t="n">
        <v>0</v>
      </c>
      <c r="R145" s="8" t="inlineStr">
        <is>
          <t>B1–B3; entry not logged with 'Lineup changed' — inferred from play descriptions (plays #4, #8, #9); also bats HNTN lineup T2, T3, T5, T6, T7</t>
        </is>
      </c>
    </row>
    <row r="146" ht="15.75" customHeight="1" s="35">
      <c r="A146" s="8" t="inlineStr">
        <is>
          <t>2026-03-14_HNTN_at_SRVR</t>
        </is>
      </c>
      <c r="B146" s="2" t="n">
        <v>46095</v>
      </c>
      <c r="C146" s="8" t="inlineStr">
        <is>
          <t>South River Varsity Seahawks</t>
        </is>
      </c>
      <c r="D146" s="8" t="inlineStr">
        <is>
          <t>HNTN</t>
        </is>
      </c>
      <c r="E146" s="8" t="inlineStr">
        <is>
          <t>J Laur</t>
        </is>
      </c>
      <c r="F146" s="8" t="n">
        <v>6</v>
      </c>
      <c r="G146" s="8" t="n">
        <v>9</v>
      </c>
      <c r="H146" s="8" t="n">
        <v>3</v>
      </c>
      <c r="I146" s="8" t="n">
        <v>3</v>
      </c>
      <c r="J146" s="8" t="n">
        <v>0</v>
      </c>
      <c r="K146" s="8" t="n">
        <v>0</v>
      </c>
      <c r="L146" s="8" t="n">
        <v>0</v>
      </c>
      <c r="M146" s="8" t="n">
        <v>0</v>
      </c>
      <c r="N146" s="8" t="n">
        <v>0</v>
      </c>
      <c r="O146" s="8" t="n">
        <v>4</v>
      </c>
      <c r="P146" s="8" t="n">
        <v>0</v>
      </c>
      <c r="Q146" s="8" t="n">
        <v>0</v>
      </c>
      <c r="R146" s="8" t="inlineStr">
        <is>
          <t>B4–B5; entry logged play #36; #6 out at 2B on play #38 (single, SS to 2B) counted as 1 out (Flag #11); also bats T3, T6, T7 (Flag #6)</t>
        </is>
      </c>
    </row>
    <row r="147" ht="15.75" customHeight="1" s="35">
      <c r="A147" s="8" t="inlineStr">
        <is>
          <t>2026-03-14_HNTN_at_SRVR</t>
        </is>
      </c>
      <c r="B147" s="2" t="n">
        <v>46095</v>
      </c>
      <c r="C147" s="8" t="inlineStr">
        <is>
          <t>South River Varsity Seahawks</t>
        </is>
      </c>
      <c r="D147" s="8" t="inlineStr">
        <is>
          <t>HNTN</t>
        </is>
      </c>
      <c r="E147" s="8" t="inlineStr">
        <is>
          <t>J Cadden</t>
        </is>
      </c>
      <c r="F147" s="8" t="n">
        <v>3</v>
      </c>
      <c r="G147" s="8" t="n">
        <v>5</v>
      </c>
      <c r="H147" s="8" t="n">
        <v>1</v>
      </c>
      <c r="I147" s="8" t="n">
        <v>1</v>
      </c>
      <c r="J147" s="8" t="n">
        <v>0</v>
      </c>
      <c r="K147" s="8" t="n">
        <v>0</v>
      </c>
      <c r="L147" s="8" t="n">
        <v>0</v>
      </c>
      <c r="M147" s="8" t="n">
        <v>1</v>
      </c>
      <c r="N147" s="8" t="n">
        <v>0</v>
      </c>
      <c r="O147" s="8" t="n">
        <v>2</v>
      </c>
      <c r="P147" s="8" t="n">
        <v>0</v>
      </c>
      <c r="Q147" s="8" t="n">
        <v>0</v>
      </c>
      <c r="R147" s="8" t="inlineStr">
        <is>
          <t>B6 only; entry logged play #59; also bats T1, T3, T4, T6</t>
        </is>
      </c>
    </row>
    <row r="148" ht="15.75" customHeight="1" s="35">
      <c r="A148" s="8" t="inlineStr">
        <is>
          <t>2026-03-14_HNTN_at_SRVR</t>
        </is>
      </c>
      <c r="B148" s="2" t="n">
        <v>46095</v>
      </c>
      <c r="C148" s="8" t="inlineStr">
        <is>
          <t>South River Varsity Seahawks</t>
        </is>
      </c>
      <c r="D148" s="8" t="inlineStr">
        <is>
          <t>HNTN</t>
        </is>
      </c>
      <c r="E148" s="8" t="inlineStr">
        <is>
          <t>T Burghard</t>
        </is>
      </c>
      <c r="F148" s="8" t="n">
        <v>3</v>
      </c>
      <c r="G148" s="8" t="n">
        <v>4</v>
      </c>
      <c r="H148" s="8" t="n">
        <v>1</v>
      </c>
      <c r="I148" s="8" t="n">
        <v>1</v>
      </c>
      <c r="J148" s="8" t="n">
        <v>0</v>
      </c>
      <c r="K148" s="8" t="n">
        <v>0</v>
      </c>
      <c r="L148" s="8" t="n">
        <v>0</v>
      </c>
      <c r="M148" s="8" t="n">
        <v>0</v>
      </c>
      <c r="N148" s="8" t="n">
        <v>0</v>
      </c>
      <c r="O148" s="8" t="n">
        <v>1</v>
      </c>
      <c r="P148" s="8" t="n">
        <v>0</v>
      </c>
      <c r="Q148" s="8" t="n">
        <v>0</v>
      </c>
      <c r="R148" s="8" t="inlineStr">
        <is>
          <t>B7 only; entry logged play #73; PB during #4 PO play #76 (#2 advances to 2nd — PB, not WP); also bats T7 as mid-AB PH for J Hann (Flag #7)</t>
        </is>
      </c>
    </row>
    <row r="149" ht="15.75" customHeight="1" s="35">
      <c r="A149" s="8" t="inlineStr">
        <is>
          <t>2026-03-14_HNTN_at_SRVR</t>
        </is>
      </c>
      <c r="B149" s="2" t="n">
        <v>46095</v>
      </c>
      <c r="C149" s="8" t="inlineStr">
        <is>
          <t>Huntingtown Varsity Hurricanes</t>
        </is>
      </c>
      <c r="D149" s="8" t="inlineStr">
        <is>
          <t>SRVR</t>
        </is>
      </c>
      <c r="E149" s="8" t="inlineStr">
        <is>
          <t>SRVR_SP_Unknown</t>
        </is>
      </c>
      <c r="F149" s="8" t="n">
        <v>21</v>
      </c>
      <c r="G149" s="8" t="n">
        <v>44</v>
      </c>
      <c r="H149" s="8" t="n">
        <v>18</v>
      </c>
      <c r="I149" s="8" t="n">
        <v>16</v>
      </c>
      <c r="J149" s="8" t="n">
        <v>2</v>
      </c>
      <c r="K149" s="8" t="n">
        <v>0</v>
      </c>
      <c r="L149" s="8" t="n">
        <v>0</v>
      </c>
      <c r="M149" s="8" t="n">
        <v>2</v>
      </c>
      <c r="N149" s="8" t="n">
        <v>2</v>
      </c>
      <c r="O149" s="8" t="n">
        <v>9</v>
      </c>
      <c r="P149" s="8" t="n">
        <v>15</v>
      </c>
      <c r="Q149" s="8" t="n">
        <v>0</v>
      </c>
      <c r="R149" s="8" t="inlineStr">
        <is>
          <t>Identity (or identities) unknown — Flag #5; no SRVR pitcher documented anywhere in log; all 7 innings credited to single row (indeterminate if multiple pitchers used); 4 PBs during SRVR pitching tenure: plays #19 (J Laur adv 2nd), #57 (N McMurray adv 3rd), #65 (J Laur adv 3rd), #76 (#2 adv 2nd) — PBs noted here, not WPs</t>
        </is>
      </c>
    </row>
    <row r="150" ht="15.75" customHeight="1" s="35">
      <c r="A150" s="8" t="inlineStr">
        <is>
          <t>2026-03-18_NRTH_at_HNTN</t>
        </is>
      </c>
      <c r="B150" s="2" t="n">
        <v>46099</v>
      </c>
      <c r="C150" s="8" t="inlineStr">
        <is>
          <t>North County</t>
        </is>
      </c>
      <c r="D150" s="8" t="inlineStr">
        <is>
          <t>HNTN</t>
        </is>
      </c>
      <c r="E150" s="8" t="inlineStr">
        <is>
          <t>T Burghard</t>
        </is>
      </c>
      <c r="F150" s="8" t="n">
        <v>9</v>
      </c>
      <c r="G150" s="8" t="n">
        <v>14</v>
      </c>
      <c r="H150" s="8" t="n">
        <v>3</v>
      </c>
      <c r="I150" s="8" t="n">
        <v>3</v>
      </c>
      <c r="J150" s="8" t="n">
        <v>0</v>
      </c>
      <c r="K150" s="8" t="n">
        <v>0</v>
      </c>
      <c r="L150" s="8" t="n">
        <v>0</v>
      </c>
      <c r="M150" s="8" t="n">
        <v>1</v>
      </c>
      <c r="N150" s="8" t="n">
        <v>0</v>
      </c>
      <c r="O150" s="8" t="n">
        <v>2</v>
      </c>
      <c r="P150" s="8" t="n">
        <v>1</v>
      </c>
      <c r="Q150" s="8" t="n">
        <v>0</v>
      </c>
      <c r="R150" s="8" t="inlineStr">
        <is>
          <t>T1–T3, exits before T4 (J Fields enters at start of #9 AB play #32, non-standard notation Flag #6); also bats as PH for J Hann B6 play #55</t>
        </is>
      </c>
    </row>
    <row r="151" ht="15.75" customHeight="1" s="35">
      <c r="A151" s="8" t="inlineStr">
        <is>
          <t>2026-03-18_NRTH_at_HNTN</t>
        </is>
      </c>
      <c r="B151" s="2" t="n">
        <v>46099</v>
      </c>
      <c r="C151" s="8" t="inlineStr">
        <is>
          <t>North County</t>
        </is>
      </c>
      <c r="D151" s="8" t="inlineStr">
        <is>
          <t>HNTN</t>
        </is>
      </c>
      <c r="E151" s="8" t="inlineStr">
        <is>
          <t>J Fields</t>
        </is>
      </c>
      <c r="F151" s="8" t="n">
        <v>6</v>
      </c>
      <c r="G151" s="8" t="n">
        <v>7</v>
      </c>
      <c r="H151" s="8" t="n">
        <v>0</v>
      </c>
      <c r="I151" s="8" t="n">
        <v>0</v>
      </c>
      <c r="J151" s="8" t="n">
        <v>0</v>
      </c>
      <c r="K151" s="8" t="n">
        <v>0</v>
      </c>
      <c r="L151" s="8" t="n">
        <v>0</v>
      </c>
      <c r="M151" s="8" t="n">
        <v>1</v>
      </c>
      <c r="N151" s="8" t="n">
        <v>0</v>
      </c>
      <c r="O151" s="8" t="n">
        <v>1</v>
      </c>
      <c r="P151" s="8" t="n">
        <v>0</v>
      </c>
      <c r="Q151" s="8" t="n">
        <v>0</v>
      </c>
      <c r="R151" s="8" t="inlineStr">
        <is>
          <t>T4 (enters at start of #9 AB play #32, Flag #6) through T5; L Bennett enters at start of #5 AB T6 play #48 (Flag #6); also bats as PH for J Laur B6 play #60</t>
        </is>
      </c>
    </row>
    <row r="152" ht="15.75" customHeight="1" s="35">
      <c r="A152" s="8" t="inlineStr">
        <is>
          <t>2026-03-18_NRTH_at_HNTN</t>
        </is>
      </c>
      <c r="B152" s="2" t="n">
        <v>46099</v>
      </c>
      <c r="C152" s="8" t="inlineStr">
        <is>
          <t>North County</t>
        </is>
      </c>
      <c r="D152" s="8" t="inlineStr">
        <is>
          <t>HNTN</t>
        </is>
      </c>
      <c r="E152" s="8" t="inlineStr">
        <is>
          <t>L Bennett</t>
        </is>
      </c>
      <c r="F152" s="8" t="n">
        <v>6</v>
      </c>
      <c r="G152" s="8" t="n">
        <v>16</v>
      </c>
      <c r="H152" s="8" t="n">
        <v>6</v>
      </c>
      <c r="I152" s="8" t="n">
        <v>4</v>
      </c>
      <c r="J152" s="8" t="n">
        <v>2</v>
      </c>
      <c r="K152" s="8" t="n">
        <v>0</v>
      </c>
      <c r="L152" s="8" t="n">
        <v>0</v>
      </c>
      <c r="M152" s="8" t="n">
        <v>1</v>
      </c>
      <c r="N152" s="8" t="n">
        <v>0</v>
      </c>
      <c r="O152" s="8" t="n">
        <v>1</v>
      </c>
      <c r="P152" s="8" t="n">
        <v>6</v>
      </c>
      <c r="Q152" s="8" t="n">
        <v>0</v>
      </c>
      <c r="R152" s="8" t="inlineStr">
        <is>
          <t>T6 (enters at start of #5 AB play #48, Flag #6) through T7; 4 of 7 NRTH T7 runs allowed; also active HNTN fielder/batter in prior games</t>
        </is>
      </c>
    </row>
    <row r="153" ht="15.75" customHeight="1" s="35">
      <c r="A153" s="8" t="inlineStr">
        <is>
          <t>2026-03-18_NRTH_at_HNTN</t>
        </is>
      </c>
      <c r="B153" s="2" t="n">
        <v>46099</v>
      </c>
      <c r="C153" s="8" t="inlineStr">
        <is>
          <t>Huntingtown Varsity Hurricanes</t>
        </is>
      </c>
      <c r="D153" s="8" t="inlineStr">
        <is>
          <t>NRTH</t>
        </is>
      </c>
      <c r="E153" s="8" t="inlineStr">
        <is>
          <t>NRTH_#8</t>
        </is>
      </c>
      <c r="F153" s="8" t="n">
        <v>9</v>
      </c>
      <c r="G153" s="8" t="n">
        <v>17</v>
      </c>
      <c r="H153" s="8" t="n">
        <v>3</v>
      </c>
      <c r="I153" s="8" t="n">
        <v>2</v>
      </c>
      <c r="J153" s="8" t="n">
        <v>1</v>
      </c>
      <c r="K153" s="8" t="n">
        <v>0</v>
      </c>
      <c r="L153" s="8" t="n">
        <v>0</v>
      </c>
      <c r="M153" s="8" t="n">
        <v>4</v>
      </c>
      <c r="N153" s="8" t="n">
        <v>0</v>
      </c>
      <c r="O153" s="8" t="n">
        <v>1</v>
      </c>
      <c r="P153" s="8" t="n">
        <v>5</v>
      </c>
      <c r="Q153" s="8" t="n">
        <v>0</v>
      </c>
      <c r="R153" s="8" t="inlineStr">
        <is>
          <t>B1–B3; entry not logged with 'Lineup changed' — inferred from play descriptions (Flag #5); C Wargo steal of home (embedded play #19) included in R_Allowed (Flags #11, #12)</t>
        </is>
      </c>
    </row>
    <row r="154" ht="15.75" customHeight="1" s="35">
      <c r="A154" s="8" t="inlineStr">
        <is>
          <t>2026-03-18_NRTH_at_HNTN</t>
        </is>
      </c>
      <c r="B154" s="2" t="n">
        <v>46099</v>
      </c>
      <c r="C154" s="8" t="inlineStr">
        <is>
          <t>Huntingtown Varsity Hurricanes</t>
        </is>
      </c>
      <c r="D154" s="8" t="inlineStr">
        <is>
          <t>NRTH</t>
        </is>
      </c>
      <c r="E154" s="8" t="inlineStr">
        <is>
          <t>NRTH_#7</t>
        </is>
      </c>
      <c r="F154" s="8" t="n">
        <v>6</v>
      </c>
      <c r="G154" s="8" t="n">
        <v>9</v>
      </c>
      <c r="H154" s="8" t="n">
        <v>2</v>
      </c>
      <c r="I154" s="8" t="n">
        <v>2</v>
      </c>
      <c r="J154" s="8" t="n">
        <v>0</v>
      </c>
      <c r="K154" s="8" t="n">
        <v>0</v>
      </c>
      <c r="L154" s="8" t="n">
        <v>0</v>
      </c>
      <c r="M154" s="8" t="n">
        <v>1</v>
      </c>
      <c r="N154" s="8" t="n">
        <v>0</v>
      </c>
      <c r="O154" s="8" t="n">
        <v>0</v>
      </c>
      <c r="P154" s="8" t="n">
        <v>3</v>
      </c>
      <c r="Q154" s="8" t="n">
        <v>0</v>
      </c>
      <c r="R154" s="8" t="inlineStr">
        <is>
          <t>B4–B5; entry logged play #36; replaced when #16 PH's for #7 in T6 (play #50, Flag #7); also bats T2 and T3</t>
        </is>
      </c>
    </row>
    <row r="155" ht="15.75" customHeight="1" s="35">
      <c r="A155" s="8" t="inlineStr">
        <is>
          <t>2026-03-18_NRTH_at_HNTN</t>
        </is>
      </c>
      <c r="B155" s="2" t="n">
        <v>46099</v>
      </c>
      <c r="C155" s="8" t="inlineStr">
        <is>
          <t>Huntingtown Varsity Hurricanes</t>
        </is>
      </c>
      <c r="D155" s="8" t="inlineStr">
        <is>
          <t>NRTH</t>
        </is>
      </c>
      <c r="E155" s="8" t="inlineStr">
        <is>
          <t>NRTH_#16</t>
        </is>
      </c>
      <c r="F155" s="8" t="n">
        <v>2</v>
      </c>
      <c r="G155" s="8" t="n">
        <v>6</v>
      </c>
      <c r="H155" s="8" t="n">
        <v>2</v>
      </c>
      <c r="I155" s="8" t="n">
        <v>1</v>
      </c>
      <c r="J155" s="8" t="n">
        <v>1</v>
      </c>
      <c r="K155" s="8" t="n">
        <v>0</v>
      </c>
      <c r="L155" s="8" t="n">
        <v>0</v>
      </c>
      <c r="M155" s="8" t="n">
        <v>0</v>
      </c>
      <c r="N155" s="8" t="n">
        <v>2</v>
      </c>
      <c r="O155" s="8" t="n">
        <v>0</v>
      </c>
      <c r="P155" s="8" t="n">
        <v>2</v>
      </c>
      <c r="Q155" s="8" t="n">
        <v>0</v>
      </c>
      <c r="R155" s="8" t="inlineStr">
        <is>
          <t>B6 partial (inferred entry — #16 pitches from R Bolger AB play #54 onward, Flag #7); replaced by #9 at start of J Fields AB play #60; 2 HBP (T Burghard play #55, B Robbins play #59); also bats T6 and T7 as PH for #7</t>
        </is>
      </c>
    </row>
    <row r="156" ht="15.75" customHeight="1" s="35">
      <c r="A156" s="8" t="inlineStr">
        <is>
          <t>2026-03-18_NRTH_at_HNTN</t>
        </is>
      </c>
      <c r="B156" s="2" t="n">
        <v>46099</v>
      </c>
      <c r="C156" s="8" t="inlineStr">
        <is>
          <t>Huntingtown Varsity Hurricanes</t>
        </is>
      </c>
      <c r="D156" s="8" t="inlineStr">
        <is>
          <t>NRTH</t>
        </is>
      </c>
      <c r="E156" s="8" t="inlineStr">
        <is>
          <t>NRTH_#9</t>
        </is>
      </c>
      <c r="F156" s="8" t="n">
        <v>1</v>
      </c>
      <c r="G156" s="8" t="n">
        <v>2</v>
      </c>
      <c r="H156" s="8" t="n">
        <v>0</v>
      </c>
      <c r="I156" s="8" t="n">
        <v>0</v>
      </c>
      <c r="J156" s="8" t="n">
        <v>0</v>
      </c>
      <c r="K156" s="8" t="n">
        <v>0</v>
      </c>
      <c r="L156" s="8" t="n">
        <v>0</v>
      </c>
      <c r="M156" s="8" t="n">
        <v>1</v>
      </c>
      <c r="N156" s="8" t="n">
        <v>0</v>
      </c>
      <c r="O156" s="8" t="n">
        <v>1</v>
      </c>
      <c r="P156" s="8" t="n">
        <v>0</v>
      </c>
      <c r="Q156" s="8" t="n">
        <v>0</v>
      </c>
      <c r="R156" s="8" t="inlineStr">
        <is>
          <t>B6 partial only (enters at start of J Fields AB play #60 — 'Lineup changed: #9 in at pitcher'); also bats T2, T4, T6, T7</t>
        </is>
      </c>
    </row>
    <row r="157" ht="15.75" customHeight="1" s="35">
      <c r="A157" s="8" t="inlineStr">
        <is>
          <t>2026-03-20_CLVR_at_HNTN</t>
        </is>
      </c>
      <c r="B157" s="2" t="n">
        <v>46101</v>
      </c>
      <c r="C157" s="8" t="inlineStr">
        <is>
          <t>Calvert HS</t>
        </is>
      </c>
      <c r="D157" s="8" t="inlineStr">
        <is>
          <t>HNTN</t>
        </is>
      </c>
      <c r="E157" s="8" t="inlineStr">
        <is>
          <t>N McMurray</t>
        </is>
      </c>
      <c r="F157" s="8" t="n">
        <v>15</v>
      </c>
      <c r="G157" s="8" t="n">
        <v>17</v>
      </c>
      <c r="H157" s="8" t="n">
        <v>1</v>
      </c>
      <c r="I157" s="8" t="n">
        <v>1</v>
      </c>
      <c r="J157" s="8" t="n">
        <v>0</v>
      </c>
      <c r="K157" s="8" t="n">
        <v>0</v>
      </c>
      <c r="L157" s="8" t="n">
        <v>0</v>
      </c>
      <c r="M157" s="8" t="n">
        <v>0</v>
      </c>
      <c r="N157" s="8" t="n">
        <v>0</v>
      </c>
      <c r="O157" s="8" t="n">
        <v>4</v>
      </c>
      <c r="P157" s="8" t="n">
        <v>0</v>
      </c>
      <c r="Q157" s="8" t="n">
        <v>2</v>
      </c>
      <c r="R157" s="8" t="inlineStr">
        <is>
          <t>T1–T5; entry logged play #1; transition to J Laur inferred (Flag #6); WP T1: play #6 (R Bolger adv 2nd) and play #10 (R Gaetano adv 2nd then 3rd on same pitch per Flag #13 — 2 WPs total); also bats HNTN lineup B1, B3, B6</t>
        </is>
      </c>
    </row>
    <row r="158" ht="15.75" customHeight="1" s="35">
      <c r="A158" s="8" t="inlineStr">
        <is>
          <t>2026-03-20_CLVR_at_HNTN</t>
        </is>
      </c>
      <c r="B158" s="2" t="n">
        <v>46101</v>
      </c>
      <c r="C158" s="8" t="inlineStr">
        <is>
          <t>Calvert HS</t>
        </is>
      </c>
      <c r="D158" s="8" t="inlineStr">
        <is>
          <t>HNTN</t>
        </is>
      </c>
      <c r="E158" s="8" t="inlineStr">
        <is>
          <t>J Laur</t>
        </is>
      </c>
      <c r="F158" s="8" t="n">
        <v>6</v>
      </c>
      <c r="G158" s="8" t="n">
        <v>9</v>
      </c>
      <c r="H158" s="8" t="n">
        <v>2</v>
      </c>
      <c r="I158" s="8" t="n">
        <v>1</v>
      </c>
      <c r="J158" s="8" t="n">
        <v>1</v>
      </c>
      <c r="K158" s="8" t="n">
        <v>0</v>
      </c>
      <c r="L158" s="8" t="n">
        <v>0</v>
      </c>
      <c r="M158" s="8" t="n">
        <v>1</v>
      </c>
      <c r="N158" s="8" t="n">
        <v>0</v>
      </c>
      <c r="O158" s="8" t="n">
        <v>4</v>
      </c>
      <c r="P158" s="8" t="n">
        <v>0</v>
      </c>
      <c r="Q158" s="8" t="n">
        <v>0</v>
      </c>
      <c r="R158" s="8" t="inlineStr">
        <is>
          <t>T6–T7; entry inferred — no 'Lineup changed' logged (Flag #6); also bats HNTN lineup B2, B4, B6 and serves as PR in B4 (circular substitution, Flag #8)</t>
        </is>
      </c>
    </row>
    <row r="159" ht="15.75" customHeight="1" s="35">
      <c r="A159" s="8" t="inlineStr">
        <is>
          <t>2026-03-20_CLVR_at_HNTN</t>
        </is>
      </c>
      <c r="B159" s="2" t="n">
        <v>46101</v>
      </c>
      <c r="C159" s="8" t="inlineStr">
        <is>
          <t>Huntingtown Varsity Hurricanes</t>
        </is>
      </c>
      <c r="D159" s="8" t="inlineStr">
        <is>
          <t>CLVR</t>
        </is>
      </c>
      <c r="E159" s="8" t="inlineStr">
        <is>
          <t>J Lee</t>
        </is>
      </c>
      <c r="F159" s="8" t="n">
        <v>15</v>
      </c>
      <c r="G159" s="8" t="n">
        <v>21</v>
      </c>
      <c r="H159" s="8" t="n">
        <v>3</v>
      </c>
      <c r="I159" s="8" t="n">
        <v>3</v>
      </c>
      <c r="J159" s="8" t="n">
        <v>0</v>
      </c>
      <c r="K159" s="8" t="n">
        <v>0</v>
      </c>
      <c r="L159" s="8" t="n">
        <v>0</v>
      </c>
      <c r="M159" s="8" t="n">
        <v>3</v>
      </c>
      <c r="N159" s="8" t="n">
        <v>0</v>
      </c>
      <c r="O159" s="8" t="n">
        <v>8</v>
      </c>
      <c r="P159" s="8" t="n">
        <v>3</v>
      </c>
      <c r="Q159" s="8" t="n">
        <v>2</v>
      </c>
      <c r="R159" s="8" t="inlineStr">
        <is>
          <t>B1–B5; entry not logged with 'Lineup changed' — inferred from play descriptions (Flag #5); dropped 3rd strike B1 play #5 (R Bolger reaches on PB, K credited, no out); WP B1 play #6 (R Bolger adv 2nd) and play #10 (R Gaetano adv 2nd and 3rd — Flag #13, counted as 1 WP); R_Allowed includes: L Bennett (CR-R Bolger) scores on R Gaetano 1B (play #9), L Montgomery (CR-N McMurray) scores on WP (play #10), C Wargo steals home embedded in Runner Out (play #18); also bats CLVR lineup T1–T6</t>
        </is>
      </c>
    </row>
    <row r="160" ht="15.75" customHeight="1" s="35">
      <c r="A160" s="8" t="inlineStr">
        <is>
          <t>2026-03-20_CLVR_at_HNTN</t>
        </is>
      </c>
      <c r="B160" s="2" t="n">
        <v>46101</v>
      </c>
      <c r="C160" s="8" t="inlineStr">
        <is>
          <t>Huntingtown Varsity Hurricanes</t>
        </is>
      </c>
      <c r="D160" s="8" t="inlineStr">
        <is>
          <t>CLVR</t>
        </is>
      </c>
      <c r="E160" s="8" t="inlineStr">
        <is>
          <t>J Leichtweis</t>
        </is>
      </c>
      <c r="F160" s="8" t="n">
        <v>3</v>
      </c>
      <c r="G160" s="8" t="n">
        <v>5</v>
      </c>
      <c r="H160" s="8" t="n">
        <v>0</v>
      </c>
      <c r="I160" s="8" t="n">
        <v>0</v>
      </c>
      <c r="J160" s="8" t="n">
        <v>0</v>
      </c>
      <c r="K160" s="8" t="n">
        <v>0</v>
      </c>
      <c r="L160" s="8" t="n">
        <v>0</v>
      </c>
      <c r="M160" s="8" t="n">
        <v>2</v>
      </c>
      <c r="N160" s="8" t="n">
        <v>0</v>
      </c>
      <c r="O160" s="8" t="n">
        <v>2</v>
      </c>
      <c r="P160" s="8" t="n">
        <v>1</v>
      </c>
      <c r="Q160" s="8" t="n">
        <v>3</v>
      </c>
      <c r="R160" s="8" t="inlineStr">
        <is>
          <t>B6 only; entry inferred — no 'Lineup changed' logged (Flag #7); 3 WPs: play #46 ×2 (R Gaetano adv 2nd, then 3rd) and play #47 (B Marlowe adv 3rd); 2 catcher errors by C Sacker in same half-inning (plays #46, #47, Flags #14, #15); R_Allowed: R Gaetano scores on catcher error play #46 (error, not WP); also bats CLVR lineup T2, T5, T7</t>
        </is>
      </c>
    </row>
    <row r="161" ht="15.75" customHeight="1" s="35">
      <c r="A161" s="8" t="inlineStr">
        <is>
          <t>2026-03-23_PTXN_at_HNTN</t>
        </is>
      </c>
      <c r="B161" s="2" t="n">
        <v>46104</v>
      </c>
      <c r="C161" s="8" t="inlineStr">
        <is>
          <t>Patuxent</t>
        </is>
      </c>
      <c r="D161" s="8" t="inlineStr">
        <is>
          <t>HNTN</t>
        </is>
      </c>
      <c r="E161" s="8" t="inlineStr">
        <is>
          <t>R Kessler</t>
        </is>
      </c>
      <c r="F161" s="8" t="n">
        <v>12</v>
      </c>
      <c r="G161" s="8" t="n">
        <v>21</v>
      </c>
      <c r="H161" s="8" t="n">
        <v>5</v>
      </c>
      <c r="I161" s="8" t="n">
        <v>4</v>
      </c>
      <c r="J161" s="8" t="n">
        <v>1</v>
      </c>
      <c r="K161" s="8" t="n">
        <v>0</v>
      </c>
      <c r="L161" s="8" t="n">
        <v>0</v>
      </c>
      <c r="M161" s="8" t="n">
        <v>2</v>
      </c>
      <c r="N161" s="8" t="n">
        <v>2</v>
      </c>
      <c r="O161" s="8" t="n">
        <v>4</v>
      </c>
      <c r="P161" s="8" t="n">
        <v>4</v>
      </c>
      <c r="Q161" s="8" t="n">
        <v>0</v>
      </c>
      <c r="R161" s="8" t="inlineStr">
        <is>
          <t>T1–T4; entry logged play #1; J Fields enters at start of R Whitney AB T5 play #44 (Flag #5); B Cowan CS home embedded in R Whitney AB play #4 (counted as out); T4 outburst: 4 runs allowed on 3 H, 1 BB, 2 HBP</t>
        </is>
      </c>
    </row>
    <row r="162" ht="15.75" customHeight="1" s="35">
      <c r="A162" s="8" t="inlineStr">
        <is>
          <t>2026-03-23_PTXN_at_HNTN</t>
        </is>
      </c>
      <c r="B162" s="2" t="n">
        <v>46104</v>
      </c>
      <c r="C162" s="8" t="inlineStr">
        <is>
          <t>Patuxent</t>
        </is>
      </c>
      <c r="D162" s="8" t="inlineStr">
        <is>
          <t>HNTN</t>
        </is>
      </c>
      <c r="E162" s="8" t="inlineStr">
        <is>
          <t>J Fields</t>
        </is>
      </c>
      <c r="F162" s="8" t="n">
        <v>9</v>
      </c>
      <c r="G162" s="8" t="n">
        <v>13</v>
      </c>
      <c r="H162" s="8" t="n">
        <v>3</v>
      </c>
      <c r="I162" s="8" t="n">
        <v>2</v>
      </c>
      <c r="J162" s="8" t="n">
        <v>1</v>
      </c>
      <c r="K162" s="8" t="n">
        <v>0</v>
      </c>
      <c r="L162" s="8" t="n">
        <v>0</v>
      </c>
      <c r="M162" s="8" t="n">
        <v>1</v>
      </c>
      <c r="N162" s="8" t="n">
        <v>0</v>
      </c>
      <c r="O162" s="8" t="n">
        <v>3</v>
      </c>
      <c r="P162" s="8" t="n">
        <v>0</v>
      </c>
      <c r="Q162" s="8" t="n">
        <v>1</v>
      </c>
      <c r="R162" s="8" t="inlineStr">
        <is>
          <t>T5 (enters at start of R Whitney AB play #44, Flag #5) through T7; WP T5 play #46 (N Kelly advances to 3rd); IW to C Jones T7 play #64 (counted as BB, Flag #14); strands N Kelly 2B and C Jones IW in T7 (C White K ends inning)</t>
        </is>
      </c>
    </row>
    <row r="163" ht="15.75" customHeight="1" s="35">
      <c r="A163" s="8" t="inlineStr">
        <is>
          <t>2026-03-23_PTXN_at_HNTN</t>
        </is>
      </c>
      <c r="B163" s="2" t="n">
        <v>46104</v>
      </c>
      <c r="C163" s="8" t="inlineStr">
        <is>
          <t>Huntingtown Varsity Hurricanes</t>
        </is>
      </c>
      <c r="D163" s="8" t="inlineStr">
        <is>
          <t>PTXN</t>
        </is>
      </c>
      <c r="E163" s="8" t="inlineStr">
        <is>
          <t>D Bradley</t>
        </is>
      </c>
      <c r="F163" s="8" t="n">
        <v>12</v>
      </c>
      <c r="G163" s="8" t="n">
        <v>22</v>
      </c>
      <c r="H163" s="8" t="n">
        <v>7</v>
      </c>
      <c r="I163" s="8" t="n">
        <v>7</v>
      </c>
      <c r="J163" s="8" t="n">
        <v>0</v>
      </c>
      <c r="K163" s="8" t="n">
        <v>0</v>
      </c>
      <c r="L163" s="8" t="n">
        <v>0</v>
      </c>
      <c r="M163" s="8" t="n">
        <v>1</v>
      </c>
      <c r="N163" s="8" t="n">
        <v>1</v>
      </c>
      <c r="O163" s="8" t="n">
        <v>2</v>
      </c>
      <c r="P163" s="8" t="n">
        <v>4</v>
      </c>
      <c r="Q163" s="8" t="n">
        <v>0</v>
      </c>
      <c r="R163" s="8" t="inlineStr">
        <is>
          <t>B1–B4; entry logged play #5; transition to T Lakey undocumented (Flag #6); PB during J Laur AB play #10 (J Cadden scores, J Hann advances — PB, not WP); also bats PTXN lineup T1, T3, T4, T6</t>
        </is>
      </c>
    </row>
    <row r="164" ht="15.75" customHeight="1" s="35">
      <c r="A164" s="8" t="inlineStr">
        <is>
          <t>2026-03-23_PTXN_at_HNTN</t>
        </is>
      </c>
      <c r="B164" s="2" t="n">
        <v>46104</v>
      </c>
      <c r="C164" s="8" t="inlineStr">
        <is>
          <t>Huntingtown Varsity Hurricanes</t>
        </is>
      </c>
      <c r="D164" s="8" t="inlineStr">
        <is>
          <t>PTXN</t>
        </is>
      </c>
      <c r="E164" s="8" t="inlineStr">
        <is>
          <t>T Lakey</t>
        </is>
      </c>
      <c r="F164" s="8" t="n">
        <v>4</v>
      </c>
      <c r="G164" s="8" t="n">
        <v>5</v>
      </c>
      <c r="H164" s="8" t="n">
        <v>1</v>
      </c>
      <c r="I164" s="8" t="n">
        <v>1</v>
      </c>
      <c r="J164" s="8" t="n">
        <v>0</v>
      </c>
      <c r="K164" s="8" t="n">
        <v>0</v>
      </c>
      <c r="L164" s="8" t="n">
        <v>0</v>
      </c>
      <c r="M164" s="8" t="n">
        <v>0</v>
      </c>
      <c r="N164" s="8" t="n">
        <v>0</v>
      </c>
      <c r="O164" s="8" t="n">
        <v>2</v>
      </c>
      <c r="P164" s="8" t="n">
        <v>0</v>
      </c>
      <c r="Q164" s="8" t="n">
        <v>0</v>
      </c>
      <c r="R164" s="8" t="inlineStr">
        <is>
          <t>B5 and B6 partial (plays 55–56); entry inferred — no 'Lineup changed' logged (Flag #6); PB B6 play #56 (C Wargo advances to 2nd — PB, not WP); replaced by R Whitney between plays 56 and 57 (undocumented, Flag #6); also bats PTXN lineup T1, T3, T4, T6; credited as CF T2 play #18 (Flag #11)</t>
        </is>
      </c>
    </row>
    <row r="165" ht="15.75" customHeight="1" s="35">
      <c r="A165" s="8" t="inlineStr">
        <is>
          <t>2026-03-23_PTXN_at_HNTN</t>
        </is>
      </c>
      <c r="B165" s="2" t="n">
        <v>46104</v>
      </c>
      <c r="C165" s="8" t="inlineStr">
        <is>
          <t>Huntingtown Varsity Hurricanes</t>
        </is>
      </c>
      <c r="D165" s="8" t="inlineStr">
        <is>
          <t>PTXN</t>
        </is>
      </c>
      <c r="E165" s="8" t="inlineStr">
        <is>
          <t>R Whitney</t>
        </is>
      </c>
      <c r="F165" s="8" t="n">
        <v>2</v>
      </c>
      <c r="G165" s="8" t="n">
        <v>4</v>
      </c>
      <c r="H165" s="8" t="n">
        <v>2</v>
      </c>
      <c r="I165" s="8" t="n">
        <v>2</v>
      </c>
      <c r="J165" s="8" t="n">
        <v>0</v>
      </c>
      <c r="K165" s="8" t="n">
        <v>0</v>
      </c>
      <c r="L165" s="8" t="n">
        <v>0</v>
      </c>
      <c r="M165" s="8" t="n">
        <v>0</v>
      </c>
      <c r="N165" s="8" t="n">
        <v>0</v>
      </c>
      <c r="O165" s="8" t="n">
        <v>1</v>
      </c>
      <c r="P165" s="8" t="n">
        <v>1</v>
      </c>
      <c r="Q165" s="8" t="n">
        <v>0</v>
      </c>
      <c r="R165" s="8" t="inlineStr">
        <is>
          <t>B6 partial only (plays 57–60); entry inferred — no 'Lineup changed' logged (Flag #6); walk-off single by R Bolger play #58 allows C Wargo to score (Flag #13); also bats PTXN lineup T4, T5, T7</t>
        </is>
      </c>
    </row>
    <row r="166" ht="15.75" customHeight="1" s="35">
      <c r="A166" s="8" t="inlineStr">
        <is>
          <t>2026-03-25_MCDN_at_HNTN</t>
        </is>
      </c>
      <c r="B166" s="2" t="n">
        <v>46106</v>
      </c>
      <c r="C166" s="8" t="inlineStr">
        <is>
          <t>McDonough</t>
        </is>
      </c>
      <c r="D166" s="8" t="inlineStr">
        <is>
          <t>HNTN</t>
        </is>
      </c>
      <c r="E166" s="8" t="inlineStr">
        <is>
          <t>T Burghard</t>
        </is>
      </c>
      <c r="F166" s="8" t="n">
        <v>4</v>
      </c>
      <c r="G166" s="8" t="n">
        <v>12</v>
      </c>
      <c r="H166" s="8" t="n">
        <v>3</v>
      </c>
      <c r="I166" s="8" t="n">
        <v>3</v>
      </c>
      <c r="J166" s="8" t="n">
        <v>0</v>
      </c>
      <c r="K166" s="8" t="n">
        <v>0</v>
      </c>
      <c r="L166" s="8" t="n">
        <v>0</v>
      </c>
      <c r="M166" s="8" t="n">
        <v>3</v>
      </c>
      <c r="N166" s="8" t="n">
        <v>2</v>
      </c>
      <c r="O166" s="8" t="n">
        <v>0</v>
      </c>
      <c r="P166" s="8" t="n">
        <v>3</v>
      </c>
      <c r="Q166" s="8" t="n">
        <v>1</v>
      </c>
      <c r="R166" s="8" t="inlineStr">
        <is>
          <t>T1 and T2 partial (exits before #5 AB play #21, non-standard notation Flag #5); WP T2 play #17 (#3 scores, #18 advances to 3rd); T2 allows 3 R on 2 H, 3 BB, 2 HBP before L Bennett enters</t>
        </is>
      </c>
    </row>
    <row r="167" ht="15.75" customHeight="1" s="35">
      <c r="A167" s="8" t="inlineStr">
        <is>
          <t>2026-03-25_MCDN_at_HNTN</t>
        </is>
      </c>
      <c r="B167" s="2" t="n">
        <v>46106</v>
      </c>
      <c r="C167" s="8" t="inlineStr">
        <is>
          <t>McDonough</t>
        </is>
      </c>
      <c r="D167" s="8" t="inlineStr">
        <is>
          <t>HNTN</t>
        </is>
      </c>
      <c r="E167" s="8" t="inlineStr">
        <is>
          <t>L Bennett</t>
        </is>
      </c>
      <c r="F167" s="8" t="n">
        <v>8</v>
      </c>
      <c r="G167" s="8" t="n">
        <v>9</v>
      </c>
      <c r="H167" s="8" t="n">
        <v>0</v>
      </c>
      <c r="I167" s="8" t="n">
        <v>0</v>
      </c>
      <c r="J167" s="8" t="n">
        <v>0</v>
      </c>
      <c r="K167" s="8" t="n">
        <v>0</v>
      </c>
      <c r="L167" s="8" t="n">
        <v>0</v>
      </c>
      <c r="M167" s="8" t="n">
        <v>1</v>
      </c>
      <c r="N167" s="8" t="n">
        <v>0</v>
      </c>
      <c r="O167" s="8" t="n">
        <v>3</v>
      </c>
      <c r="P167" s="8" t="n">
        <v>0</v>
      </c>
      <c r="Q167" s="8" t="n">
        <v>0</v>
      </c>
      <c r="R167" s="8" t="inlineStr">
        <is>
          <t>T2 partial (enters at start of #5 AB play #21, Flag #5) through T4; 3 Ks across T2–T4; 0 runs allowed</t>
        </is>
      </c>
    </row>
    <row r="168" ht="15.75" customHeight="1" s="35">
      <c r="A168" s="8" t="inlineStr">
        <is>
          <t>2026-03-25_MCDN_at_HNTN</t>
        </is>
      </c>
      <c r="B168" s="2" t="n">
        <v>46106</v>
      </c>
      <c r="C168" s="8" t="inlineStr">
        <is>
          <t>McDonough</t>
        </is>
      </c>
      <c r="D168" s="8" t="inlineStr">
        <is>
          <t>HNTN</t>
        </is>
      </c>
      <c r="E168" s="8" t="inlineStr">
        <is>
          <t>J Laur</t>
        </is>
      </c>
      <c r="F168" s="8" t="n">
        <v>3</v>
      </c>
      <c r="G168" s="8" t="n">
        <v>6</v>
      </c>
      <c r="H168" s="8" t="n">
        <v>0</v>
      </c>
      <c r="I168" s="8" t="n">
        <v>0</v>
      </c>
      <c r="J168" s="8" t="n">
        <v>0</v>
      </c>
      <c r="K168" s="8" t="n">
        <v>0</v>
      </c>
      <c r="L168" s="8" t="n">
        <v>0</v>
      </c>
      <c r="M168" s="8" t="n">
        <v>3</v>
      </c>
      <c r="N168" s="8" t="n">
        <v>0</v>
      </c>
      <c r="O168" s="8" t="n">
        <v>2</v>
      </c>
      <c r="P168" s="8" t="n">
        <v>0</v>
      </c>
      <c r="Q168" s="8" t="n">
        <v>0</v>
      </c>
      <c r="R168" s="8" t="inlineStr">
        <is>
          <t>T5 and T6 partial (plays 62–63); entry inferred — no 'Lineup changed' logged (Flag #7); dropped 3rd strike T5 play #52 (#5 out at 1B — K credited, out recorded); 3 walks issued before N McMurray enters at start of #20 AB T6 play #64; also bats HNTN lineup B1–B6</t>
        </is>
      </c>
    </row>
    <row r="169" ht="15.75" customHeight="1" s="35">
      <c r="A169" s="8" t="inlineStr">
        <is>
          <t>2026-03-25_MCDN_at_HNTN</t>
        </is>
      </c>
      <c r="B169" s="2" t="n">
        <v>46106</v>
      </c>
      <c r="C169" s="8" t="inlineStr">
        <is>
          <t>McDonough</t>
        </is>
      </c>
      <c r="D169" s="8" t="inlineStr">
        <is>
          <t>HNTN</t>
        </is>
      </c>
      <c r="E169" s="8" t="inlineStr">
        <is>
          <t>N McMurray</t>
        </is>
      </c>
      <c r="F169" s="8" t="n">
        <v>6</v>
      </c>
      <c r="G169" s="8" t="n">
        <v>7</v>
      </c>
      <c r="H169" s="8" t="n">
        <v>0</v>
      </c>
      <c r="I169" s="8" t="n">
        <v>0</v>
      </c>
      <c r="J169" s="8" t="n">
        <v>0</v>
      </c>
      <c r="K169" s="8" t="n">
        <v>0</v>
      </c>
      <c r="L169" s="8" t="n">
        <v>0</v>
      </c>
      <c r="M169" s="8" t="n">
        <v>1</v>
      </c>
      <c r="N169" s="8" t="n">
        <v>0</v>
      </c>
      <c r="O169" s="8" t="n">
        <v>2</v>
      </c>
      <c r="P169" s="8" t="n">
        <v>1</v>
      </c>
      <c r="Q169" s="8" t="n">
        <v>0</v>
      </c>
      <c r="R169" s="8" t="inlineStr">
        <is>
          <t>T6 partial (enters start of #20 AB play #64) through T7; CR MCDN_#14 (for #10) scores T6 on #16 GO play #65 (R_Allowed=1); also bats HNTN lineup B1–B6</t>
        </is>
      </c>
    </row>
    <row r="170" ht="15.75" customHeight="1" s="35">
      <c r="A170" s="8" t="inlineStr">
        <is>
          <t>2026-03-25_MCDN_at_HNTN</t>
        </is>
      </c>
      <c r="B170" s="2" t="n">
        <v>46106</v>
      </c>
      <c r="C170" s="8" t="inlineStr">
        <is>
          <t>Huntingtown Varsity Hurricanes</t>
        </is>
      </c>
      <c r="D170" s="8" t="inlineStr">
        <is>
          <t>MCDN</t>
        </is>
      </c>
      <c r="E170" s="8" t="inlineStr">
        <is>
          <t>MCDN_#20</t>
        </is>
      </c>
      <c r="F170" s="8" t="n">
        <v>6</v>
      </c>
      <c r="G170" s="8" t="n">
        <v>14</v>
      </c>
      <c r="H170" s="8" t="n">
        <v>5</v>
      </c>
      <c r="I170" s="8" t="n">
        <v>1</v>
      </c>
      <c r="J170" s="8" t="n">
        <v>4</v>
      </c>
      <c r="K170" s="8" t="n">
        <v>0</v>
      </c>
      <c r="L170" s="8" t="n">
        <v>0</v>
      </c>
      <c r="M170" s="8" t="n">
        <v>4</v>
      </c>
      <c r="N170" s="8" t="n">
        <v>0</v>
      </c>
      <c r="O170" s="8" t="n">
        <v>2</v>
      </c>
      <c r="P170" s="8" t="n">
        <v>2</v>
      </c>
      <c r="Q170" s="8" t="n">
        <v>0</v>
      </c>
      <c r="R170" s="8" t="inlineStr">
        <is>
          <t>B1–B2; entry logged play #6; PB B1 play #8 (N McMurray advances to 3rd — PB, not WP); also bats MCDN lineup T1, T2, T4, T6</t>
        </is>
      </c>
    </row>
    <row r="171" ht="15.75" customHeight="1" s="35">
      <c r="A171" s="8" t="inlineStr">
        <is>
          <t>2026-03-25_MCDN_at_HNTN</t>
        </is>
      </c>
      <c r="B171" s="2" t="n">
        <v>46106</v>
      </c>
      <c r="C171" s="8" t="inlineStr">
        <is>
          <t>Huntingtown Varsity Hurricanes</t>
        </is>
      </c>
      <c r="D171" s="8" t="inlineStr">
        <is>
          <t>MCDN</t>
        </is>
      </c>
      <c r="E171" s="8" t="inlineStr">
        <is>
          <t>MCDN_#18</t>
        </is>
      </c>
      <c r="F171" s="8" t="n">
        <v>3</v>
      </c>
      <c r="G171" s="8" t="n">
        <v>9</v>
      </c>
      <c r="H171" s="8" t="n">
        <v>2</v>
      </c>
      <c r="I171" s="8" t="n">
        <v>2</v>
      </c>
      <c r="J171" s="8" t="n">
        <v>0</v>
      </c>
      <c r="K171" s="8" t="n">
        <v>0</v>
      </c>
      <c r="L171" s="8" t="n">
        <v>0</v>
      </c>
      <c r="M171" s="8" t="n">
        <v>3</v>
      </c>
      <c r="N171" s="8" t="n">
        <v>0</v>
      </c>
      <c r="O171" s="8" t="n">
        <v>1</v>
      </c>
      <c r="P171" s="8" t="n">
        <v>3</v>
      </c>
      <c r="Q171" s="8" t="n">
        <v>1</v>
      </c>
      <c r="R171" s="8" t="inlineStr">
        <is>
          <t>B3 only; entry non-standard notation play #32 (Flag #5); WP play #36 (B Marlowe to 3rd, C Wargo to 2nd — both on same pitch); also bats MCDN T2, T3, T5 and replaced by MCDN_#4 PH in T7</t>
        </is>
      </c>
    </row>
    <row r="172" ht="15.75" customHeight="1" s="35">
      <c r="A172" s="8" t="inlineStr">
        <is>
          <t>2026-03-25_MCDN_at_HNTN</t>
        </is>
      </c>
      <c r="B172" s="2" t="n">
        <v>46106</v>
      </c>
      <c r="C172" s="8" t="inlineStr">
        <is>
          <t>Huntingtown Varsity Hurricanes</t>
        </is>
      </c>
      <c r="D172" s="8" t="inlineStr">
        <is>
          <t>MCDN</t>
        </is>
      </c>
      <c r="E172" s="8" t="inlineStr">
        <is>
          <t>MCDN_#21</t>
        </is>
      </c>
      <c r="F172" s="8" t="n">
        <v>9</v>
      </c>
      <c r="G172" s="8" t="n">
        <v>18</v>
      </c>
      <c r="H172" s="8" t="n">
        <v>3</v>
      </c>
      <c r="I172" s="8" t="n">
        <v>3</v>
      </c>
      <c r="J172" s="8" t="n">
        <v>0</v>
      </c>
      <c r="K172" s="8" t="n">
        <v>0</v>
      </c>
      <c r="L172" s="8" t="n">
        <v>0</v>
      </c>
      <c r="M172" s="8" t="n">
        <v>4</v>
      </c>
      <c r="N172" s="8" t="n">
        <v>0</v>
      </c>
      <c r="O172" s="8" t="n">
        <v>4</v>
      </c>
      <c r="P172" s="8" t="n">
        <v>1</v>
      </c>
      <c r="Q172" s="8" t="n">
        <v>0</v>
      </c>
      <c r="R172" s="8" t="inlineStr">
        <is>
          <t>B4–B6; entry inferred — no 'Lineup changed' logged (Flags #6, #8); also bats MCDN T1 and T2</t>
        </is>
      </c>
    </row>
    <row r="173" ht="15.75" customHeight="1" s="35">
      <c r="A173" s="8" t="inlineStr">
        <is>
          <t>2026-03-30_CHPT_at_HNTN</t>
        </is>
      </c>
      <c r="B173" s="2" t="n">
        <v>46111</v>
      </c>
      <c r="C173" s="8" t="inlineStr">
        <is>
          <t>Chopticon</t>
        </is>
      </c>
      <c r="D173" s="8" t="inlineStr">
        <is>
          <t>HNTN</t>
        </is>
      </c>
      <c r="E173" s="8" t="inlineStr">
        <is>
          <t>N McMurray</t>
        </is>
      </c>
      <c r="F173" s="8" t="n">
        <v>12</v>
      </c>
      <c r="G173" s="8" t="n">
        <v>18</v>
      </c>
      <c r="H173" s="8" t="n">
        <v>4</v>
      </c>
      <c r="I173" s="8" t="n">
        <v>2</v>
      </c>
      <c r="J173" s="8" t="n">
        <v>1</v>
      </c>
      <c r="K173" s="8" t="n">
        <v>0</v>
      </c>
      <c r="L173" s="8" t="n">
        <v>1</v>
      </c>
      <c r="M173" s="8" t="n">
        <v>3</v>
      </c>
      <c r="N173" s="8" t="n">
        <v>0</v>
      </c>
      <c r="O173" s="8" t="n">
        <v>5</v>
      </c>
      <c r="P173" s="8" t="n">
        <v>2</v>
      </c>
      <c r="Q173" s="8" t="n">
        <v>0</v>
      </c>
      <c r="R173" s="8" t="inlineStr">
        <is>
          <t>T1–T4; entry logged play #1; Runner Out play #15 (CR #7 picked off — 1 out counted); #3 solo HR T3 play #21; CR #13 (for #9) forced home T4 on #1 bases-loaded walk play #34 included in R_Allowed; also bats HNTN lineup B1–B6</t>
        </is>
      </c>
    </row>
    <row r="174" ht="15.75" customHeight="1" s="35">
      <c r="A174" s="8" t="inlineStr">
        <is>
          <t>2026-03-30_CHPT_at_HNTN</t>
        </is>
      </c>
      <c r="B174" s="2" t="n">
        <v>46111</v>
      </c>
      <c r="C174" s="8" t="inlineStr">
        <is>
          <t>Chopticon</t>
        </is>
      </c>
      <c r="D174" s="8" t="inlineStr">
        <is>
          <t>HNTN</t>
        </is>
      </c>
      <c r="E174" s="8" t="inlineStr">
        <is>
          <t>R Kessler</t>
        </is>
      </c>
      <c r="F174" s="8" t="n">
        <v>6</v>
      </c>
      <c r="G174" s="8" t="n">
        <v>8</v>
      </c>
      <c r="H174" s="8" t="n">
        <v>2</v>
      </c>
      <c r="I174" s="8" t="n">
        <v>1</v>
      </c>
      <c r="J174" s="8" t="n">
        <v>1</v>
      </c>
      <c r="K174" s="8" t="n">
        <v>0</v>
      </c>
      <c r="L174" s="8" t="n">
        <v>0</v>
      </c>
      <c r="M174" s="8" t="n">
        <v>1</v>
      </c>
      <c r="N174" s="8" t="n">
        <v>0</v>
      </c>
      <c r="O174" s="8" t="n">
        <v>2</v>
      </c>
      <c r="P174" s="8" t="n">
        <v>0</v>
      </c>
      <c r="Q174" s="8" t="n">
        <v>0</v>
      </c>
      <c r="R174" s="8" t="inlineStr">
        <is>
          <t>T5–T6; entry logged play #45; DP T5 play #47 (2 outs); dropped 3rd K T6 play #56 (#1 out at 1B — K credited, out recorded); also CR for N McMurray B1 play #9 (Flag #12)</t>
        </is>
      </c>
    </row>
    <row r="175" ht="15.75" customHeight="1" s="35">
      <c r="A175" s="8" t="inlineStr">
        <is>
          <t>2026-03-30_CHPT_at_HNTN</t>
        </is>
      </c>
      <c r="B175" s="2" t="n">
        <v>46111</v>
      </c>
      <c r="C175" s="8" t="inlineStr">
        <is>
          <t>Huntingtown Varsity Hurricanes</t>
        </is>
      </c>
      <c r="D175" s="8" t="inlineStr">
        <is>
          <t>CHPT</t>
        </is>
      </c>
      <c r="E175" s="8" t="inlineStr">
        <is>
          <t>CHPT_#11</t>
        </is>
      </c>
      <c r="F175" s="8" t="n">
        <v>10</v>
      </c>
      <c r="G175" s="8" t="n">
        <v>20</v>
      </c>
      <c r="H175" s="8" t="n">
        <v>7</v>
      </c>
      <c r="I175" s="8" t="n">
        <v>5</v>
      </c>
      <c r="J175" s="8" t="n">
        <v>1</v>
      </c>
      <c r="K175" s="8" t="n">
        <v>0</v>
      </c>
      <c r="L175" s="8" t="n">
        <v>1</v>
      </c>
      <c r="M175" s="8" t="n">
        <v>0</v>
      </c>
      <c r="N175" s="8" t="n">
        <v>2</v>
      </c>
      <c r="O175" s="8" t="n">
        <v>1</v>
      </c>
      <c r="P175" s="8" t="n">
        <v>5</v>
      </c>
      <c r="Q175" s="8" t="n">
        <v>0</v>
      </c>
      <c r="R175" s="8" t="inlineStr">
        <is>
          <t>B1–B3 and B4 partial (exits before J Cadden AB play #40); 2 HBPs (R Gaetano B1 play #9; G Grimes B4 play #37); N McMurray 2-run HR B3 play #25 in R_Allowed; B Marlowe and G Grimes score on J Hann single B4 play #39 in R_Allowed; also bats CHPT T2, T4; CR CHPT_#7 in T2 for #11 (picked off play #15)</t>
        </is>
      </c>
    </row>
    <row r="176" ht="15.75" customHeight="1" s="35">
      <c r="A176" s="8" t="inlineStr">
        <is>
          <t>2026-03-30_CHPT_at_HNTN</t>
        </is>
      </c>
      <c r="B176" s="2" t="n">
        <v>46111</v>
      </c>
      <c r="C176" s="8" t="inlineStr">
        <is>
          <t>Huntingtown Varsity Hurricanes</t>
        </is>
      </c>
      <c r="D176" s="8" t="inlineStr">
        <is>
          <t>CHPT</t>
        </is>
      </c>
      <c r="E176" s="8" t="inlineStr">
        <is>
          <t>CHPT_#15</t>
        </is>
      </c>
      <c r="F176" s="8" t="n">
        <v>6</v>
      </c>
      <c r="G176" s="8" t="n">
        <v>12</v>
      </c>
      <c r="H176" s="8" t="n">
        <v>6</v>
      </c>
      <c r="I176" s="8" t="n">
        <v>2</v>
      </c>
      <c r="J176" s="8" t="n">
        <v>2</v>
      </c>
      <c r="K176" s="8" t="n">
        <v>0</v>
      </c>
      <c r="L176" s="8" t="n">
        <v>2</v>
      </c>
      <c r="M176" s="8" t="n">
        <v>0</v>
      </c>
      <c r="N176" s="8" t="n">
        <v>0</v>
      </c>
      <c r="O176" s="8" t="n">
        <v>0</v>
      </c>
      <c r="P176" s="8" t="n">
        <v>5</v>
      </c>
      <c r="Q176" s="8" t="n">
        <v>0</v>
      </c>
      <c r="R176" s="8" t="inlineStr">
        <is>
          <t>B4 partial (enters start of J Cadden AB play #40) through B5 and B6 partial (exits before J Laur AB play #60); N McMurray 3-run HR B4 play #41 in R_Allowed; N McMurray 2-run HR B6 play #58 in R_Allowed; also bats CHPT T6 play #55 (Flag #14)</t>
        </is>
      </c>
    </row>
    <row r="177" ht="15.75" customHeight="1" s="35">
      <c r="A177" s="8" t="inlineStr">
        <is>
          <t>2026-03-30_CHPT_at_HNTN</t>
        </is>
      </c>
      <c r="B177" s="2" t="n">
        <v>46111</v>
      </c>
      <c r="C177" s="8" t="inlineStr">
        <is>
          <t>Huntingtown Varsity Hurricanes</t>
        </is>
      </c>
      <c r="D177" s="8" t="inlineStr">
        <is>
          <t>CHPT</t>
        </is>
      </c>
      <c r="E177" s="8" t="inlineStr">
        <is>
          <t>CHPT_#13</t>
        </is>
      </c>
      <c r="F177" s="8" t="n">
        <v>1</v>
      </c>
      <c r="G177" s="8" t="n">
        <v>5</v>
      </c>
      <c r="H177" s="8" t="n">
        <v>1</v>
      </c>
      <c r="I177" s="8" t="n">
        <v>1</v>
      </c>
      <c r="J177" s="8" t="n">
        <v>0</v>
      </c>
      <c r="K177" s="8" t="n">
        <v>0</v>
      </c>
      <c r="L177" s="8" t="n">
        <v>0</v>
      </c>
      <c r="M177" s="8" t="n">
        <v>1</v>
      </c>
      <c r="N177" s="8" t="n">
        <v>2</v>
      </c>
      <c r="O177" s="8" t="n">
        <v>0</v>
      </c>
      <c r="P177" s="8" t="n">
        <v>2</v>
      </c>
      <c r="Q177" s="8" t="n">
        <v>1</v>
      </c>
      <c r="R177" s="8" t="inlineStr">
        <is>
          <t>B6 only (plays #60–#64); entry logged play #60; WP play #61 (J Laur advances to 2nd); 2 HBPs (J Laur play #60; T Burghard play #63); J Laur scores on embedded SS #6 error play #63 included in R_Allowed; J Walter scores on R Bolger single play #64 included in R_Allowed; J Hann incomplete AB play #65 (game ends, not a PA); also CHPT CR for #9 in T4 and T6 (Flag #13)</t>
        </is>
      </c>
    </row>
    <row r="178" ht="15.75" customHeight="1" s="35">
      <c r="A178" s="8" t="inlineStr">
        <is>
          <t>2026-04-01_RVRH_at_NRTH</t>
        </is>
      </c>
      <c r="B178" s="2" t="n">
        <v>46113</v>
      </c>
      <c r="C178" s="8" t="inlineStr">
        <is>
          <t>North Point Varsity Eagles</t>
        </is>
      </c>
      <c r="D178" s="8" t="inlineStr">
        <is>
          <t>NRTH</t>
        </is>
      </c>
      <c r="E178" s="8" t="inlineStr">
        <is>
          <t>A Espejo</t>
        </is>
      </c>
      <c r="F178" s="8" t="n">
        <v>21</v>
      </c>
      <c r="G178" s="8" t="n">
        <v>32</v>
      </c>
      <c r="H178" s="8" t="n">
        <v>9</v>
      </c>
      <c r="I178" s="8" t="n">
        <v>8</v>
      </c>
      <c r="J178" s="8" t="n">
        <v>1</v>
      </c>
      <c r="K178" s="8" t="n">
        <v>0</v>
      </c>
      <c r="L178" s="8" t="n">
        <v>0</v>
      </c>
      <c r="M178" s="8" t="n">
        <v>2</v>
      </c>
      <c r="N178" s="8" t="n">
        <v>2</v>
      </c>
      <c r="O178" s="8" t="n">
        <v>4</v>
      </c>
      <c r="P178" s="8" t="n">
        <v>6</v>
      </c>
      <c r="Q178" s="8" t="n">
        <v>0</v>
      </c>
      <c r="R178" s="8" t="inlineStr">
        <is>
          <t>T1-T7 (all 7 innings); entry documented (Lineup changed note, play #1 Notes); also bats as NRTH player</t>
        </is>
      </c>
    </row>
    <row r="179" ht="15.75" customHeight="1" s="35">
      <c r="A179" s="8" t="inlineStr">
        <is>
          <t>2026-04-01_RVRH_at_NRTH</t>
        </is>
      </c>
      <c r="B179" s="2" t="n">
        <v>46113</v>
      </c>
      <c r="C179" s="8" t="inlineStr">
        <is>
          <t>North Point Varsity Eagles</t>
        </is>
      </c>
      <c r="D179" s="8" t="inlineStr">
        <is>
          <t>RVRH</t>
        </is>
      </c>
      <c r="E179" s="8" t="inlineStr">
        <is>
          <t>R Walsh</t>
        </is>
      </c>
      <c r="F179" s="8" t="n">
        <v>9</v>
      </c>
      <c r="G179" s="8" t="n">
        <v>13</v>
      </c>
      <c r="H179" s="8" t="n">
        <v>0</v>
      </c>
      <c r="I179" s="8" t="n">
        <v>0</v>
      </c>
      <c r="J179" s="8" t="n">
        <v>0</v>
      </c>
      <c r="K179" s="8" t="n">
        <v>0</v>
      </c>
      <c r="L179" s="8" t="n">
        <v>0</v>
      </c>
      <c r="M179" s="8" t="n">
        <v>3</v>
      </c>
      <c r="N179" s="8" t="n">
        <v>1</v>
      </c>
      <c r="O179" s="8" t="n">
        <v>3</v>
      </c>
      <c r="P179" s="8" t="n">
        <v>1</v>
      </c>
      <c r="Q179" s="8" t="n">
        <v>0</v>
      </c>
      <c r="R179" s="8" t="inlineStr">
        <is>
          <t>B1-B3; entry not documented — see Flag #1; exit inferred from E McCoy pitching B4; also bats as RVRH player</t>
        </is>
      </c>
    </row>
    <row r="180" ht="15.75" customHeight="1" s="35">
      <c r="A180" s="8" t="inlineStr">
        <is>
          <t>2026-04-01_RVRH_at_NRTH</t>
        </is>
      </c>
      <c r="B180" s="2" t="n">
        <v>46113</v>
      </c>
      <c r="C180" s="8" t="inlineStr">
        <is>
          <t>North Point Varsity Eagles</t>
        </is>
      </c>
      <c r="D180" s="8" t="inlineStr">
        <is>
          <t>RVRH</t>
        </is>
      </c>
      <c r="E180" s="8" t="inlineStr">
        <is>
          <t>E McCoy</t>
        </is>
      </c>
      <c r="F180" s="8" t="n">
        <v>9</v>
      </c>
      <c r="G180" s="8" t="n">
        <v>13</v>
      </c>
      <c r="H180" s="8" t="n">
        <v>2</v>
      </c>
      <c r="I180" s="8" t="n">
        <v>2</v>
      </c>
      <c r="J180" s="8" t="n">
        <v>0</v>
      </c>
      <c r="K180" s="8" t="n">
        <v>0</v>
      </c>
      <c r="L180" s="8" t="n">
        <v>0</v>
      </c>
      <c r="M180" s="8" t="n">
        <v>1</v>
      </c>
      <c r="N180" s="8" t="n">
        <v>0</v>
      </c>
      <c r="O180" s="8" t="n">
        <v>2</v>
      </c>
      <c r="P180" s="8" t="n">
        <v>1</v>
      </c>
      <c r="Q180" s="8" t="n">
        <v>1</v>
      </c>
      <c r="R180" s="8" t="inlineStr">
        <is>
          <t>B4-B6; entry not documented — see Flag #2; exit documented (E Skolkin in play #62); WP B6 during Pettro AB (embedded play #56)</t>
        </is>
      </c>
    </row>
    <row r="181" ht="15.75" customHeight="1" s="35">
      <c r="A181" s="8" t="inlineStr">
        <is>
          <t>2026-04-01_RVRH_at_NRTH</t>
        </is>
      </c>
      <c r="B181" s="2" t="n">
        <v>46113</v>
      </c>
      <c r="C181" s="8" t="inlineStr">
        <is>
          <t>North Point Varsity Eagles</t>
        </is>
      </c>
      <c r="D181" s="8" t="inlineStr">
        <is>
          <t>RVRH</t>
        </is>
      </c>
      <c r="E181" s="8" t="inlineStr">
        <is>
          <t>E Skolkin</t>
        </is>
      </c>
      <c r="F181" s="8" t="n">
        <v>3</v>
      </c>
      <c r="G181" s="8" t="n">
        <v>6</v>
      </c>
      <c r="H181" s="8" t="n">
        <v>1</v>
      </c>
      <c r="I181" s="8" t="n">
        <v>0</v>
      </c>
      <c r="J181" s="8" t="n">
        <v>0</v>
      </c>
      <c r="K181" s="8" t="n">
        <v>1</v>
      </c>
      <c r="L181" s="8" t="n">
        <v>0</v>
      </c>
      <c r="M181" s="8" t="n">
        <v>2</v>
      </c>
      <c r="N181" s="8" t="n">
        <v>0</v>
      </c>
      <c r="O181" s="8" t="n">
        <v>1</v>
      </c>
      <c r="P181" s="8" t="n">
        <v>2</v>
      </c>
      <c r="Q181" s="8" t="n">
        <v>0</v>
      </c>
      <c r="R181" s="8" t="inlineStr">
        <is>
          <t>B7; entry documented ('Lineup changed: E Skolkin in at pitcher', play #62 Notes)</t>
        </is>
      </c>
    </row>
    <row r="182" ht="15.75" customHeight="1" s="35">
      <c r="A182" s="8" t="inlineStr">
        <is>
          <t>2026-04-01_OLDM_at_RVRH</t>
        </is>
      </c>
      <c r="B182" s="2" t="n">
        <v>46113</v>
      </c>
      <c r="C182" s="8" t="inlineStr">
        <is>
          <t>Old Mill Varsity Patriots</t>
        </is>
      </c>
      <c r="D182" s="8" t="inlineStr">
        <is>
          <t>RVRH</t>
        </is>
      </c>
      <c r="E182" s="8" t="inlineStr">
        <is>
          <t>H Zhang</t>
        </is>
      </c>
      <c r="F182" s="8" t="n">
        <v>12</v>
      </c>
      <c r="G182" s="8" t="n">
        <v>18</v>
      </c>
      <c r="H182" s="8" t="n">
        <v>2</v>
      </c>
      <c r="I182" s="8" t="n">
        <v>2</v>
      </c>
      <c r="J182" s="8" t="n">
        <v>0</v>
      </c>
      <c r="K182" s="8" t="n">
        <v>0</v>
      </c>
      <c r="L182" s="8" t="n">
        <v>0</v>
      </c>
      <c r="M182" s="8" t="n">
        <v>5</v>
      </c>
      <c r="N182" s="8" t="n">
        <v>0</v>
      </c>
      <c r="O182" s="8" t="n">
        <v>3</v>
      </c>
      <c r="P182" s="8" t="n">
        <v>2</v>
      </c>
      <c r="Q182" s="8" t="n">
        <v>0</v>
      </c>
      <c r="R182" s="8" t="inlineStr">
        <is>
          <t>T1-T4 (12 outs); entry documented (play #1 note); exit when A Wu enters T5 (play #39 note); also bats as RVRH player</t>
        </is>
      </c>
    </row>
    <row r="183" ht="15.75" customHeight="1" s="35">
      <c r="A183" s="8" t="inlineStr">
        <is>
          <t>2026-04-01_OLDM_at_RVRH</t>
        </is>
      </c>
      <c r="B183" s="2" t="n">
        <v>46113</v>
      </c>
      <c r="C183" s="8" t="inlineStr">
        <is>
          <t>Old Mill Varsity Patriots</t>
        </is>
      </c>
      <c r="D183" s="8" t="inlineStr">
        <is>
          <t>RVRH</t>
        </is>
      </c>
      <c r="E183" s="8" t="inlineStr">
        <is>
          <t>A Wu</t>
        </is>
      </c>
      <c r="F183" s="8" t="n">
        <v>1</v>
      </c>
      <c r="G183" s="8" t="n">
        <v>4</v>
      </c>
      <c r="H183" s="8" t="n">
        <v>1</v>
      </c>
      <c r="I183" s="8" t="n">
        <v>1</v>
      </c>
      <c r="J183" s="8" t="n">
        <v>0</v>
      </c>
      <c r="K183" s="8" t="n">
        <v>0</v>
      </c>
      <c r="L183" s="8" t="n">
        <v>0</v>
      </c>
      <c r="M183" s="8" t="n">
        <v>2</v>
      </c>
      <c r="N183" s="8" t="n">
        <v>0</v>
      </c>
      <c r="O183" s="8" t="n">
        <v>0</v>
      </c>
      <c r="P183" s="8" t="n">
        <v>0</v>
      </c>
      <c r="Q183" s="8" t="n">
        <v>1</v>
      </c>
      <c r="R183" s="8" t="inlineStr">
        <is>
          <t>T5 plays #39-42; entry documented (play #39 note); exits mid-AB during K Poucher AB when C Reis enters (play #43 note); WP T5 during T Thompson Walk AB (embedded play #42)</t>
        </is>
      </c>
    </row>
    <row r="184" ht="15.75" customHeight="1" s="35">
      <c r="A184" s="8" t="inlineStr">
        <is>
          <t>2026-04-01_OLDM_at_RVRH</t>
        </is>
      </c>
      <c r="B184" s="2" t="n">
        <v>46113</v>
      </c>
      <c r="C184" s="8" t="inlineStr">
        <is>
          <t>Old Mill Varsity Patriots</t>
        </is>
      </c>
      <c r="D184" s="8" t="inlineStr">
        <is>
          <t>RVRH</t>
        </is>
      </c>
      <c r="E184" s="8" t="inlineStr">
        <is>
          <t>C Reis</t>
        </is>
      </c>
      <c r="F184" s="8" t="n">
        <v>5</v>
      </c>
      <c r="G184" s="8" t="n">
        <v>10</v>
      </c>
      <c r="H184" s="8" t="n">
        <v>3</v>
      </c>
      <c r="I184" s="8" t="n">
        <v>3</v>
      </c>
      <c r="J184" s="8" t="n">
        <v>0</v>
      </c>
      <c r="K184" s="8" t="n">
        <v>0</v>
      </c>
      <c r="L184" s="8" t="n">
        <v>0</v>
      </c>
      <c r="M184" s="8" t="n">
        <v>1</v>
      </c>
      <c r="N184" s="8" t="n">
        <v>0</v>
      </c>
      <c r="O184" s="8" t="n">
        <v>4</v>
      </c>
      <c r="P184" s="8" t="n">
        <v>3</v>
      </c>
      <c r="Q184" s="8" t="n">
        <v>0</v>
      </c>
      <c r="R184" s="8" t="inlineStr">
        <is>
          <t>T5 mid-AB (K Poucher AB, play #43 note) + T6 + K Poucher BB T7 (play #63); exit inferred when J Norwood appears (Flag #3); 4 K_S; PB T5 during M Dauer-McGarrett AB (embedded play #44) — not in schema; also bats as RVRH player</t>
        </is>
      </c>
    </row>
    <row r="185" ht="15.75" customHeight="1" s="35">
      <c r="A185" s="8" t="inlineStr">
        <is>
          <t>2026-04-01_OLDM_at_RVRH</t>
        </is>
      </c>
      <c r="B185" s="2" t="n">
        <v>46113</v>
      </c>
      <c r="C185" s="8" t="inlineStr">
        <is>
          <t>Old Mill Varsity Patriots</t>
        </is>
      </c>
      <c r="D185" s="8" t="inlineStr">
        <is>
          <t>RVRH</t>
        </is>
      </c>
      <c r="E185" s="8" t="inlineStr">
        <is>
          <t>J Norwood</t>
        </is>
      </c>
      <c r="F185" s="8" t="n">
        <v>1</v>
      </c>
      <c r="G185" s="8" t="n">
        <v>4</v>
      </c>
      <c r="H185" s="8" t="n">
        <v>0</v>
      </c>
      <c r="I185" s="8" t="n">
        <v>0</v>
      </c>
      <c r="J185" s="8" t="n">
        <v>0</v>
      </c>
      <c r="K185" s="8" t="n">
        <v>0</v>
      </c>
      <c r="L185" s="8" t="n">
        <v>0</v>
      </c>
      <c r="M185" s="8" t="n">
        <v>2</v>
      </c>
      <c r="N185" s="8" t="n">
        <v>2</v>
      </c>
      <c r="O185" s="8" t="n">
        <v>0</v>
      </c>
      <c r="P185" s="8" t="n">
        <v>1</v>
      </c>
      <c r="Q185" s="8" t="n">
        <v>0</v>
      </c>
      <c r="R185" s="8" t="inlineStr">
        <is>
          <t>T7 plays #64-67; entry inferred when J Norwood named pitching (Flag #3); exit when C Nichols inferred (Flag #4); CS out credited (K Poucher CS embedded in play #64); also bats as RVRH player</t>
        </is>
      </c>
    </row>
    <row r="186" ht="15.75" customHeight="1" s="35">
      <c r="A186" s="8" t="inlineStr">
        <is>
          <t>2026-04-01_OLDM_at_RVRH</t>
        </is>
      </c>
      <c r="B186" s="2" t="n">
        <v>46113</v>
      </c>
      <c r="C186" s="8" t="inlineStr">
        <is>
          <t>Old Mill Varsity Patriots</t>
        </is>
      </c>
      <c r="D186" s="8" t="inlineStr">
        <is>
          <t>RVRH</t>
        </is>
      </c>
      <c r="E186" s="8" t="inlineStr">
        <is>
          <t>C Nichols</t>
        </is>
      </c>
      <c r="F186" s="8" t="n">
        <v>2</v>
      </c>
      <c r="G186" s="8" t="n">
        <v>7</v>
      </c>
      <c r="H186" s="8" t="n">
        <v>4</v>
      </c>
      <c r="I186" s="8" t="n">
        <v>3</v>
      </c>
      <c r="J186" s="8" t="n">
        <v>1</v>
      </c>
      <c r="K186" s="8" t="n">
        <v>0</v>
      </c>
      <c r="L186" s="8" t="n">
        <v>0</v>
      </c>
      <c r="M186" s="8" t="n">
        <v>1</v>
      </c>
      <c r="N186" s="8" t="n">
        <v>0</v>
      </c>
      <c r="O186" s="8" t="n">
        <v>1</v>
      </c>
      <c r="P186" s="8" t="n">
        <v>7</v>
      </c>
      <c r="Q186" s="8" t="n">
        <v>0</v>
      </c>
      <c r="R186" s="8" t="inlineStr">
        <is>
          <t>T7 plays #68-74; entry inferred when T Martini walks (Flag #4); also bats as RVRH player</t>
        </is>
      </c>
    </row>
    <row r="187" ht="15.75" customHeight="1" s="35">
      <c r="A187" s="8" t="inlineStr">
        <is>
          <t>2026-04-01_OLDM_at_RVRH</t>
        </is>
      </c>
      <c r="B187" s="2" t="n">
        <v>46113</v>
      </c>
      <c r="C187" s="8" t="inlineStr">
        <is>
          <t>Old Mill Varsity Patriots</t>
        </is>
      </c>
      <c r="D187" s="8" t="inlineStr">
        <is>
          <t>OLDM</t>
        </is>
      </c>
      <c r="E187" s="8" t="inlineStr">
        <is>
          <t>T Martini</t>
        </is>
      </c>
      <c r="F187" s="8" t="n">
        <v>9</v>
      </c>
      <c r="G187" s="8" t="n">
        <v>14</v>
      </c>
      <c r="H187" s="8" t="n">
        <v>2</v>
      </c>
      <c r="I187" s="8" t="n">
        <v>2</v>
      </c>
      <c r="J187" s="8" t="n">
        <v>0</v>
      </c>
      <c r="K187" s="8" t="n">
        <v>0</v>
      </c>
      <c r="L187" s="8" t="n">
        <v>0</v>
      </c>
      <c r="M187" s="8" t="n">
        <v>2</v>
      </c>
      <c r="N187" s="8" t="n">
        <v>0</v>
      </c>
      <c r="O187" s="8" t="n">
        <v>2</v>
      </c>
      <c r="P187" s="8" t="n">
        <v>3</v>
      </c>
      <c r="Q187" s="8" t="n">
        <v>2</v>
      </c>
      <c r="R187" s="8" t="inlineStr">
        <is>
          <t>B1-B3; entry not documented — see Flag #1; exit when R Harting enters B4 (play #33 note); 2 WP (plays #14 and #24); also bats as OLDM player</t>
        </is>
      </c>
    </row>
    <row r="188" ht="15.75" customHeight="1" s="35">
      <c r="A188" s="8" t="inlineStr">
        <is>
          <t>2026-04-01_OLDM_at_RVRH</t>
        </is>
      </c>
      <c r="B188" s="2" t="n">
        <v>46113</v>
      </c>
      <c r="C188" s="8" t="inlineStr">
        <is>
          <t>Old Mill Varsity Patriots</t>
        </is>
      </c>
      <c r="D188" s="8" t="inlineStr">
        <is>
          <t>OLDM</t>
        </is>
      </c>
      <c r="E188" s="8" t="inlineStr">
        <is>
          <t>R Harting</t>
        </is>
      </c>
      <c r="F188" s="8" t="n">
        <v>6</v>
      </c>
      <c r="G188" s="8" t="n">
        <v>10</v>
      </c>
      <c r="H188" s="8" t="n">
        <v>3</v>
      </c>
      <c r="I188" s="8" t="n">
        <v>1</v>
      </c>
      <c r="J188" s="8" t="n">
        <v>1</v>
      </c>
      <c r="K188" s="8" t="n">
        <v>1</v>
      </c>
      <c r="L188" s="8" t="n">
        <v>0</v>
      </c>
      <c r="M188" s="8" t="n">
        <v>0</v>
      </c>
      <c r="N188" s="8" t="n">
        <v>1</v>
      </c>
      <c r="O188" s="8" t="n">
        <v>0</v>
      </c>
      <c r="P188" s="8" t="n">
        <v>3</v>
      </c>
      <c r="Q188" s="8" t="n">
        <v>0</v>
      </c>
      <c r="R188" s="8" t="inlineStr">
        <is>
          <t>B4-B5; entry documented (Lineup changed, play #33); exit inferred (Flag #2) when T Richmond appears B6</t>
        </is>
      </c>
    </row>
    <row r="189" ht="15.75" customHeight="1" s="35">
      <c r="A189" s="8" t="inlineStr">
        <is>
          <t>2026-04-01_OLDM_at_RVRH</t>
        </is>
      </c>
      <c r="B189" s="2" t="n">
        <v>46113</v>
      </c>
      <c r="C189" s="8" t="inlineStr">
        <is>
          <t>Old Mill Varsity Patriots</t>
        </is>
      </c>
      <c r="D189" s="8" t="inlineStr">
        <is>
          <t>OLDM</t>
        </is>
      </c>
      <c r="E189" s="8" t="inlineStr">
        <is>
          <t>T Richmond</t>
        </is>
      </c>
      <c r="F189" s="8" t="n">
        <v>3</v>
      </c>
      <c r="G189" s="8" t="n">
        <v>7</v>
      </c>
      <c r="H189" s="8" t="n">
        <v>1</v>
      </c>
      <c r="I189" s="8" t="n">
        <v>1</v>
      </c>
      <c r="J189" s="8" t="n">
        <v>0</v>
      </c>
      <c r="K189" s="8" t="n">
        <v>0</v>
      </c>
      <c r="L189" s="8" t="n">
        <v>0</v>
      </c>
      <c r="M189" s="8" t="n">
        <v>2</v>
      </c>
      <c r="N189" s="8" t="n">
        <v>1</v>
      </c>
      <c r="O189" s="8" t="n">
        <v>1</v>
      </c>
      <c r="P189" s="8" t="n">
        <v>1</v>
      </c>
      <c r="Q189" s="8" t="n">
        <v>0</v>
      </c>
      <c r="R189" s="8" t="inlineStr">
        <is>
          <t>B6; entry inferred (Flag #2); exit inferred (Flag #5); PB B6 during B Bixby Walk AB (embedded play #60) — not in schema; also bats as OLDM player</t>
        </is>
      </c>
    </row>
    <row r="190" ht="15.75" customHeight="1" s="35">
      <c r="A190" s="8" t="inlineStr">
        <is>
          <t>2026-04-01_OLDM_at_RVRH</t>
        </is>
      </c>
      <c r="B190" s="2" t="n">
        <v>46113</v>
      </c>
      <c r="C190" s="8" t="inlineStr">
        <is>
          <t>Old Mill Varsity Patriots</t>
        </is>
      </c>
      <c r="D190" s="8" t="inlineStr">
        <is>
          <t>OLDM</t>
        </is>
      </c>
      <c r="E190" s="8" t="inlineStr">
        <is>
          <t>C Koreck</t>
        </is>
      </c>
      <c r="F190" s="8" t="n">
        <v>2</v>
      </c>
      <c r="G190" s="8" t="n">
        <v>7</v>
      </c>
      <c r="H190" s="8" t="n">
        <v>4</v>
      </c>
      <c r="I190" s="8" t="n">
        <v>2</v>
      </c>
      <c r="J190" s="8" t="n">
        <v>1</v>
      </c>
      <c r="K190" s="8" t="n">
        <v>1</v>
      </c>
      <c r="L190" s="8" t="n">
        <v>0</v>
      </c>
      <c r="M190" s="8" t="n">
        <v>1</v>
      </c>
      <c r="N190" s="8" t="n">
        <v>0</v>
      </c>
      <c r="O190" s="8" t="n">
        <v>2</v>
      </c>
      <c r="P190" s="8" t="n">
        <v>3</v>
      </c>
      <c r="Q190" s="8" t="n">
        <v>1</v>
      </c>
      <c r="R190" s="8" t="inlineStr">
        <is>
          <t>B7 plays #75-81; entry inferred (Flag #5); exit when B Rzepkoski appears (Flag #6); WP B7 during B Bixby Strikeout AB (embedded play #81); also bats as OLDM player</t>
        </is>
      </c>
    </row>
    <row r="191" ht="15.75" customHeight="1" s="35">
      <c r="A191" s="8" t="inlineStr">
        <is>
          <t>2026-04-01_OLDM_at_RVRH</t>
        </is>
      </c>
      <c r="B191" s="2" t="n">
        <v>46113</v>
      </c>
      <c r="C191" s="8" t="inlineStr">
        <is>
          <t>Old Mill Varsity Patriots</t>
        </is>
      </c>
      <c r="D191" s="8" t="inlineStr">
        <is>
          <t>OLDM</t>
        </is>
      </c>
      <c r="E191" s="8" t="inlineStr">
        <is>
          <t>B Rzepkoski</t>
        </is>
      </c>
      <c r="F191" s="8" t="n">
        <v>1</v>
      </c>
      <c r="G191" s="8" t="n">
        <v>2</v>
      </c>
      <c r="H191" s="8" t="n">
        <v>0</v>
      </c>
      <c r="I191" s="8" t="n">
        <v>0</v>
      </c>
      <c r="J191" s="8" t="n">
        <v>0</v>
      </c>
      <c r="K191" s="8" t="n">
        <v>0</v>
      </c>
      <c r="L191" s="8" t="n">
        <v>0</v>
      </c>
      <c r="M191" s="8" t="n">
        <v>1</v>
      </c>
      <c r="N191" s="8" t="n">
        <v>0</v>
      </c>
      <c r="O191" s="8" t="n">
        <v>0</v>
      </c>
      <c r="P191" s="8" t="n">
        <v>0</v>
      </c>
      <c r="Q191" s="8" t="n">
        <v>0</v>
      </c>
      <c r="R191" s="8" t="inlineStr">
        <is>
          <t>B7 plays #82-83; entry inferred (Flag #6); also bats as OLDM player</t>
        </is>
      </c>
    </row>
    <row r="192" ht="15.75" customHeight="1" s="35">
      <c r="A192" s="8" t="inlineStr">
        <is>
          <t>2026-03-31_DMSC_at_HWRD</t>
        </is>
      </c>
      <c r="B192" s="2" t="n">
        <v>46112</v>
      </c>
      <c r="C192" s="8" t="inlineStr">
        <is>
          <t>Howard Varsity Lions</t>
        </is>
      </c>
      <c r="D192" s="8" t="inlineStr">
        <is>
          <t>DMSC</t>
        </is>
      </c>
      <c r="E192" s="8" t="inlineStr">
        <is>
          <t>Thomas Malouf</t>
        </is>
      </c>
      <c r="F192" s="8" t="n">
        <v>15</v>
      </c>
      <c r="G192" s="8" t="n">
        <v>17</v>
      </c>
      <c r="H192" s="8" t="n">
        <v>2</v>
      </c>
      <c r="M192" s="8" t="n">
        <v>0</v>
      </c>
      <c r="N192" s="8" t="n">
        <v>0</v>
      </c>
      <c r="O192" s="8" t="n">
        <v>3</v>
      </c>
      <c r="P192" s="8" t="n">
        <v>0</v>
      </c>
      <c r="Q192" s="8" t="n">
        <v>1</v>
      </c>
      <c r="R192" s="8" t="inlineStr">
        <is>
          <t>(W) designation; not written to column. Pitches-Strikes: 49-35. ER=0 = R_Allowed.</t>
        </is>
      </c>
    </row>
    <row r="193" ht="15.75" customHeight="1" s="35">
      <c r="A193" s="8" t="inlineStr">
        <is>
          <t>2026-03-31_DMSC_at_HWRD</t>
        </is>
      </c>
      <c r="B193" s="2" t="n">
        <v>46112</v>
      </c>
      <c r="C193" s="8" t="inlineStr">
        <is>
          <t>Howard Varsity Lions</t>
        </is>
      </c>
      <c r="D193" s="8" t="inlineStr">
        <is>
          <t>DMSC</t>
        </is>
      </c>
      <c r="E193" s="8" t="inlineStr">
        <is>
          <t>C Gardner</t>
        </is>
      </c>
      <c r="F193" s="8" t="n">
        <v>3</v>
      </c>
      <c r="G193" s="8" t="n">
        <v>4</v>
      </c>
      <c r="H193" s="8" t="n">
        <v>0</v>
      </c>
      <c r="M193" s="8" t="n">
        <v>1</v>
      </c>
      <c r="N193" s="8" t="n">
        <v>0</v>
      </c>
      <c r="O193" s="8" t="n">
        <v>0</v>
      </c>
      <c r="P193" s="8" t="n">
        <v>0</v>
      </c>
      <c r="Q193" s="8" t="n">
        <v>0</v>
      </c>
      <c r="R193" s="8" t="inlineStr">
        <is>
          <t>Name in source: Conor Gardner. Pitches-Strikes: 13-6. ER=0 = R_Allowed.</t>
        </is>
      </c>
    </row>
    <row r="194" ht="15.75" customHeight="1" s="35">
      <c r="A194" s="8" t="inlineStr">
        <is>
          <t>2026-03-31_DMSC_at_HWRD</t>
        </is>
      </c>
      <c r="B194" s="2" t="n">
        <v>46112</v>
      </c>
      <c r="C194" s="8" t="inlineStr">
        <is>
          <t>Damascus Varsity Hornets</t>
        </is>
      </c>
      <c r="D194" s="8" t="inlineStr">
        <is>
          <t>HWRD</t>
        </is>
      </c>
      <c r="E194" s="8" t="inlineStr">
        <is>
          <t>A Proescher</t>
        </is>
      </c>
      <c r="F194" s="8" t="n">
        <v>6</v>
      </c>
      <c r="G194" s="8" t="n">
        <v>10</v>
      </c>
      <c r="H194" s="8" t="n">
        <v>3</v>
      </c>
      <c r="M194" s="8" t="n">
        <v>0</v>
      </c>
      <c r="N194" s="8" t="n">
        <v>1</v>
      </c>
      <c r="O194" s="8" t="n">
        <v>4</v>
      </c>
      <c r="P194" s="8" t="n">
        <v>3</v>
      </c>
      <c r="Q194" s="8" t="n">
        <v>1</v>
      </c>
      <c r="R194" s="8" t="inlineStr">
        <is>
          <t>(L) designation; not written to column. Name in source: Austin Proescher. ER=2; R_Allowed=3 — 1 unearned run allowed.</t>
        </is>
      </c>
    </row>
    <row r="195" ht="15.75" customHeight="1" s="35">
      <c r="A195" s="8" t="inlineStr">
        <is>
          <t>2026-03-31_DMSC_at_HWRD</t>
        </is>
      </c>
      <c r="B195" s="2" t="n">
        <v>46112</v>
      </c>
      <c r="C195" s="8" t="inlineStr">
        <is>
          <t>Damascus Varsity Hornets</t>
        </is>
      </c>
      <c r="D195" s="8" t="inlineStr">
        <is>
          <t>HWRD</t>
        </is>
      </c>
      <c r="E195" s="8" t="inlineStr">
        <is>
          <t>Thomas Estrada</t>
        </is>
      </c>
      <c r="F195" s="8" t="n">
        <v>4</v>
      </c>
      <c r="G195" s="8" t="n">
        <v>8</v>
      </c>
      <c r="H195" s="8" t="n">
        <v>1</v>
      </c>
      <c r="M195" s="8" t="n">
        <v>3</v>
      </c>
      <c r="N195" s="8" t="n">
        <v>0</v>
      </c>
      <c r="O195" s="8" t="n">
        <v>3</v>
      </c>
      <c r="P195" s="8" t="n">
        <v>2</v>
      </c>
      <c r="Q195" s="8" t="n">
        <v>0</v>
      </c>
      <c r="R195" s="8" t="inlineStr">
        <is>
          <t>ER=2 = R_Allowed.</t>
        </is>
      </c>
    </row>
    <row r="196" ht="15.75" customHeight="1" s="35">
      <c r="A196" s="8" t="inlineStr">
        <is>
          <t>2026-03-31_DMSC_at_HWRD</t>
        </is>
      </c>
      <c r="B196" s="2" t="n">
        <v>46112</v>
      </c>
      <c r="C196" s="8" t="inlineStr">
        <is>
          <t>Damascus Varsity Hornets</t>
        </is>
      </c>
      <c r="D196" s="8" t="inlineStr">
        <is>
          <t>HWRD</t>
        </is>
      </c>
      <c r="E196" s="8" t="inlineStr">
        <is>
          <t>C Hudson</t>
        </is>
      </c>
      <c r="F196" s="8" t="n">
        <v>6</v>
      </c>
      <c r="G196" s="8" t="n">
        <v>14</v>
      </c>
      <c r="H196" s="8" t="n">
        <v>3</v>
      </c>
      <c r="M196" s="8" t="n">
        <v>4</v>
      </c>
      <c r="N196" s="8" t="n">
        <v>0</v>
      </c>
      <c r="O196" s="8" t="n">
        <v>2</v>
      </c>
      <c r="P196" s="8" t="n">
        <v>6</v>
      </c>
      <c r="Q196" s="8" t="n">
        <v>2</v>
      </c>
      <c r="R196" s="8" t="inlineStr">
        <is>
          <t>Name in source: Carter Hudson. ER=4 [AMBIGUOUS: team ER total of 8 consistent with ER=3; individual OCR read was 4]; R_Allowed=6 — unearned runs present.</t>
        </is>
      </c>
    </row>
    <row r="197" ht="15.75" customHeight="1" s="35">
      <c r="A197" s="8" t="inlineStr">
        <is>
          <t>2026-03-31_DMSC_at_HWRD</t>
        </is>
      </c>
      <c r="B197" s="2" t="n">
        <v>46112</v>
      </c>
      <c r="C197" s="8" t="inlineStr">
        <is>
          <t>Damascus Varsity Hornets</t>
        </is>
      </c>
      <c r="D197" s="8" t="inlineStr">
        <is>
          <t>HWRD</t>
        </is>
      </c>
      <c r="E197" s="8" t="inlineStr">
        <is>
          <t>Gibson Martin</t>
        </is>
      </c>
      <c r="F197" s="8" t="n">
        <v>2</v>
      </c>
      <c r="G197" s="8" t="n">
        <v>5</v>
      </c>
      <c r="H197" s="8" t="n">
        <v>3</v>
      </c>
      <c r="M197" s="8" t="n">
        <v>0</v>
      </c>
      <c r="N197" s="8" t="n">
        <v>0</v>
      </c>
      <c r="O197" s="8" t="n">
        <v>1</v>
      </c>
      <c r="P197" s="8" t="n">
        <v>1</v>
      </c>
      <c r="Q197" s="8" t="n">
        <v>0</v>
      </c>
      <c r="R197" s="8" t="inlineStr">
        <is>
          <t>ER=1 = R_Allowed.</t>
        </is>
      </c>
    </row>
    <row r="198" ht="15.75" customHeight="1" s="35">
      <c r="A198" s="8" t="inlineStr">
        <is>
          <t>2026-03-21_HWRD_at_HMMN</t>
        </is>
      </c>
      <c r="B198" s="2" t="n">
        <v>46102</v>
      </c>
      <c r="C198" s="8" t="inlineStr">
        <is>
          <t>Hammond Varsity Bears</t>
        </is>
      </c>
      <c r="D198" s="8" t="inlineStr">
        <is>
          <t>HWRD</t>
        </is>
      </c>
      <c r="E198" s="8" t="inlineStr">
        <is>
          <t>B Giangrasso</t>
        </is>
      </c>
      <c r="F198" s="8" t="n">
        <v>16</v>
      </c>
      <c r="G198" s="8" t="n">
        <v>19</v>
      </c>
      <c r="H198" s="8" t="n">
        <v>1</v>
      </c>
      <c r="M198" s="8" t="n">
        <v>0</v>
      </c>
      <c r="N198" s="8" t="n">
        <v>0</v>
      </c>
      <c r="O198" s="8" t="n">
        <v>8</v>
      </c>
      <c r="P198" s="8" t="n">
        <v>2</v>
      </c>
      <c r="Q198" s="8" t="n">
        <v>0</v>
      </c>
      <c r="R198" s="8" t="inlineStr">
        <is>
          <t>(W) designation; not written to column. Name in source: Brennan Giangrasso. ER=0; R_Allowed=2 — 2 unearned runs. Pitches-Strikes: 71-47.</t>
        </is>
      </c>
    </row>
    <row r="199" ht="15.75" customHeight="1" s="35">
      <c r="A199" s="8" t="inlineStr">
        <is>
          <t>2026-03-21_HWRD_at_HMMN</t>
        </is>
      </c>
      <c r="B199" s="2" t="n">
        <v>46102</v>
      </c>
      <c r="C199" s="8" t="inlineStr">
        <is>
          <t>Hammond Varsity Bears</t>
        </is>
      </c>
      <c r="D199" s="8" t="inlineStr">
        <is>
          <t>HWRD</t>
        </is>
      </c>
      <c r="E199" s="8" t="inlineStr">
        <is>
          <t>N Hegedus</t>
        </is>
      </c>
      <c r="F199" s="8" t="n">
        <v>5</v>
      </c>
      <c r="G199" s="8" t="n">
        <v>6</v>
      </c>
      <c r="H199" s="8" t="n">
        <v>1</v>
      </c>
      <c r="M199" s="8" t="n">
        <v>0</v>
      </c>
      <c r="N199" s="8" t="n">
        <v>0</v>
      </c>
      <c r="O199" s="8" t="n">
        <v>3</v>
      </c>
      <c r="P199" s="8" t="n">
        <v>0</v>
      </c>
      <c r="Q199" s="8" t="n">
        <v>0</v>
      </c>
      <c r="R199" s="8" t="inlineStr">
        <is>
          <t>Name in source: Nate Hegedus. ER=0 = R_Allowed. Pitches-Strikes: 26-16.</t>
        </is>
      </c>
    </row>
    <row r="200" ht="15.75" customHeight="1" s="35">
      <c r="A200" s="8" t="inlineStr">
        <is>
          <t>2026-03-21_HWRD_at_HMMN</t>
        </is>
      </c>
      <c r="B200" s="2" t="n">
        <v>46102</v>
      </c>
      <c r="C200" s="8" t="inlineStr">
        <is>
          <t>Howard Varsity Lions</t>
        </is>
      </c>
      <c r="D200" s="8" t="inlineStr">
        <is>
          <t>HMMN</t>
        </is>
      </c>
      <c r="E200" s="8" t="inlineStr">
        <is>
          <t>C Stryker</t>
        </is>
      </c>
      <c r="F200" s="8" t="n">
        <v>10</v>
      </c>
      <c r="G200" s="8" t="n">
        <v>16</v>
      </c>
      <c r="H200" s="8" t="n">
        <v>4</v>
      </c>
      <c r="M200" s="8" t="n">
        <v>0</v>
      </c>
      <c r="N200" s="8" t="n">
        <v>0</v>
      </c>
      <c r="O200" s="8" t="n">
        <v>6</v>
      </c>
      <c r="P200" s="8" t="n">
        <v>5</v>
      </c>
      <c r="Q200" s="8" t="n">
        <v>1</v>
      </c>
      <c r="R200" s="8" t="inlineStr">
        <is>
          <t>(L) designation; not written to column. Name in source: Collin Stryker. ER=2; R_Allowed=5 — 3 unearned runs. Pitches-Strikes: 65-45.</t>
        </is>
      </c>
    </row>
    <row r="201" ht="15.75" customHeight="1" s="35">
      <c r="A201" s="8" t="inlineStr">
        <is>
          <t>2026-03-21_HWRD_at_HMMN</t>
        </is>
      </c>
      <c r="B201" s="2" t="n">
        <v>46102</v>
      </c>
      <c r="C201" s="8" t="inlineStr">
        <is>
          <t>Howard Varsity Lions</t>
        </is>
      </c>
      <c r="D201" s="8" t="inlineStr">
        <is>
          <t>HMMN</t>
        </is>
      </c>
      <c r="E201" s="8" t="inlineStr">
        <is>
          <t>L Duckworth</t>
        </is>
      </c>
      <c r="F201" s="8" t="n">
        <v>5</v>
      </c>
      <c r="G201" s="8" t="n">
        <v>10</v>
      </c>
      <c r="H201" s="8" t="n">
        <v>2</v>
      </c>
      <c r="M201" s="8" t="n">
        <v>0</v>
      </c>
      <c r="N201" s="8" t="n">
        <v>3</v>
      </c>
      <c r="O201" s="8" t="n">
        <v>1</v>
      </c>
      <c r="P201" s="8" t="n">
        <v>2</v>
      </c>
      <c r="Q201" s="8" t="n">
        <v>2</v>
      </c>
      <c r="R201" s="8" t="inlineStr">
        <is>
          <t>Name in source: Luke Duckworth. ER=2 = R_Allowed. Pitches-Strikes: 30-17.</t>
        </is>
      </c>
    </row>
    <row r="202" ht="15.75" customHeight="1" s="35">
      <c r="A202" s="8" t="inlineStr">
        <is>
          <t>2026-03-21_HWRD_at_HMMN</t>
        </is>
      </c>
      <c r="B202" s="2" t="n">
        <v>46102</v>
      </c>
      <c r="C202" s="8" t="inlineStr">
        <is>
          <t>Howard Varsity Lions</t>
        </is>
      </c>
      <c r="D202" s="8" t="inlineStr">
        <is>
          <t>HMMN</t>
        </is>
      </c>
      <c r="E202" s="8" t="inlineStr">
        <is>
          <t>Darsh Bhatt</t>
        </is>
      </c>
      <c r="F202" s="8" t="n">
        <v>3</v>
      </c>
      <c r="G202" s="8" t="n">
        <v>4</v>
      </c>
      <c r="H202" s="8" t="n">
        <v>0</v>
      </c>
      <c r="M202" s="8" t="n">
        <v>1</v>
      </c>
      <c r="N202" s="8" t="n">
        <v>0</v>
      </c>
      <c r="O202" s="8" t="n">
        <v>1</v>
      </c>
      <c r="P202" s="8" t="n">
        <v>0</v>
      </c>
      <c r="Q202" s="8" t="n">
        <v>0</v>
      </c>
      <c r="R202" s="8" t="inlineStr">
        <is>
          <t>ER=0 = R_Allowed. Pitches-Strikes: 16-7.</t>
        </is>
      </c>
    </row>
    <row r="203" ht="15.75" customHeight="1" s="35">
      <c r="A203" s="8" t="inlineStr">
        <is>
          <t>2026-03-21_HWRD_at_HMMN</t>
        </is>
      </c>
      <c r="B203" s="2" t="n">
        <v>46102</v>
      </c>
      <c r="C203" s="8" t="inlineStr">
        <is>
          <t>Howard Varsity Lions</t>
        </is>
      </c>
      <c r="D203" s="8" t="inlineStr">
        <is>
          <t>HMMN</t>
        </is>
      </c>
      <c r="E203" s="8" t="inlineStr">
        <is>
          <t>G Garris</t>
        </is>
      </c>
      <c r="F203" s="8" t="n">
        <v>3</v>
      </c>
      <c r="G203" s="8" t="n">
        <v>7</v>
      </c>
      <c r="H203" s="8" t="n">
        <v>1</v>
      </c>
      <c r="M203" s="8" t="n">
        <v>2</v>
      </c>
      <c r="N203" s="8" t="n">
        <v>1</v>
      </c>
      <c r="O203" s="8" t="n">
        <v>2</v>
      </c>
      <c r="P203" s="8" t="n">
        <v>1</v>
      </c>
      <c r="Q203" s="8" t="n">
        <v>0</v>
      </c>
      <c r="R203" s="8" t="inlineStr">
        <is>
          <t>Name in source: Griffin Garris. ER=0; R_Allowed=1 — 1 unearned run. Pitches-Strikes: 26-12.</t>
        </is>
      </c>
    </row>
    <row r="204" ht="15.75" customHeight="1" s="35">
      <c r="A204" s="8" t="inlineStr">
        <is>
          <t>2026-03-31_HWRD_at_CRFT</t>
        </is>
      </c>
      <c r="B204" s="2" t="n">
        <v>46112</v>
      </c>
      <c r="C204" s="8" t="inlineStr">
        <is>
          <t>Crofton Varsity Cardinals</t>
        </is>
      </c>
      <c r="D204" s="8" t="inlineStr">
        <is>
          <t>HWRD</t>
        </is>
      </c>
      <c r="E204" s="8" t="inlineStr">
        <is>
          <t>D Alves</t>
        </is>
      </c>
      <c r="F204" s="8" t="n">
        <v>3</v>
      </c>
      <c r="G204" s="8" t="n">
        <v>7</v>
      </c>
      <c r="H204" s="8" t="n">
        <v>3</v>
      </c>
      <c r="M204" s="8" t="n">
        <v>1</v>
      </c>
      <c r="N204" s="8" t="n">
        <v>0</v>
      </c>
      <c r="O204" s="8" t="n">
        <v>0</v>
      </c>
      <c r="P204" s="8" t="n">
        <v>3</v>
      </c>
      <c r="Q204" s="8" t="n">
        <v>0</v>
      </c>
      <c r="R204" s="8" t="inlineStr">
        <is>
          <t>Name in source: Dominic Alves. Pitches-Strikes: 22-13. ER=3 = R_Allowed.</t>
        </is>
      </c>
    </row>
    <row r="205" ht="15.75" customHeight="1" s="35">
      <c r="A205" s="8" t="inlineStr">
        <is>
          <t>2026-03-31_HWRD_at_CRFT</t>
        </is>
      </c>
      <c r="B205" s="2" t="n">
        <v>46112</v>
      </c>
      <c r="C205" s="8" t="inlineStr">
        <is>
          <t>Crofton Varsity Cardinals</t>
        </is>
      </c>
      <c r="D205" s="8" t="inlineStr">
        <is>
          <t>HWRD</t>
        </is>
      </c>
      <c r="E205" s="8" t="inlineStr">
        <is>
          <t>Z Blair</t>
        </is>
      </c>
      <c r="F205" s="8" t="n">
        <v>6</v>
      </c>
      <c r="G205" s="8" t="n">
        <v>11</v>
      </c>
      <c r="H205" s="8" t="n">
        <v>3</v>
      </c>
      <c r="M205" s="8" t="n">
        <v>1</v>
      </c>
      <c r="N205" s="8" t="n">
        <v>2</v>
      </c>
      <c r="O205" s="8" t="n">
        <v>1</v>
      </c>
      <c r="P205" s="8" t="n">
        <v>2</v>
      </c>
      <c r="Q205" s="8" t="n">
        <v>0</v>
      </c>
      <c r="R205" s="8" t="inlineStr">
        <is>
          <t>Name in source: Zach Blair. Pitches-Strikes: 42-23. ER=1; R_Allowed=2 — 1 unearned run.</t>
        </is>
      </c>
    </row>
    <row r="206" ht="15.75" customHeight="1" s="35">
      <c r="A206" s="8" t="inlineStr">
        <is>
          <t>2026-03-31_HWRD_at_CRFT</t>
        </is>
      </c>
      <c r="B206" s="2" t="n">
        <v>46112</v>
      </c>
      <c r="C206" s="8" t="inlineStr">
        <is>
          <t>Crofton Varsity Cardinals</t>
        </is>
      </c>
      <c r="D206" s="8" t="inlineStr">
        <is>
          <t>HWRD</t>
        </is>
      </c>
      <c r="E206" s="8" t="inlineStr">
        <is>
          <t>Ryan Su</t>
        </is>
      </c>
      <c r="F206" s="8" t="n">
        <v>2</v>
      </c>
      <c r="G206" s="8" t="n">
        <v>6</v>
      </c>
      <c r="H206" s="8" t="n">
        <v>1</v>
      </c>
      <c r="M206" s="8" t="n">
        <v>3</v>
      </c>
      <c r="N206" s="8" t="n">
        <v>0</v>
      </c>
      <c r="O206" s="8" t="n">
        <v>1</v>
      </c>
      <c r="P206" s="8" t="n">
        <v>4</v>
      </c>
      <c r="Q206" s="8" t="n">
        <v>0</v>
      </c>
      <c r="R206" s="8" t="inlineStr">
        <is>
          <t>Pitches-Strikes: 29-12. ER=4 = R_Allowed. H_Allowed confirmed as 1 via team cross-check; initial OCR read appeared as 4 (R column misread as H).</t>
        </is>
      </c>
    </row>
    <row r="207" ht="15.75" customHeight="1" s="35">
      <c r="A207" s="8" t="inlineStr">
        <is>
          <t>2026-03-31_HWRD_at_CRFT</t>
        </is>
      </c>
      <c r="B207" s="2" t="n">
        <v>46112</v>
      </c>
      <c r="C207" s="8" t="inlineStr">
        <is>
          <t>Crofton Varsity Cardinals</t>
        </is>
      </c>
      <c r="D207" s="8" t="inlineStr">
        <is>
          <t>HWRD</t>
        </is>
      </c>
      <c r="E207" s="8" t="inlineStr">
        <is>
          <t>Thomas Estrada</t>
        </is>
      </c>
      <c r="F207" s="8" t="n">
        <v>1</v>
      </c>
      <c r="G207" s="8" t="n">
        <v>5</v>
      </c>
      <c r="H207" s="8" t="n">
        <v>2</v>
      </c>
      <c r="M207" s="8" t="n">
        <v>2</v>
      </c>
      <c r="N207" s="8" t="n">
        <v>0</v>
      </c>
      <c r="O207" s="8" t="n">
        <v>0</v>
      </c>
      <c r="P207" s="8" t="n">
        <v>2</v>
      </c>
      <c r="Q207" s="8" t="n">
        <v>0</v>
      </c>
      <c r="R207" s="8" t="inlineStr">
        <is>
          <t>(W) designation; not written to column. Pitches-Strikes: 21-9. ER=2 = R_Allowed.</t>
        </is>
      </c>
    </row>
    <row r="208" ht="15.75" customHeight="1" s="35">
      <c r="A208" s="8" t="inlineStr">
        <is>
          <t>2026-03-31_HWRD_at_CRFT</t>
        </is>
      </c>
      <c r="B208" s="2" t="n">
        <v>46112</v>
      </c>
      <c r="C208" s="8" t="inlineStr">
        <is>
          <t>Crofton Varsity Cardinals</t>
        </is>
      </c>
      <c r="D208" s="8" t="inlineStr">
        <is>
          <t>HWRD</t>
        </is>
      </c>
      <c r="E208" s="8" t="inlineStr">
        <is>
          <t>A Proescher</t>
        </is>
      </c>
      <c r="F208" s="8" t="n">
        <v>3</v>
      </c>
      <c r="G208" s="8" t="n">
        <v>5</v>
      </c>
      <c r="H208" s="8" t="n">
        <v>1</v>
      </c>
      <c r="M208" s="8" t="n">
        <v>1</v>
      </c>
      <c r="N208" s="8" t="n">
        <v>0</v>
      </c>
      <c r="O208" s="8" t="n">
        <v>1</v>
      </c>
      <c r="P208" s="8" t="n">
        <v>0</v>
      </c>
      <c r="Q208" s="8" t="n">
        <v>1</v>
      </c>
      <c r="R208" s="8" t="inlineStr">
        <is>
          <t>Name in source: Austin Proescher. Pitches-Strikes: 18-9. ER=0 = R_Allowed.</t>
        </is>
      </c>
    </row>
    <row r="209" ht="15.75" customHeight="1" s="35">
      <c r="A209" s="8" t="inlineStr">
        <is>
          <t>2026-03-31_HWRD_at_CRFT</t>
        </is>
      </c>
      <c r="B209" s="2" t="n">
        <v>46112</v>
      </c>
      <c r="C209" s="8" t="inlineStr">
        <is>
          <t>Howard Varsity Lions</t>
        </is>
      </c>
      <c r="D209" s="8" t="inlineStr">
        <is>
          <t>CRFT</t>
        </is>
      </c>
      <c r="E209" s="8" t="inlineStr">
        <is>
          <t>Michael Seery</t>
        </is>
      </c>
      <c r="F209" s="8" t="n">
        <v>6</v>
      </c>
      <c r="G209" s="8" t="n">
        <v>15</v>
      </c>
      <c r="H209" s="8" t="n">
        <v>5</v>
      </c>
      <c r="M209" s="8" t="n">
        <v>4</v>
      </c>
      <c r="N209" s="8" t="n">
        <v>1</v>
      </c>
      <c r="O209" s="8" t="n">
        <v>2</v>
      </c>
      <c r="P209" s="8" t="n">
        <v>5</v>
      </c>
      <c r="Q209" s="8" t="n">
        <v>0</v>
      </c>
      <c r="R209" s="8" t="inlineStr">
        <is>
          <t>(L) designation; not written to column. Pitches-Strikes: 52-23. ER=5 = R_Allowed.</t>
        </is>
      </c>
    </row>
    <row r="210" ht="15.75" customHeight="1" s="35">
      <c r="A210" s="8" t="inlineStr">
        <is>
          <t>2026-03-31_HWRD_at_CRFT</t>
        </is>
      </c>
      <c r="B210" s="2" t="n">
        <v>46112</v>
      </c>
      <c r="C210" s="8" t="inlineStr">
        <is>
          <t>Howard Varsity Lions</t>
        </is>
      </c>
      <c r="D210" s="8" t="inlineStr">
        <is>
          <t>CRFT</t>
        </is>
      </c>
      <c r="E210" s="8" t="inlineStr">
        <is>
          <t>Xander Bejar</t>
        </is>
      </c>
      <c r="F210" s="8" t="n">
        <v>3</v>
      </c>
      <c r="G210" s="8" t="n">
        <v>7</v>
      </c>
      <c r="H210" s="8" t="n">
        <v>1</v>
      </c>
      <c r="M210" s="8" t="n">
        <v>3</v>
      </c>
      <c r="N210" s="8" t="n">
        <v>0</v>
      </c>
      <c r="O210" s="8" t="n">
        <v>1</v>
      </c>
      <c r="P210" s="8" t="n">
        <v>2</v>
      </c>
      <c r="Q210" s="8" t="n">
        <v>0</v>
      </c>
      <c r="R210" s="8" t="inlineStr">
        <is>
          <t>Pitches-Strikes: 32-13. ER=2 = R_Allowed. Also bats for CRFT.</t>
        </is>
      </c>
    </row>
    <row r="211" ht="15.75" customHeight="1" s="35">
      <c r="A211" s="8" t="inlineStr">
        <is>
          <t>2026-03-31_HWRD_at_CRFT</t>
        </is>
      </c>
      <c r="B211" s="2" t="n">
        <v>46112</v>
      </c>
      <c r="C211" s="8" t="inlineStr">
        <is>
          <t>Howard Varsity Lions</t>
        </is>
      </c>
      <c r="D211" s="8" t="inlineStr">
        <is>
          <t>CRFT</t>
        </is>
      </c>
      <c r="E211" s="8" t="inlineStr">
        <is>
          <t>CRFT_#10</t>
        </is>
      </c>
      <c r="F211" s="8" t="n">
        <v>6</v>
      </c>
      <c r="G211" s="8" t="n">
        <v>13</v>
      </c>
      <c r="H211" s="8" t="n">
        <v>4</v>
      </c>
      <c r="M211" s="8" t="n">
        <v>1</v>
      </c>
      <c r="N211" s="8" t="n">
        <v>1</v>
      </c>
      <c r="O211" s="8" t="n">
        <v>1</v>
      </c>
      <c r="P211" s="8" t="n">
        <v>5</v>
      </c>
      <c r="Q211" s="8" t="n">
        <v>0</v>
      </c>
      <c r="R211" s="8" t="inlineStr">
        <is>
          <t>Pitches-Strikes: 48-26. ER=0; R_Allowed=5 — 5 unearned runs allowed. Also bats for CRFT.</t>
        </is>
      </c>
    </row>
    <row r="212" ht="15.75" customHeight="1" s="35">
      <c r="A212" s="8" t="inlineStr">
        <is>
          <t>2026-03-30_HWRD_at_MRRT</t>
        </is>
      </c>
      <c r="B212" s="2" t="n">
        <v>46111</v>
      </c>
      <c r="C212" s="8" t="inlineStr">
        <is>
          <t>Marriotts Ridge Varsity Mustangs</t>
        </is>
      </c>
      <c r="D212" s="8" t="inlineStr">
        <is>
          <t>HWRD</t>
        </is>
      </c>
      <c r="E212" s="8" t="inlineStr">
        <is>
          <t>N Hegedus</t>
        </is>
      </c>
      <c r="F212" s="8" t="n">
        <v>10</v>
      </c>
      <c r="G212" s="8" t="n">
        <v>18</v>
      </c>
      <c r="H212" s="8" t="n">
        <v>1</v>
      </c>
      <c r="M212" s="8" t="n">
        <v>4</v>
      </c>
      <c r="N212" s="8" t="n">
        <v>1</v>
      </c>
      <c r="O212" s="8" t="n">
        <v>2</v>
      </c>
      <c r="P212" s="8" t="n">
        <v>6</v>
      </c>
      <c r="Q212" s="8" t="n">
        <v>2</v>
      </c>
      <c r="R212" s="8" t="inlineStr">
        <is>
          <t>(L) designation; not written to column. Name in source: Nate Hegedus. Pitches-Strikes: 58-27. ER=2; R_Allowed=6 — 4 unearned runs allowed.</t>
        </is>
      </c>
    </row>
    <row r="213" ht="15.75" customHeight="1" s="35">
      <c r="A213" s="8" t="inlineStr">
        <is>
          <t>2026-03-30_HWRD_at_MRRT</t>
        </is>
      </c>
      <c r="B213" s="2" t="n">
        <v>46111</v>
      </c>
      <c r="C213" s="8" t="inlineStr">
        <is>
          <t>Marriotts Ridge Varsity Mustangs</t>
        </is>
      </c>
      <c r="D213" s="8" t="inlineStr">
        <is>
          <t>HWRD</t>
        </is>
      </c>
      <c r="E213" s="8" t="inlineStr">
        <is>
          <t>D Heim</t>
        </is>
      </c>
      <c r="F213" s="8" t="n">
        <v>3</v>
      </c>
      <c r="G213" s="8" t="n">
        <v>11</v>
      </c>
      <c r="H213" s="8" t="n">
        <v>2</v>
      </c>
      <c r="M213" s="8" t="n">
        <v>3</v>
      </c>
      <c r="N213" s="8" t="n">
        <v>2</v>
      </c>
      <c r="O213" s="8" t="n">
        <v>1</v>
      </c>
      <c r="P213" s="8" t="n">
        <v>6</v>
      </c>
      <c r="Q213" s="8" t="n">
        <v>2</v>
      </c>
      <c r="R213" s="8" t="inlineStr">
        <is>
          <t>Name in source: Darren Heim. Pitches-Strikes: 40-20. ER=5; R_Allowed=6 — 1 unearned run allowed.</t>
        </is>
      </c>
    </row>
    <row r="214" ht="15.75" customHeight="1" s="35">
      <c r="A214" s="8" t="inlineStr">
        <is>
          <t>2026-03-30_HWRD_at_MRRT</t>
        </is>
      </c>
      <c r="B214" s="2" t="n">
        <v>46111</v>
      </c>
      <c r="C214" s="8" t="inlineStr">
        <is>
          <t>Marriotts Ridge Varsity Mustangs</t>
        </is>
      </c>
      <c r="D214" s="8" t="inlineStr">
        <is>
          <t>HWRD</t>
        </is>
      </c>
      <c r="E214" s="8" t="inlineStr">
        <is>
          <t>Gibson Martin</t>
        </is>
      </c>
      <c r="F214" s="8" t="n">
        <v>0</v>
      </c>
      <c r="G214" s="8" t="n">
        <v>2</v>
      </c>
      <c r="H214" s="8" t="n">
        <v>0</v>
      </c>
      <c r="M214" s="8" t="n">
        <v>2</v>
      </c>
      <c r="N214" s="8" t="n">
        <v>0</v>
      </c>
      <c r="O214" s="8" t="n">
        <v>0</v>
      </c>
      <c r="P214" s="8" t="n">
        <v>1</v>
      </c>
      <c r="Q214" s="8" t="n">
        <v>1</v>
      </c>
      <c r="R214" s="8" t="inlineStr">
        <is>
          <t>IP=0.0; Outs_Recorded=0 — faced 2 batters, recorded no outs. Pitches-Strikes: 13-2. ER=0; R_Allowed=1 — 1 unearned run allowed.</t>
        </is>
      </c>
    </row>
    <row r="215" ht="15.75" customHeight="1" s="35">
      <c r="A215" s="8" t="inlineStr">
        <is>
          <t>2026-03-30_HWRD_at_MRRT</t>
        </is>
      </c>
      <c r="B215" s="2" t="n">
        <v>46111</v>
      </c>
      <c r="C215" s="8" t="inlineStr">
        <is>
          <t>Howard Varsity Lions</t>
        </is>
      </c>
      <c r="D215" s="8" t="inlineStr">
        <is>
          <t>MRRT</t>
        </is>
      </c>
      <c r="E215" s="8" t="inlineStr">
        <is>
          <t>O Snow</t>
        </is>
      </c>
      <c r="F215" s="8" t="n">
        <v>5</v>
      </c>
      <c r="G215" s="8" t="n">
        <v>11</v>
      </c>
      <c r="H215" s="8" t="n">
        <v>1</v>
      </c>
      <c r="M215" s="8" t="n">
        <v>4</v>
      </c>
      <c r="N215" s="8" t="n">
        <v>1</v>
      </c>
      <c r="O215" s="8" t="n">
        <v>2</v>
      </c>
      <c r="P215" s="8" t="n">
        <v>3</v>
      </c>
      <c r="Q215" s="8" t="n">
        <v>1</v>
      </c>
      <c r="R215" s="8" t="inlineStr">
        <is>
          <t>Name in source: Owen Snow. Pitches-Strikes: 48-21. ER=1; R_Allowed=3 — 2 unearned runs allowed. Also bats for MRRT.</t>
        </is>
      </c>
    </row>
    <row r="216" ht="15.75" customHeight="1" s="35">
      <c r="A216" s="8" t="inlineStr">
        <is>
          <t>2026-03-30_HWRD_at_MRRT</t>
        </is>
      </c>
      <c r="B216" s="2" t="n">
        <v>46111</v>
      </c>
      <c r="C216" s="8" t="inlineStr">
        <is>
          <t>Howard Varsity Lions</t>
        </is>
      </c>
      <c r="D216" s="8" t="inlineStr">
        <is>
          <t>MRRT</t>
        </is>
      </c>
      <c r="E216" s="8" t="inlineStr">
        <is>
          <t>J Yeich</t>
        </is>
      </c>
      <c r="F216" s="8" t="n">
        <v>4</v>
      </c>
      <c r="G216" s="8" t="n">
        <v>6</v>
      </c>
      <c r="H216" s="8" t="n">
        <v>2</v>
      </c>
      <c r="M216" s="8" t="n">
        <v>1</v>
      </c>
      <c r="N216" s="8" t="n">
        <v>0</v>
      </c>
      <c r="O216" s="8" t="n">
        <v>0</v>
      </c>
      <c r="P216" s="8" t="n">
        <v>0</v>
      </c>
      <c r="Q216" s="8" t="n">
        <v>0</v>
      </c>
      <c r="R216" s="8" t="inlineStr">
        <is>
          <t>(W) designation; not written to column. Name in source: JP Yeich. Pitches-Strikes: 16-9. ER=0 = R_Allowed.</t>
        </is>
      </c>
    </row>
    <row r="217" ht="15.75" customHeight="1" s="35">
      <c r="A217" s="8" t="inlineStr">
        <is>
          <t>2026-03-30_HWRD_at_MRRT</t>
        </is>
      </c>
      <c r="B217" s="2" t="n">
        <v>46111</v>
      </c>
      <c r="C217" s="8" t="inlineStr">
        <is>
          <t>Howard Varsity Lions</t>
        </is>
      </c>
      <c r="D217" s="8" t="inlineStr">
        <is>
          <t>MRRT</t>
        </is>
      </c>
      <c r="E217" s="8" t="inlineStr">
        <is>
          <t>A Hlavaty</t>
        </is>
      </c>
      <c r="F217" s="8" t="n">
        <v>6</v>
      </c>
      <c r="G217" s="8" t="n">
        <v>6</v>
      </c>
      <c r="H217" s="8" t="n">
        <v>0</v>
      </c>
      <c r="M217" s="8" t="n">
        <v>1</v>
      </c>
      <c r="N217" s="8" t="n">
        <v>0</v>
      </c>
      <c r="O217" s="8" t="n">
        <v>2</v>
      </c>
      <c r="P217" s="8" t="n">
        <v>0</v>
      </c>
      <c r="Q217" s="8" t="n">
        <v>0</v>
      </c>
      <c r="R217" s="8" t="inlineStr">
        <is>
          <t>Name in source: Aiden Hlavaty. Pitches-Strikes: 20-13. ER=0 = R_Allowed. Also bats for MRRT.</t>
        </is>
      </c>
    </row>
    <row r="218" ht="15.75" customHeight="1" s="35">
      <c r="A218" s="8" t="inlineStr">
        <is>
          <t>2026-03-23_CPPN_at_PLYV</t>
        </is>
      </c>
      <c r="B218" s="2" t="n">
        <v>46104</v>
      </c>
      <c r="C218" s="8" t="inlineStr">
        <is>
          <t>Poly Varsity Engineers 2026</t>
        </is>
      </c>
      <c r="D218" s="8" t="inlineStr">
        <is>
          <t>CPPN</t>
        </is>
      </c>
      <c r="E218" s="8" t="inlineStr">
        <is>
          <t>K Rice</t>
        </is>
      </c>
      <c r="F218" s="8" t="n">
        <v>0</v>
      </c>
      <c r="G218" s="8" t="n">
        <v>7</v>
      </c>
      <c r="H218" s="8" t="n">
        <v>0</v>
      </c>
      <c r="M218" s="8" t="n">
        <v>5</v>
      </c>
      <c r="N218" s="8" t="n">
        <v>2</v>
      </c>
      <c r="O218" s="8" t="n">
        <v>0</v>
      </c>
      <c r="P218" s="8" t="n">
        <v>7</v>
      </c>
      <c r="Q218" s="8" t="n">
        <v>7</v>
      </c>
      <c r="R218" s="8" t="inlineStr">
        <is>
          <t>(L) designation; not written to column. Pitches-Strikes: 28-3 (not in schema). ER=7 = R_Allowed.</t>
        </is>
      </c>
    </row>
    <row r="219" ht="15.75" customHeight="1" s="35">
      <c r="A219" s="8" t="inlineStr">
        <is>
          <t>2026-03-23_CPPN_at_PLYV</t>
        </is>
      </c>
      <c r="B219" s="2" t="n">
        <v>46104</v>
      </c>
      <c r="C219" s="8" t="inlineStr">
        <is>
          <t>Poly Varsity Engineers 2026</t>
        </is>
      </c>
      <c r="D219" s="8" t="inlineStr">
        <is>
          <t>CPPN</t>
        </is>
      </c>
      <c r="E219" s="8" t="inlineStr">
        <is>
          <t>J Hardy</t>
        </is>
      </c>
      <c r="F219" s="8" t="n">
        <v>2</v>
      </c>
      <c r="G219" s="8" t="n">
        <v>11</v>
      </c>
      <c r="H219" s="8" t="n">
        <v>2</v>
      </c>
      <c r="M219" s="8" t="n">
        <v>3</v>
      </c>
      <c r="N219" s="8" t="n">
        <v>1</v>
      </c>
      <c r="O219" s="8" t="n">
        <v>1</v>
      </c>
      <c r="P219" s="8" t="n">
        <v>9</v>
      </c>
      <c r="Q219" s="8" t="n">
        <v>2</v>
      </c>
      <c r="R219" s="8" t="inlineStr">
        <is>
          <t>Pitches-Strikes: 45-22 (not in schema). ER=2; R_Allowed=9 — 7 unearned runs allowed.</t>
        </is>
      </c>
    </row>
    <row r="220" ht="15.75" customHeight="1" s="35">
      <c r="A220" s="8" t="inlineStr">
        <is>
          <t>2026-03-23_CPPN_at_PLYV</t>
        </is>
      </c>
      <c r="B220" s="2" t="n">
        <v>46104</v>
      </c>
      <c r="C220" s="8" t="inlineStr">
        <is>
          <t>Poly Varsity Engineers 2026</t>
        </is>
      </c>
      <c r="D220" s="8" t="inlineStr">
        <is>
          <t>CPPN</t>
        </is>
      </c>
      <c r="E220" s="8" t="inlineStr">
        <is>
          <t>J Whitehead</t>
        </is>
      </c>
      <c r="F220" s="8" t="n">
        <v>10</v>
      </c>
      <c r="G220" s="8" t="n">
        <v>16</v>
      </c>
      <c r="H220" s="8" t="n">
        <v>1</v>
      </c>
      <c r="M220" s="8" t="n">
        <v>1</v>
      </c>
      <c r="N220" s="8" t="n">
        <v>3</v>
      </c>
      <c r="O220" s="8" t="n">
        <v>1</v>
      </c>
      <c r="P220" s="8" t="n">
        <v>4</v>
      </c>
      <c r="Q220" s="8" t="n">
        <v>1</v>
      </c>
      <c r="R220" s="8" t="inlineStr">
        <is>
          <t>Pitches-Strikes: 33-18 (not in schema). ER=2; R_Allowed=4 — 2 unearned runs allowed.</t>
        </is>
      </c>
    </row>
    <row r="221" ht="15.75" customHeight="1" s="35">
      <c r="A221" s="8" t="inlineStr">
        <is>
          <t>2026-03-23_CPPN_at_PLYV</t>
        </is>
      </c>
      <c r="B221" s="2" t="n">
        <v>46104</v>
      </c>
      <c r="C221" s="8" t="inlineStr">
        <is>
          <t>Coppin Academy</t>
        </is>
      </c>
      <c r="D221" s="8" t="inlineStr">
        <is>
          <t>PLYV</t>
        </is>
      </c>
      <c r="E221" s="8" t="inlineStr">
        <is>
          <t>Max Freeman</t>
        </is>
      </c>
      <c r="F221" s="8" t="n">
        <v>15</v>
      </c>
      <c r="G221" s="8" t="n">
        <v>17</v>
      </c>
      <c r="H221" s="8" t="n">
        <v>0</v>
      </c>
      <c r="M221" s="8" t="n">
        <v>1</v>
      </c>
      <c r="N221" s="8" t="n">
        <v>0</v>
      </c>
      <c r="O221" s="8" t="n">
        <v>14</v>
      </c>
      <c r="P221" s="8" t="n">
        <v>0</v>
      </c>
      <c r="Q221" s="8" t="n">
        <v>3</v>
      </c>
      <c r="R221" s="8" t="inlineStr">
        <is>
          <t>(W) designation; not written to column. Pitches-Strikes: 69-56 (not in schema). ER=0 = R_Allowed. Complete-game shutout no-hitter with 14 Ks and 3 WPs.</t>
        </is>
      </c>
    </row>
    <row r="222" ht="15.75" customHeight="1" s="35">
      <c r="A222" s="8" t="inlineStr">
        <is>
          <t>2026-03-25_DGLS_at_PLYV</t>
        </is>
      </c>
      <c r="B222" s="2" t="n">
        <v>46106</v>
      </c>
      <c r="C222" s="8" t="inlineStr">
        <is>
          <t>Douglass</t>
        </is>
      </c>
      <c r="D222" s="8" t="inlineStr">
        <is>
          <t>PLYV</t>
        </is>
      </c>
      <c r="E222" s="8" t="inlineStr">
        <is>
          <t>Ian Dickensheets</t>
        </is>
      </c>
      <c r="F222" s="8" t="n">
        <v>12</v>
      </c>
      <c r="G222" s="8" t="n">
        <v>16</v>
      </c>
      <c r="H222" s="8" t="n">
        <v>3</v>
      </c>
      <c r="M222" s="8" t="n">
        <v>1</v>
      </c>
      <c r="N222" s="8" t="n">
        <v>0</v>
      </c>
      <c r="O222" s="8" t="n">
        <v>11</v>
      </c>
      <c r="P222" s="8" t="n">
        <v>1</v>
      </c>
      <c r="Q222" s="8" t="n">
        <v>0</v>
      </c>
      <c r="R222" s="8" t="inlineStr">
        <is>
          <t>(W) designation; not written to column. Pitches-Strikes: 56-44 (not in schema). ER=1 = R_Allowed.</t>
        </is>
      </c>
    </row>
    <row r="223" ht="15.75" customHeight="1" s="35">
      <c r="A223" s="8" t="inlineStr">
        <is>
          <t>2026-03-25_DGLS_at_PLYV</t>
        </is>
      </c>
      <c r="B223" s="2" t="n">
        <v>46106</v>
      </c>
      <c r="C223" s="8" t="inlineStr">
        <is>
          <t>Douglass</t>
        </is>
      </c>
      <c r="D223" s="8" t="inlineStr">
        <is>
          <t>PLYV</t>
        </is>
      </c>
      <c r="E223" s="8" t="inlineStr">
        <is>
          <t>Roman Girardi</t>
        </is>
      </c>
      <c r="F223" s="8" t="n">
        <v>3</v>
      </c>
      <c r="G223" s="8" t="n">
        <v>4</v>
      </c>
      <c r="H223" s="8" t="n">
        <v>0</v>
      </c>
      <c r="M223" s="8" t="n">
        <v>0</v>
      </c>
      <c r="N223" s="8" t="n">
        <v>0</v>
      </c>
      <c r="O223" s="8" t="n">
        <v>4</v>
      </c>
      <c r="P223" s="8" t="n">
        <v>0</v>
      </c>
      <c r="Q223" s="8" t="n">
        <v>0</v>
      </c>
      <c r="R223" s="8" t="inlineStr">
        <is>
          <t>Pitches-Strikes: 21-17 (not in schema). ER=0 = R_Allowed.</t>
        </is>
      </c>
    </row>
    <row r="224" ht="15.75" customHeight="1" s="35">
      <c r="A224" s="8" t="inlineStr">
        <is>
          <t>2026-03-25_DGLS_at_PLYV</t>
        </is>
      </c>
      <c r="B224" s="2" t="n">
        <v>46106</v>
      </c>
      <c r="C224" s="8" t="inlineStr">
        <is>
          <t>Poly Varsity Engineers 2026</t>
        </is>
      </c>
      <c r="D224" s="8" t="inlineStr">
        <is>
          <t>DGLS</t>
        </is>
      </c>
      <c r="E224" s="8" t="inlineStr">
        <is>
          <t>Wilner Vergel-Rivero</t>
        </is>
      </c>
      <c r="F224" s="8" t="n">
        <v>6</v>
      </c>
      <c r="G224" s="8" t="n">
        <v>11</v>
      </c>
      <c r="H224" s="8" t="n">
        <v>3</v>
      </c>
      <c r="M224" s="8" t="n">
        <v>2</v>
      </c>
      <c r="N224" s="8" t="n">
        <v>0</v>
      </c>
      <c r="O224" s="8" t="n">
        <v>6</v>
      </c>
      <c r="P224" s="8" t="n">
        <v>4</v>
      </c>
      <c r="Q224" s="8" t="n">
        <v>1</v>
      </c>
      <c r="R224" s="8" t="inlineStr">
        <is>
          <t>(L) designation; not written to column. Pitches-Strikes: 47-26 (not in schema). ER=4 = R_Allowed.</t>
        </is>
      </c>
    </row>
    <row r="225" ht="15.75" customHeight="1" s="35">
      <c r="A225" s="8" t="inlineStr">
        <is>
          <t>2026-03-25_DGLS_at_PLYV</t>
        </is>
      </c>
      <c r="B225" s="2" t="n">
        <v>46106</v>
      </c>
      <c r="C225" s="8" t="inlineStr">
        <is>
          <t>Poly Varsity Engineers 2026</t>
        </is>
      </c>
      <c r="D225" s="8" t="inlineStr">
        <is>
          <t>DGLS</t>
        </is>
      </c>
      <c r="E225" s="8" t="inlineStr">
        <is>
          <t>Deivid Mendoza</t>
        </is>
      </c>
      <c r="F225" s="8" t="n">
        <v>6</v>
      </c>
      <c r="G225" s="8" t="n">
        <v>21</v>
      </c>
      <c r="H225" s="8" t="n">
        <v>7</v>
      </c>
      <c r="M225" s="8" t="n">
        <v>7</v>
      </c>
      <c r="N225" s="8" t="n">
        <v>0</v>
      </c>
      <c r="O225" s="8" t="n">
        <v>1</v>
      </c>
      <c r="P225" s="8" t="n">
        <v>10</v>
      </c>
      <c r="Q225" s="8" t="n">
        <v>1</v>
      </c>
      <c r="R225" s="8" t="inlineStr">
        <is>
          <t>Pitches-Strikes: 72-35 (not in schema). ER=10 = R_Allowed.</t>
        </is>
      </c>
    </row>
    <row r="226" ht="15.75" customHeight="1" s="35">
      <c r="A226" s="8" t="inlineStr">
        <is>
          <t>2026-03-25_DGLS_at_PLYV</t>
        </is>
      </c>
      <c r="B226" s="2" t="n">
        <v>46106</v>
      </c>
      <c r="C226" s="8" t="inlineStr">
        <is>
          <t>Poly Varsity Engineers 2026</t>
        </is>
      </c>
      <c r="D226" s="8" t="inlineStr">
        <is>
          <t>DGLS</t>
        </is>
      </c>
      <c r="E226" s="8" t="inlineStr">
        <is>
          <t>Isaac Montufar Reyes</t>
        </is>
      </c>
      <c r="F226" s="8" t="n">
        <v>3</v>
      </c>
      <c r="G226" s="8" t="n">
        <v>5</v>
      </c>
      <c r="H226" s="8" t="n">
        <v>1</v>
      </c>
      <c r="M226" s="8" t="n">
        <v>0</v>
      </c>
      <c r="N226" s="8" t="n">
        <v>0</v>
      </c>
      <c r="O226" s="8" t="n">
        <v>1</v>
      </c>
      <c r="P226" s="8" t="n">
        <v>0</v>
      </c>
      <c r="Q226" s="8" t="n">
        <v>0</v>
      </c>
      <c r="R226" s="8" t="inlineStr">
        <is>
          <t>Pitches-Strikes: 11-8 (not in schema). ER=0 = R_Allowed.</t>
        </is>
      </c>
    </row>
    <row r="227" ht="15.75" customHeight="1" s="35">
      <c r="A227" s="8" t="inlineStr">
        <is>
          <t>2026-03-27_FRST_at_PLYV</t>
        </is>
      </c>
      <c r="B227" s="2" t="n">
        <v>46108</v>
      </c>
      <c r="C227" s="8" t="inlineStr">
        <is>
          <t>Forest Park Varsity Foresters</t>
        </is>
      </c>
      <c r="D227" s="8" t="inlineStr">
        <is>
          <t>PLYV</t>
        </is>
      </c>
      <c r="E227" s="8" t="inlineStr">
        <is>
          <t>Nathaniel Barry</t>
        </is>
      </c>
      <c r="F227" s="8" t="n">
        <v>3</v>
      </c>
      <c r="G227" s="8" t="n">
        <v>3</v>
      </c>
      <c r="H227" s="8" t="n">
        <v>0</v>
      </c>
      <c r="M227" s="8" t="n">
        <v>0</v>
      </c>
      <c r="N227" s="8" t="n">
        <v>0</v>
      </c>
      <c r="O227" s="8" t="n">
        <v>3</v>
      </c>
      <c r="P227" s="8" t="n">
        <v>0</v>
      </c>
      <c r="Q227" s="8" t="n">
        <v>0</v>
      </c>
      <c r="R227" s="8" t="inlineStr">
        <is>
          <t>(W) designation; not written to column. Pitches-Strikes: 12-9 (not in schema). ER=0 = R_Allowed.</t>
        </is>
      </c>
    </row>
    <row r="228" ht="15.75" customHeight="1" s="35">
      <c r="A228" s="8" t="inlineStr">
        <is>
          <t>2026-03-27_FRST_at_PLYV</t>
        </is>
      </c>
      <c r="B228" s="2" t="n">
        <v>46108</v>
      </c>
      <c r="C228" s="8" t="inlineStr">
        <is>
          <t>Forest Park Varsity Foresters</t>
        </is>
      </c>
      <c r="D228" s="8" t="inlineStr">
        <is>
          <t>PLYV</t>
        </is>
      </c>
      <c r="E228" s="8" t="inlineStr">
        <is>
          <t>Daniel Hong</t>
        </is>
      </c>
      <c r="F228" s="8" t="n">
        <v>3</v>
      </c>
      <c r="G228" s="8" t="n">
        <v>3</v>
      </c>
      <c r="H228" s="8" t="n">
        <v>0</v>
      </c>
      <c r="M228" s="8" t="n">
        <v>0</v>
      </c>
      <c r="N228" s="8" t="n">
        <v>0</v>
      </c>
      <c r="O228" s="8" t="n">
        <v>3</v>
      </c>
      <c r="P228" s="8" t="n">
        <v>0</v>
      </c>
      <c r="Q228" s="8" t="n">
        <v>0</v>
      </c>
      <c r="R228" s="8" t="inlineStr">
        <is>
          <t>Pitches-Strikes: 13-9 (not in schema). ER=0 = R_Allowed.</t>
        </is>
      </c>
    </row>
    <row r="229" ht="15.75" customHeight="1" s="35">
      <c r="A229" s="8" t="inlineStr">
        <is>
          <t>2026-03-27_FRST_at_PLYV</t>
        </is>
      </c>
      <c r="B229" s="2" t="n">
        <v>46108</v>
      </c>
      <c r="C229" s="8" t="inlineStr">
        <is>
          <t>Forest Park Varsity Foresters</t>
        </is>
      </c>
      <c r="D229" s="8" t="inlineStr">
        <is>
          <t>PLYV</t>
        </is>
      </c>
      <c r="E229" s="8" t="inlineStr">
        <is>
          <t>Jakeem Mcbride</t>
        </is>
      </c>
      <c r="F229" s="8" t="n">
        <v>3</v>
      </c>
      <c r="G229" s="8" t="n">
        <v>4</v>
      </c>
      <c r="H229" s="8" t="n">
        <v>0</v>
      </c>
      <c r="M229" s="8" t="n">
        <v>1</v>
      </c>
      <c r="N229" s="8" t="n">
        <v>0</v>
      </c>
      <c r="O229" s="8" t="n">
        <v>3</v>
      </c>
      <c r="P229" s="8" t="n">
        <v>0</v>
      </c>
      <c r="Q229" s="8" t="n">
        <v>0</v>
      </c>
      <c r="R229" s="8" t="inlineStr">
        <is>
          <t>Pitches-Strikes: 16-10 (not in schema). ER=0 = R_Allowed.</t>
        </is>
      </c>
    </row>
    <row r="230" ht="15.75" customHeight="1" s="35">
      <c r="A230" s="8" t="inlineStr">
        <is>
          <t>2026-03-27_FRST_at_PLYV</t>
        </is>
      </c>
      <c r="B230" s="2" t="n">
        <v>46108</v>
      </c>
      <c r="C230" s="8" t="inlineStr">
        <is>
          <t>Forest Park Varsity Foresters</t>
        </is>
      </c>
      <c r="D230" s="8" t="inlineStr">
        <is>
          <t>PLYV</t>
        </is>
      </c>
      <c r="E230" s="8" t="inlineStr">
        <is>
          <t>Henry Overton</t>
        </is>
      </c>
      <c r="F230" s="8" t="n">
        <v>3</v>
      </c>
      <c r="G230" s="8" t="n">
        <v>3</v>
      </c>
      <c r="H230" s="8" t="n">
        <v>0</v>
      </c>
      <c r="M230" s="8" t="n">
        <v>0</v>
      </c>
      <c r="N230" s="8" t="n">
        <v>0</v>
      </c>
      <c r="O230" s="8" t="n">
        <v>3</v>
      </c>
      <c r="P230" s="8" t="n">
        <v>0</v>
      </c>
      <c r="Q230" s="8" t="n">
        <v>0</v>
      </c>
      <c r="R230" s="8" t="inlineStr">
        <is>
          <t>Pitches-Strikes: 11-9 (not in schema). ER=0 = R_Allowed.</t>
        </is>
      </c>
    </row>
    <row r="231" ht="15.75" customHeight="1" s="35">
      <c r="A231" s="8" t="inlineStr">
        <is>
          <t>2026-03-27_FRST_at_PLYV</t>
        </is>
      </c>
      <c r="B231" s="2" t="n">
        <v>46108</v>
      </c>
      <c r="C231" s="8" t="inlineStr">
        <is>
          <t>Forest Park Varsity Foresters</t>
        </is>
      </c>
      <c r="D231" s="8" t="inlineStr">
        <is>
          <t>PLYV</t>
        </is>
      </c>
      <c r="E231" s="8" t="inlineStr">
        <is>
          <t>Kingston Antonio</t>
        </is>
      </c>
      <c r="F231" s="8" t="n">
        <v>3</v>
      </c>
      <c r="G231" s="8" t="n">
        <v>4</v>
      </c>
      <c r="H231" s="8" t="n">
        <v>0</v>
      </c>
      <c r="M231" s="8" t="n">
        <v>1</v>
      </c>
      <c r="N231" s="8" t="n">
        <v>0</v>
      </c>
      <c r="O231" s="8" t="n">
        <v>3</v>
      </c>
      <c r="P231" s="8" t="n">
        <v>0</v>
      </c>
      <c r="Q231" s="8" t="n">
        <v>1</v>
      </c>
      <c r="R231" s="8" t="inlineStr">
        <is>
          <t>Pitches-Strikes: 15-9 (not in schema). ER=0 = R_Allowed. Also bats (zero PA).</t>
        </is>
      </c>
    </row>
    <row r="232" ht="15.75" customHeight="1" s="35">
      <c r="A232" s="8" t="inlineStr">
        <is>
          <t>2026-03-27_FRST_at_PLYV</t>
        </is>
      </c>
      <c r="B232" s="2" t="n">
        <v>46108</v>
      </c>
      <c r="C232" s="8" t="inlineStr">
        <is>
          <t>Poly Varsity Engineers 2026</t>
        </is>
      </c>
      <c r="D232" s="8" t="inlineStr">
        <is>
          <t>FRST</t>
        </is>
      </c>
      <c r="E232" s="8" t="inlineStr">
        <is>
          <t>Laboo</t>
        </is>
      </c>
      <c r="F232" s="8" t="n">
        <v>6</v>
      </c>
      <c r="G232" s="8" t="n">
        <v>27</v>
      </c>
      <c r="H232" s="8" t="n">
        <v>11</v>
      </c>
      <c r="M232" s="8" t="n">
        <v>7</v>
      </c>
      <c r="N232" s="8" t="n">
        <v>0</v>
      </c>
      <c r="O232" s="8" t="n">
        <v>2</v>
      </c>
      <c r="P232" s="8" t="n">
        <v>18</v>
      </c>
      <c r="Q232" s="8" t="n">
        <v>1</v>
      </c>
      <c r="R232" s="8" t="inlineStr">
        <is>
          <t>(L) designation; not written to column. Pitches-Strikes: 109-53 (not in schema). ER=12; R_Allowed=18 — 6 unearned runs. Also bats; E in Fielding x2.</t>
        </is>
      </c>
    </row>
    <row r="233" ht="15.75" customHeight="1" s="35">
      <c r="A233" s="8" t="inlineStr">
        <is>
          <t>2026-03-27_FRST_at_PLYV</t>
        </is>
      </c>
      <c r="B233" s="2" t="n">
        <v>46108</v>
      </c>
      <c r="C233" s="8" t="inlineStr">
        <is>
          <t>Poly Varsity Engineers 2026</t>
        </is>
      </c>
      <c r="D233" s="8" t="inlineStr">
        <is>
          <t>FRST</t>
        </is>
      </c>
      <c r="E233" s="8" t="inlineStr">
        <is>
          <t>Riddick</t>
        </is>
      </c>
      <c r="F233" s="8" t="n">
        <v>9</v>
      </c>
      <c r="G233" s="8" t="n">
        <v>20</v>
      </c>
      <c r="H233" s="8" t="n">
        <v>2</v>
      </c>
      <c r="M233" s="8" t="n">
        <v>5</v>
      </c>
      <c r="N233" s="8" t="n">
        <v>1</v>
      </c>
      <c r="O233" s="8" t="n">
        <v>3</v>
      </c>
      <c r="P233" s="8" t="n">
        <v>6</v>
      </c>
      <c r="Q233" s="8" t="n">
        <v>0</v>
      </c>
      <c r="R233" s="8" t="inlineStr">
        <is>
          <t>Pitches-Strikes: 70-36 (not in schema). ER=0; R_Allowed=6 — all 6 unearned. HBP_Allowed=1 (Kaden Wooden, PLYV). Also bats; E in Fielding x3.</t>
        </is>
      </c>
    </row>
    <row r="234" ht="15.75" customHeight="1" s="35">
      <c r="A234" s="8" t="inlineStr">
        <is>
          <t>2026-04-04_PLYV_at_ESTR</t>
        </is>
      </c>
      <c r="B234" s="2" t="n">
        <v>46116</v>
      </c>
      <c r="C234" s="8" t="inlineStr">
        <is>
          <t>Eastern Tech Varsity Mavericks</t>
        </is>
      </c>
      <c r="D234" s="8" t="inlineStr">
        <is>
          <t>PLYV</t>
        </is>
      </c>
      <c r="E234" s="8" t="inlineStr">
        <is>
          <t>Henry Overton</t>
        </is>
      </c>
      <c r="F234" s="8" t="n">
        <v>9</v>
      </c>
      <c r="G234" s="8" t="n">
        <v>15</v>
      </c>
      <c r="H234" s="8" t="n">
        <v>4</v>
      </c>
      <c r="M234" s="8" t="n">
        <v>2</v>
      </c>
      <c r="N234" s="8" t="n">
        <v>0</v>
      </c>
      <c r="O234" s="8" t="n">
        <v>3</v>
      </c>
      <c r="P234" s="8" t="n">
        <v>4</v>
      </c>
      <c r="Q234" s="8" t="n">
        <v>0</v>
      </c>
      <c r="R234" s="8" t="inlineStr">
        <is>
          <t>Pitches-Strikes: 64-38 (not in schema). ER=1; R_Allowed=4 — 3 unearned runs.</t>
        </is>
      </c>
    </row>
    <row r="235" ht="15.75" customHeight="1" s="35">
      <c r="A235" s="8" t="inlineStr">
        <is>
          <t>2026-04-04_PLYV_at_ESTR</t>
        </is>
      </c>
      <c r="B235" s="2" t="n">
        <v>46116</v>
      </c>
      <c r="C235" s="8" t="inlineStr">
        <is>
          <t>Eastern Tech Varsity Mavericks</t>
        </is>
      </c>
      <c r="D235" s="8" t="inlineStr">
        <is>
          <t>PLYV</t>
        </is>
      </c>
      <c r="E235" s="8" t="inlineStr">
        <is>
          <t>Daniel Hong</t>
        </is>
      </c>
      <c r="F235" s="8" t="n">
        <v>9</v>
      </c>
      <c r="G235" s="8" t="n">
        <v>13</v>
      </c>
      <c r="H235" s="8" t="n">
        <v>1</v>
      </c>
      <c r="M235" s="8" t="n">
        <v>4</v>
      </c>
      <c r="N235" s="8" t="n">
        <v>0</v>
      </c>
      <c r="O235" s="8" t="n">
        <v>1</v>
      </c>
      <c r="P235" s="8" t="n">
        <v>2</v>
      </c>
      <c r="Q235" s="8" t="n">
        <v>0</v>
      </c>
      <c r="R235" s="8" t="inlineStr">
        <is>
          <t>Pitches-Strikes: 53-24 (not in schema). ER=2 = R_Allowed.</t>
        </is>
      </c>
    </row>
    <row r="236" ht="15.75" customHeight="1" s="35">
      <c r="A236" s="8" t="inlineStr">
        <is>
          <t>2026-04-04_PLYV_at_ESTR</t>
        </is>
      </c>
      <c r="B236" s="2" t="n">
        <v>46116</v>
      </c>
      <c r="C236" s="8" t="inlineStr">
        <is>
          <t>Eastern Tech Varsity Mavericks</t>
        </is>
      </c>
      <c r="D236" s="8" t="inlineStr">
        <is>
          <t>PLYV</t>
        </is>
      </c>
      <c r="E236" s="8" t="inlineStr">
        <is>
          <t>Roman Girardi</t>
        </is>
      </c>
      <c r="F236" s="8" t="n">
        <v>3</v>
      </c>
      <c r="G236" s="8" t="n">
        <v>6</v>
      </c>
      <c r="H236" s="8" t="n">
        <v>1</v>
      </c>
      <c r="M236" s="8" t="n">
        <v>2</v>
      </c>
      <c r="N236" s="8" t="n">
        <v>0</v>
      </c>
      <c r="O236" s="8" t="n">
        <v>0</v>
      </c>
      <c r="P236" s="8" t="n">
        <v>2</v>
      </c>
      <c r="Q236" s="8" t="n">
        <v>0</v>
      </c>
      <c r="R236" s="8" t="inlineStr">
        <is>
          <t>Pitches-Strikes: 25-10 (not in schema). ER=2 = R_Allowed.</t>
        </is>
      </c>
    </row>
    <row r="237" ht="15.75" customHeight="1" s="35">
      <c r="A237" s="8" t="inlineStr">
        <is>
          <t>2026-04-04_PLYV_at_ESTR</t>
        </is>
      </c>
      <c r="B237" s="2" t="n">
        <v>46116</v>
      </c>
      <c r="C237" s="8" t="inlineStr">
        <is>
          <t>Poly Varsity Engineers 2026</t>
        </is>
      </c>
      <c r="D237" s="8" t="inlineStr">
        <is>
          <t>ESTR</t>
        </is>
      </c>
      <c r="E237" s="8" t="inlineStr">
        <is>
          <t>Kingston Lawrence</t>
        </is>
      </c>
      <c r="F237" s="8" t="n">
        <v>11</v>
      </c>
      <c r="G237" s="8" t="n">
        <v>19</v>
      </c>
      <c r="H237" s="8" t="n">
        <v>3</v>
      </c>
      <c r="M237" s="8" t="n">
        <v>1</v>
      </c>
      <c r="N237" s="8" t="n">
        <v>2</v>
      </c>
      <c r="O237" s="8" t="n">
        <v>5</v>
      </c>
      <c r="P237" s="8" t="n">
        <v>2</v>
      </c>
      <c r="Q237" s="8" t="n">
        <v>0</v>
      </c>
      <c r="R237" s="8" t="inlineStr">
        <is>
          <t>Pitches-Strikes: 71-42 (not in schema). ER=1; R_Allowed=2 — 1 unearned. HBP_Allowed=2. Also bats; 3.2 IP = 11 outs.</t>
        </is>
      </c>
    </row>
    <row r="238" ht="15.75" customHeight="1" s="35">
      <c r="A238" s="8" t="inlineStr">
        <is>
          <t>2026-04-04_PLYV_at_ESTR</t>
        </is>
      </c>
      <c r="B238" s="2" t="n">
        <v>46116</v>
      </c>
      <c r="C238" s="8" t="inlineStr">
        <is>
          <t>Poly Varsity Engineers 2026</t>
        </is>
      </c>
      <c r="D238" s="8" t="inlineStr">
        <is>
          <t>ESTR</t>
        </is>
      </c>
      <c r="E238" s="8" t="inlineStr">
        <is>
          <t>Mason Glatt</t>
        </is>
      </c>
      <c r="F238" s="8" t="n">
        <v>1</v>
      </c>
      <c r="G238" s="8" t="n">
        <v>6</v>
      </c>
      <c r="H238" s="8" t="n">
        <v>2</v>
      </c>
      <c r="M238" s="8" t="n">
        <v>2</v>
      </c>
      <c r="N238" s="8" t="n">
        <v>1</v>
      </c>
      <c r="O238" s="8" t="n">
        <v>0</v>
      </c>
      <c r="P238" s="8" t="n">
        <v>2</v>
      </c>
      <c r="Q238" s="8" t="n">
        <v>0</v>
      </c>
      <c r="R238" s="8" t="inlineStr">
        <is>
          <t>Pitches-Strikes: 23-11 (not in schema). ER=2 = R_Allowed. HBP_Allowed=1. Also bats; 0.1 IP = 1 out.</t>
        </is>
      </c>
    </row>
    <row r="239" ht="15.75" customHeight="1" s="35">
      <c r="A239" s="8" t="inlineStr">
        <is>
          <t>2026-04-04_PLYV_at_ESTR</t>
        </is>
      </c>
      <c r="B239" s="2" t="n">
        <v>46116</v>
      </c>
      <c r="C239" s="8" t="inlineStr">
        <is>
          <t>Poly Varsity Engineers 2026</t>
        </is>
      </c>
      <c r="D239" s="8" t="inlineStr">
        <is>
          <t>ESTR</t>
        </is>
      </c>
      <c r="E239" s="8" t="inlineStr">
        <is>
          <t>Nate Noyes</t>
        </is>
      </c>
      <c r="F239" s="8" t="n">
        <v>9</v>
      </c>
      <c r="G239" s="8" t="n">
        <v>9</v>
      </c>
      <c r="H239" s="8" t="n">
        <v>2</v>
      </c>
      <c r="M239" s="8" t="n">
        <v>0</v>
      </c>
      <c r="N239" s="8" t="n">
        <v>0</v>
      </c>
      <c r="O239" s="8" t="n">
        <v>6</v>
      </c>
      <c r="P239" s="8" t="n">
        <v>0</v>
      </c>
      <c r="Q239" s="8" t="n">
        <v>0</v>
      </c>
      <c r="R239" s="8" t="inlineStr">
        <is>
          <t>Pitches-Strikes: 32-24 (not in schema). ER=0 = R_Allowed. Also bats.</t>
        </is>
      </c>
    </row>
    <row r="240" ht="15.75" customHeight="1" s="35">
      <c r="A240" s="8" t="inlineStr">
        <is>
          <t>2026-04-04_PRKS_at_PLYV</t>
        </is>
      </c>
      <c r="B240" s="2" t="n">
        <v>46116</v>
      </c>
      <c r="C240" s="8" t="inlineStr">
        <is>
          <t>Park School Varsity Bruins</t>
        </is>
      </c>
      <c r="D240" s="8" t="inlineStr">
        <is>
          <t>PLYV</t>
        </is>
      </c>
      <c r="E240" s="8" t="inlineStr">
        <is>
          <t>Nathaniel Barry</t>
        </is>
      </c>
      <c r="F240" s="8" t="n">
        <v>6</v>
      </c>
      <c r="G240" s="8" t="n">
        <v>10</v>
      </c>
      <c r="H240" s="8" t="n">
        <v>1</v>
      </c>
      <c r="M240" s="8" t="n">
        <v>2</v>
      </c>
      <c r="N240" s="8" t="n">
        <v>1</v>
      </c>
      <c r="O240" s="8" t="n">
        <v>3</v>
      </c>
      <c r="P240" s="8" t="n">
        <v>2</v>
      </c>
      <c r="Q240" s="8" t="n">
        <v>0</v>
      </c>
      <c r="R240" s="8" t="inlineStr">
        <is>
          <t>Pitches-Strikes: 41-23 (not in schema). ER=2 = R_Allowed. HBP_Allowed=1 (True Bridgeford).</t>
        </is>
      </c>
    </row>
    <row r="241" ht="15.75" customHeight="1" s="35">
      <c r="A241" s="8" t="inlineStr">
        <is>
          <t>2026-04-04_PRKS_at_PLYV</t>
        </is>
      </c>
      <c r="B241" s="2" t="n">
        <v>46116</v>
      </c>
      <c r="C241" s="8" t="inlineStr">
        <is>
          <t>Park School Varsity Bruins</t>
        </is>
      </c>
      <c r="D241" s="8" t="inlineStr">
        <is>
          <t>PLYV</t>
        </is>
      </c>
      <c r="E241" s="8" t="inlineStr">
        <is>
          <t>Max Freeman</t>
        </is>
      </c>
      <c r="F241" s="8" t="n">
        <v>12</v>
      </c>
      <c r="G241" s="8" t="n">
        <v>16</v>
      </c>
      <c r="H241" s="8" t="n">
        <v>1</v>
      </c>
      <c r="M241" s="8" t="n">
        <v>3</v>
      </c>
      <c r="N241" s="8" t="n">
        <v>0</v>
      </c>
      <c r="O241" s="8" t="n">
        <v>5</v>
      </c>
      <c r="P241" s="8" t="n">
        <v>1</v>
      </c>
      <c r="Q241" s="8" t="n">
        <v>1</v>
      </c>
      <c r="R241" s="8" t="inlineStr">
        <is>
          <t>(W) designation; not written to column. Pitches-Strikes: 65-41 (not in schema). ER=0; R_Allowed=1 — 1 unearned run allowed.</t>
        </is>
      </c>
    </row>
    <row r="242" ht="15.75" customHeight="1" s="35">
      <c r="A242" s="8" t="inlineStr">
        <is>
          <t>2026-04-04_PRKS_at_PLYV</t>
        </is>
      </c>
      <c r="B242" s="2" t="n">
        <v>46116</v>
      </c>
      <c r="C242" s="8" t="inlineStr">
        <is>
          <t>Park School Varsity Bruins</t>
        </is>
      </c>
      <c r="D242" s="8" t="inlineStr">
        <is>
          <t>PLYV</t>
        </is>
      </c>
      <c r="E242" s="8" t="inlineStr">
        <is>
          <t>Kingston Antonio</t>
        </is>
      </c>
      <c r="F242" s="8" t="n">
        <v>3</v>
      </c>
      <c r="G242" s="8" t="n">
        <v>3</v>
      </c>
      <c r="H242" s="8" t="n">
        <v>0</v>
      </c>
      <c r="M242" s="8" t="n">
        <v>0</v>
      </c>
      <c r="N242" s="8" t="n">
        <v>0</v>
      </c>
      <c r="O242" s="8" t="n">
        <v>0</v>
      </c>
      <c r="P242" s="8" t="n">
        <v>0</v>
      </c>
      <c r="Q242" s="8" t="n">
        <v>0</v>
      </c>
      <c r="R242" s="8" t="inlineStr">
        <is>
          <t>Pitches-Strikes: 13-7 (not in schema). ER=0 = R_Allowed. Also bats.</t>
        </is>
      </c>
    </row>
    <row r="243" ht="15.75" customHeight="1" s="35">
      <c r="A243" s="8" t="inlineStr">
        <is>
          <t>2026-04-04_PRKS_at_PLYV</t>
        </is>
      </c>
      <c r="B243" s="2" t="n">
        <v>46116</v>
      </c>
      <c r="C243" s="8" t="inlineStr">
        <is>
          <t>Poly Varsity Engineers 2026</t>
        </is>
      </c>
      <c r="D243" s="8" t="inlineStr">
        <is>
          <t>PRKS</t>
        </is>
      </c>
      <c r="E243" s="8" t="inlineStr">
        <is>
          <t>I Shapero</t>
        </is>
      </c>
      <c r="F243" s="8" t="n">
        <v>3</v>
      </c>
      <c r="G243" s="8" t="n">
        <v>6</v>
      </c>
      <c r="H243" s="8" t="n">
        <v>2</v>
      </c>
      <c r="M243" s="8" t="n">
        <v>1</v>
      </c>
      <c r="N243" s="8" t="n">
        <v>0</v>
      </c>
      <c r="O243" s="8" t="n">
        <v>2</v>
      </c>
      <c r="P243" s="8" t="n">
        <v>1</v>
      </c>
      <c r="Q243" s="8" t="n">
        <v>1</v>
      </c>
      <c r="R243" s="8" t="inlineStr">
        <is>
          <t>Pitches-Strikes: 22-13 (not in schema). ER=1 = R_Allowed.</t>
        </is>
      </c>
    </row>
    <row r="244" ht="15.75" customHeight="1" s="35">
      <c r="A244" s="8" t="inlineStr">
        <is>
          <t>2026-04-04_PRKS_at_PLYV</t>
        </is>
      </c>
      <c r="B244" s="2" t="n">
        <v>46116</v>
      </c>
      <c r="C244" s="8" t="inlineStr">
        <is>
          <t>Poly Varsity Engineers 2026</t>
        </is>
      </c>
      <c r="D244" s="8" t="inlineStr">
        <is>
          <t>PRKS</t>
        </is>
      </c>
      <c r="E244" s="8" t="inlineStr">
        <is>
          <t>Cam Blum</t>
        </is>
      </c>
      <c r="F244" s="8" t="n">
        <v>9</v>
      </c>
      <c r="G244" s="8" t="n">
        <v>18</v>
      </c>
      <c r="H244" s="8" t="n">
        <v>6</v>
      </c>
      <c r="M244" s="8" t="n">
        <v>2</v>
      </c>
      <c r="N244" s="8" t="n">
        <v>1</v>
      </c>
      <c r="O244" s="8" t="n">
        <v>5</v>
      </c>
      <c r="P244" s="8" t="n">
        <v>6</v>
      </c>
      <c r="Q244" s="8" t="n">
        <v>2</v>
      </c>
      <c r="R244" s="8" t="inlineStr">
        <is>
          <t>(L) designation; not written to column. Pitches-Strikes: 72-42 (not in schema). ER=6 = R_Allowed. HBP_Allowed=1 (Joshua Tyree or Kingston Antonio). WP=2.</t>
        </is>
      </c>
    </row>
    <row r="245" ht="15.75" customHeight="1" s="35">
      <c r="A245" s="8" t="inlineStr">
        <is>
          <t>2026-04-04_PRKS_at_PLYV</t>
        </is>
      </c>
      <c r="B245" s="2" t="n">
        <v>46116</v>
      </c>
      <c r="C245" s="8" t="inlineStr">
        <is>
          <t>Poly Varsity Engineers 2026</t>
        </is>
      </c>
      <c r="D245" s="8" t="inlineStr">
        <is>
          <t>PRKS</t>
        </is>
      </c>
      <c r="E245" s="8" t="inlineStr">
        <is>
          <t>Dylan Katz</t>
        </is>
      </c>
      <c r="F245" s="8" t="n">
        <v>6</v>
      </c>
      <c r="G245" s="8" t="n">
        <v>12</v>
      </c>
      <c r="H245" s="8" t="n">
        <v>6</v>
      </c>
      <c r="M245" s="8" t="n">
        <v>0</v>
      </c>
      <c r="N245" s="8" t="n">
        <v>0</v>
      </c>
      <c r="O245" s="8" t="n">
        <v>1</v>
      </c>
      <c r="P245" s="8" t="n">
        <v>4</v>
      </c>
      <c r="Q245" s="8" t="n">
        <v>1</v>
      </c>
      <c r="R245" s="8" t="inlineStr">
        <is>
          <t>Pitches-Strikes: 30-22 (not in schema). ER=4 = R_Allowed. WP=1.</t>
        </is>
      </c>
    </row>
    <row r="246" ht="15.75" customHeight="1" s="35">
      <c r="A246" s="8" t="inlineStr">
        <is>
          <t>2026-04-04_PRKS_at_PLYV</t>
        </is>
      </c>
      <c r="B246" s="2" t="n">
        <v>46116</v>
      </c>
      <c r="C246" s="8" t="inlineStr">
        <is>
          <t>Poly Varsity Engineers 2026</t>
        </is>
      </c>
      <c r="D246" s="8" t="inlineStr">
        <is>
          <t>PRKS</t>
        </is>
      </c>
      <c r="E246" s="8" t="inlineStr">
        <is>
          <t>James Robbins</t>
        </is>
      </c>
      <c r="F246" s="8" t="n">
        <v>3</v>
      </c>
      <c r="G246" s="8" t="n">
        <v>8</v>
      </c>
      <c r="H246" s="8" t="n">
        <v>2</v>
      </c>
      <c r="M246" s="8" t="n">
        <v>1</v>
      </c>
      <c r="N246" s="8" t="n">
        <v>1</v>
      </c>
      <c r="O246" s="8" t="n">
        <v>2</v>
      </c>
      <c r="P246" s="8" t="n">
        <v>3</v>
      </c>
      <c r="Q246" s="8" t="n">
        <v>1</v>
      </c>
      <c r="R246" s="8" t="inlineStr">
        <is>
          <t>Pitches-Strikes: 33-17 (not in schema). ER=3 = R_Allowed. HBP_Allowed=1 (Kingston Antonio or Joshua Tyree). WP=1.</t>
        </is>
      </c>
    </row>
    <row r="247" ht="15.75" customHeight="1" s="35">
      <c r="A247" s="8" t="inlineStr">
        <is>
          <t>2026-03-14_CNTN_at_WSTM</t>
        </is>
      </c>
      <c r="B247" s="2" t="n">
        <v>46095</v>
      </c>
      <c r="C247" s="8" t="inlineStr">
        <is>
          <t>Westminster Varsity Owls</t>
        </is>
      </c>
      <c r="D247" s="8" t="inlineStr">
        <is>
          <t>CNTN</t>
        </is>
      </c>
      <c r="E247" s="8" t="inlineStr">
        <is>
          <t>C Stachera</t>
        </is>
      </c>
      <c r="F247" s="8" t="n">
        <v>3</v>
      </c>
      <c r="G247" s="8" t="n">
        <v>3</v>
      </c>
      <c r="H247" s="8" t="n">
        <v>0</v>
      </c>
      <c r="I247" s="8" t="n">
        <v>0</v>
      </c>
      <c r="J247" s="8" t="n">
        <v>0</v>
      </c>
      <c r="K247" s="8" t="n">
        <v>0</v>
      </c>
      <c r="L247" s="8" t="n">
        <v>0</v>
      </c>
      <c r="M247" s="8" t="n">
        <v>0</v>
      </c>
      <c r="N247" s="8" t="n">
        <v>0</v>
      </c>
      <c r="O247" s="8" t="n">
        <v>1</v>
      </c>
      <c r="P247" s="8" t="n">
        <v>0</v>
      </c>
      <c r="Q247" s="8" t="n">
        <v>0</v>
      </c>
      <c r="R247" s="8" t="inlineStr">
        <is>
          <t>B1 (plays #5-#7); entry inferred from play descriptions (Flag #1) — no Lineup changed note; opening pitcher for CNTN. K: J Cedeno K_S (play #6).</t>
        </is>
      </c>
    </row>
    <row r="248" ht="15.75" customHeight="1" s="35">
      <c r="A248" s="8" t="inlineStr">
        <is>
          <t>2026-03-14_CNTN_at_WSTM</t>
        </is>
      </c>
      <c r="B248" s="2" t="n">
        <v>46095</v>
      </c>
      <c r="C248" s="8" t="inlineStr">
        <is>
          <t>Westminster Varsity Owls</t>
        </is>
      </c>
      <c r="D248" s="8" t="inlineStr">
        <is>
          <t>CNTN</t>
        </is>
      </c>
      <c r="E248" s="8" t="inlineStr">
        <is>
          <t>A Lee</t>
        </is>
      </c>
      <c r="F248" s="8" t="n">
        <v>3</v>
      </c>
      <c r="G248" s="8" t="n">
        <v>5</v>
      </c>
      <c r="H248" s="8" t="n">
        <v>1</v>
      </c>
      <c r="I248" s="8" t="n">
        <v>1</v>
      </c>
      <c r="J248" s="8" t="n">
        <v>0</v>
      </c>
      <c r="K248" s="8" t="n">
        <v>0</v>
      </c>
      <c r="L248" s="8" t="n">
        <v>0</v>
      </c>
      <c r="M248" s="8" t="n">
        <v>1</v>
      </c>
      <c r="N248" s="8" t="n">
        <v>0</v>
      </c>
      <c r="O248" s="8" t="n">
        <v>2</v>
      </c>
      <c r="P248" s="8" t="n">
        <v>1</v>
      </c>
      <c r="Q248" s="8" t="n">
        <v>0</v>
      </c>
      <c r="R248" s="8" t="inlineStr">
        <is>
          <t>B2 (plays #11-#15); Lineup changed note play #11. H: B 1B (play #13). BB: B Barrett (play #12). K: C Messier K_S (play #14), W Shepperd K_L (play #15). R_Allowed=1: B Barrett scores on error by catcher B Harris embedded play #14 (CNTN Error #1) — run on error.</t>
        </is>
      </c>
    </row>
    <row r="249" ht="15.75" customHeight="1" s="35">
      <c r="A249" s="8" t="inlineStr">
        <is>
          <t>2026-03-14_CNTN_at_WSTM</t>
        </is>
      </c>
      <c r="B249" s="2" t="n">
        <v>46095</v>
      </c>
      <c r="C249" s="8" t="inlineStr">
        <is>
          <t>Westminster Varsity Owls</t>
        </is>
      </c>
      <c r="D249" s="8" t="inlineStr">
        <is>
          <t>CNTN</t>
        </is>
      </c>
      <c r="E249" s="8" t="inlineStr">
        <is>
          <t>C Proescher</t>
        </is>
      </c>
      <c r="F249" s="8" t="n">
        <v>3</v>
      </c>
      <c r="G249" s="8" t="n">
        <v>8</v>
      </c>
      <c r="H249" s="8" t="n">
        <v>2</v>
      </c>
      <c r="I249" s="8" t="n">
        <v>1</v>
      </c>
      <c r="J249" s="8" t="n">
        <v>1</v>
      </c>
      <c r="K249" s="8" t="n">
        <v>0</v>
      </c>
      <c r="L249" s="8" t="n">
        <v>0</v>
      </c>
      <c r="M249" s="8" t="n">
        <v>2</v>
      </c>
      <c r="N249" s="8" t="n">
        <v>0</v>
      </c>
      <c r="O249" s="8" t="n">
        <v>2</v>
      </c>
      <c r="P249" s="8" t="n">
        <v>3</v>
      </c>
      <c r="Q249" s="8" t="n">
        <v>1</v>
      </c>
      <c r="R249" s="8" t="inlineStr">
        <is>
          <t>B3 (plays #20-#27); Lineup changed note play #20. H: R Winebrunner 2B (play #20), B Barrett 1B (play #25). BB: M Stonesifer (play #24), B (play #26). K: C Stultz K_L (play #21), J Cedeno K_S (play #22). WP: play #27 embedded (M Stonesifer scores). R_Allowed=3: R Winebrunner scores on balk play #21 (balk not in schema, noted here — CNTN Error #2 same play embedded); Paul scores on B Barrett 1B play #25; M Stonesifer scores on WP play #27.</t>
        </is>
      </c>
    </row>
    <row r="250" ht="15.75" customHeight="1" s="35">
      <c r="A250" s="8" t="inlineStr">
        <is>
          <t>2026-03-14_CNTN_at_WSTM</t>
        </is>
      </c>
      <c r="B250" s="2" t="n">
        <v>46095</v>
      </c>
      <c r="C250" s="8" t="inlineStr">
        <is>
          <t>Westminster Varsity Owls</t>
        </is>
      </c>
      <c r="D250" s="8" t="inlineStr">
        <is>
          <t>CNTN</t>
        </is>
      </c>
      <c r="E250" s="8" t="inlineStr">
        <is>
          <t>A Barrett</t>
        </is>
      </c>
      <c r="F250" s="8" t="n">
        <v>3</v>
      </c>
      <c r="G250" s="8" t="n">
        <v>4</v>
      </c>
      <c r="H250" s="8" t="n">
        <v>0</v>
      </c>
      <c r="I250" s="8" t="n">
        <v>0</v>
      </c>
      <c r="J250" s="8" t="n">
        <v>0</v>
      </c>
      <c r="K250" s="8" t="n">
        <v>0</v>
      </c>
      <c r="L250" s="8" t="n">
        <v>0</v>
      </c>
      <c r="M250" s="8" t="n">
        <v>2</v>
      </c>
      <c r="N250" s="8" t="n">
        <v>0</v>
      </c>
      <c r="O250" s="8" t="n">
        <v>2</v>
      </c>
      <c r="P250" s="8" t="n">
        <v>1</v>
      </c>
      <c r="Q250" s="8" t="n">
        <v>1</v>
      </c>
      <c r="R250" s="8" t="inlineStr">
        <is>
          <t>B4 (plays #32-#35); Lineup changed note play #32. BB: W Shepperd (play #32), C Stultz (play #34). K: R Winebrunner K_L (play #33), J Cedeno K_S (play #35). WP: play #35 embedded (C Stultz scores). R_Allowed=1: C Stultz scores on WP embedded play #35. Runner Out: J Stone picked off at 3rd (out #2 in inning, embedded play #35 Sec4 — pitcher A Barrett to 3B A Lee). CNTN Error #4 by A Barrett embedded play #35.</t>
        </is>
      </c>
    </row>
    <row r="251" ht="15.75" customHeight="1" s="35">
      <c r="A251" s="8" t="inlineStr">
        <is>
          <t>2026-03-14_CNTN_at_WSTM</t>
        </is>
      </c>
      <c r="B251" s="2" t="n">
        <v>46095</v>
      </c>
      <c r="C251" s="8" t="inlineStr">
        <is>
          <t>Westminster Varsity Owls</t>
        </is>
      </c>
      <c r="D251" s="8" t="inlineStr">
        <is>
          <t>CNTN</t>
        </is>
      </c>
      <c r="E251" s="8" t="inlineStr">
        <is>
          <t>E Rayne</t>
        </is>
      </c>
      <c r="F251" s="8" t="n">
        <v>3</v>
      </c>
      <c r="G251" s="8" t="n">
        <v>4</v>
      </c>
      <c r="H251" s="8" t="n">
        <v>0</v>
      </c>
      <c r="I251" s="8" t="n">
        <v>0</v>
      </c>
      <c r="J251" s="8" t="n">
        <v>0</v>
      </c>
      <c r="K251" s="8" t="n">
        <v>0</v>
      </c>
      <c r="L251" s="8" t="n">
        <v>0</v>
      </c>
      <c r="M251" s="8" t="n">
        <v>1</v>
      </c>
      <c r="N251" s="8" t="n">
        <v>0</v>
      </c>
      <c r="O251" s="8" t="n">
        <v>1</v>
      </c>
      <c r="P251" s="8" t="n">
        <v>0</v>
      </c>
      <c r="Q251" s="8" t="n">
        <v>0</v>
      </c>
      <c r="R251" s="8" t="inlineStr">
        <is>
          <t>B5 (plays #39-#42); Lineup changed note play #39. BB: B Barrett (play #41). K: B K_L (play #42). R_Allowed=0.</t>
        </is>
      </c>
    </row>
    <row r="252" ht="15.75" customHeight="1" s="35">
      <c r="A252" s="8" t="inlineStr">
        <is>
          <t>2026-03-14_CNTN_at_WSTM</t>
        </is>
      </c>
      <c r="B252" s="2" t="n">
        <v>46095</v>
      </c>
      <c r="C252" s="8" t="inlineStr">
        <is>
          <t>Westminster Varsity Owls</t>
        </is>
      </c>
      <c r="D252" s="8" t="inlineStr">
        <is>
          <t>CNTN</t>
        </is>
      </c>
      <c r="E252" s="8" t="inlineStr">
        <is>
          <t>B Johnston</t>
        </is>
      </c>
      <c r="F252" s="8" t="n">
        <v>3</v>
      </c>
      <c r="G252" s="8" t="n">
        <v>4</v>
      </c>
      <c r="H252" s="8" t="n">
        <v>1</v>
      </c>
      <c r="I252" s="8" t="n">
        <v>1</v>
      </c>
      <c r="J252" s="8" t="n">
        <v>0</v>
      </c>
      <c r="K252" s="8" t="n">
        <v>0</v>
      </c>
      <c r="L252" s="8" t="n">
        <v>0</v>
      </c>
      <c r="M252" s="8" t="n">
        <v>0</v>
      </c>
      <c r="N252" s="8" t="n">
        <v>0</v>
      </c>
      <c r="O252" s="8" t="n">
        <v>2</v>
      </c>
      <c r="P252" s="8" t="n">
        <v>0</v>
      </c>
      <c r="Q252" s="8" t="n">
        <v>0</v>
      </c>
      <c r="R252" s="8" t="inlineStr">
        <is>
          <t>B6 (plays #47-#50); Lineup changed note play #47. H: C Messier 1B (play #47). K: W Shepperd K_L (play #48), C Stultz K_S (play #50). C Messier steals 2nd embedded play #50 Sec4 (during C Stultz K AB). R_Allowed=0.</t>
        </is>
      </c>
    </row>
    <row r="253" ht="15.75" customHeight="1" s="35">
      <c r="A253" s="8" t="inlineStr">
        <is>
          <t>2026-03-14_CNTN_at_WSTM</t>
        </is>
      </c>
      <c r="B253" s="2" t="n">
        <v>46095</v>
      </c>
      <c r="C253" s="8" t="inlineStr">
        <is>
          <t>Centennial Varsity Eagles</t>
        </is>
      </c>
      <c r="D253" s="8" t="inlineStr">
        <is>
          <t>WSTM</t>
        </is>
      </c>
      <c r="E253" s="8" t="inlineStr">
        <is>
          <t>B Barrett</t>
        </is>
      </c>
      <c r="F253" s="8" t="n">
        <v>9</v>
      </c>
      <c r="G253" s="8" t="n">
        <v>11</v>
      </c>
      <c r="H253" s="8" t="n">
        <v>1</v>
      </c>
      <c r="I253" s="8" t="n">
        <v>1</v>
      </c>
      <c r="J253" s="8" t="n">
        <v>0</v>
      </c>
      <c r="K253" s="8" t="n">
        <v>0</v>
      </c>
      <c r="L253" s="8" t="n">
        <v>0</v>
      </c>
      <c r="M253" s="8" t="n">
        <v>1</v>
      </c>
      <c r="N253" s="8" t="n">
        <v>0</v>
      </c>
      <c r="O253" s="8" t="n">
        <v>3</v>
      </c>
      <c r="P253" s="8" t="n">
        <v>0</v>
      </c>
      <c r="Q253" s="8" t="n">
        <v>0</v>
      </c>
      <c r="R253" s="8" t="inlineStr">
        <is>
          <t>T1-T3; Lineup changed note play #1. T1 BF=4 (A Gauthier K_S, E Rayne GO, C Bade 1B, A Banks PO), Outs=3, H=1, K=1. T2 BF=3 (B Harris GO, C Stachera PO, L Choe GO), Outs=3. T3 BF=4 (C Proescher K_L, B Johnston K_L, A Gauthier BB, E Rayne GO), Outs=3, K=2, BB=1. R_Allowed=0. B Barrett also bats for WSTM.</t>
        </is>
      </c>
    </row>
    <row r="254" ht="15.75" customHeight="1" s="35">
      <c r="A254" s="8" t="inlineStr">
        <is>
          <t>2026-03-14_CNTN_at_WSTM</t>
        </is>
      </c>
      <c r="B254" s="2" t="n">
        <v>46095</v>
      </c>
      <c r="C254" s="8" t="inlineStr">
        <is>
          <t>Centennial Varsity Eagles</t>
        </is>
      </c>
      <c r="D254" s="8" t="inlineStr">
        <is>
          <t>WSTM</t>
        </is>
      </c>
      <c r="E254" s="8" t="inlineStr">
        <is>
          <t>L Rohde</t>
        </is>
      </c>
      <c r="F254" s="8" t="n">
        <v>6</v>
      </c>
      <c r="G254" s="8" t="n">
        <v>7</v>
      </c>
      <c r="H254" s="8" t="n">
        <v>0</v>
      </c>
      <c r="I254" s="8" t="n">
        <v>0</v>
      </c>
      <c r="J254" s="8" t="n">
        <v>0</v>
      </c>
      <c r="K254" s="8" t="n">
        <v>0</v>
      </c>
      <c r="L254" s="8" t="n">
        <v>0</v>
      </c>
      <c r="M254" s="8" t="n">
        <v>1</v>
      </c>
      <c r="N254" s="8" t="n">
        <v>0</v>
      </c>
      <c r="O254" s="8" t="n">
        <v>1</v>
      </c>
      <c r="P254" s="8" t="n">
        <v>1</v>
      </c>
      <c r="Q254" s="8" t="n">
        <v>0</v>
      </c>
      <c r="R254" s="8" t="inlineStr">
        <is>
          <t>T4-T5; Lineup changed note play #28. T4 BF=4 (C Bade BB, A Banks PO, B Harris GO, C Stachera K_S), Outs=3, BB=1, K=1, R_Allowed=1 (C Bade scores on PB during C Stachera K AB play #31 — PB not in schema, noted here). T5 BF=3 (L Choe GO, C Proescher GO, B Johnston GO), Outs=3. R_Allowed=1 total.</t>
        </is>
      </c>
    </row>
    <row r="255" ht="15.75" customHeight="1" s="35">
      <c r="A255" s="8" t="inlineStr">
        <is>
          <t>2026-03-14_CNTN_at_WSTM</t>
        </is>
      </c>
      <c r="B255" s="2" t="n">
        <v>46095</v>
      </c>
      <c r="C255" s="8" t="inlineStr">
        <is>
          <t>Centennial Varsity Eagles</t>
        </is>
      </c>
      <c r="D255" s="8" t="inlineStr">
        <is>
          <t>WSTM</t>
        </is>
      </c>
      <c r="E255" s="8" t="inlineStr">
        <is>
          <t>W Shepperd</t>
        </is>
      </c>
      <c r="F255" s="8" t="n">
        <v>3</v>
      </c>
      <c r="G255" s="8" t="n">
        <v>4</v>
      </c>
      <c r="H255" s="8" t="n">
        <v>1</v>
      </c>
      <c r="I255" s="8" t="n">
        <v>1</v>
      </c>
      <c r="J255" s="8" t="n">
        <v>0</v>
      </c>
      <c r="K255" s="8" t="n">
        <v>0</v>
      </c>
      <c r="L255" s="8" t="n">
        <v>0</v>
      </c>
      <c r="M255" s="8" t="n">
        <v>0</v>
      </c>
      <c r="N255" s="8" t="n">
        <v>0</v>
      </c>
      <c r="O255" s="8" t="n">
        <v>2</v>
      </c>
      <c r="P255" s="8" t="n">
        <v>0</v>
      </c>
      <c r="Q255" s="8" t="n">
        <v>0</v>
      </c>
      <c r="R255" s="8" t="inlineStr">
        <is>
          <t>T6 (plays #43-#46); entry inferred from play descriptions (Flag #2) — no Lineup changed note. H: B Corrao 1B (play #43, mid-AB sub for A Gauthier — PA credited to B Corrao). K: A Barrett K_S (play #45), A Lee K_S (play #46). B Corrao steals 3rd embedded play #46 Sec4. R_Allowed=0. W Shepperd also bats for WSTM.</t>
        </is>
      </c>
    </row>
    <row r="256" ht="15.75" customHeight="1" s="35">
      <c r="A256" s="8" t="inlineStr">
        <is>
          <t>2026-03-14_CNTN_at_WSTM</t>
        </is>
      </c>
      <c r="B256" s="2" t="n">
        <v>46095</v>
      </c>
      <c r="C256" s="8" t="inlineStr">
        <is>
          <t>Centennial Varsity Eagles</t>
        </is>
      </c>
      <c r="D256" s="8" t="inlineStr">
        <is>
          <t>WSTM</t>
        </is>
      </c>
      <c r="E256" s="8" t="inlineStr">
        <is>
          <t>O Brilhart</t>
        </is>
      </c>
      <c r="F256" s="8" t="n">
        <v>3</v>
      </c>
      <c r="G256" s="8" t="n">
        <v>3</v>
      </c>
      <c r="H256" s="8" t="n">
        <v>0</v>
      </c>
      <c r="I256" s="8" t="n">
        <v>0</v>
      </c>
      <c r="J256" s="8" t="n">
        <v>0</v>
      </c>
      <c r="K256" s="8" t="n">
        <v>0</v>
      </c>
      <c r="L256" s="8" t="n">
        <v>0</v>
      </c>
      <c r="M256" s="8" t="n">
        <v>0</v>
      </c>
      <c r="N256" s="8" t="n">
        <v>0</v>
      </c>
      <c r="O256" s="8" t="n">
        <v>2</v>
      </c>
      <c r="P256" s="8" t="n">
        <v>0</v>
      </c>
      <c r="Q256" s="8" t="n">
        <v>0</v>
      </c>
      <c r="R256" s="8" t="inlineStr">
        <is>
          <t>T7 (plays #51-#53); Lineup changed note play #51. K: E Ogg K_S (play #51), W Sisolak K_L (play #53). LO: L Rivkin (play #52). R_Allowed=0.</t>
        </is>
      </c>
    </row>
    <row r="257" ht="15.75" customHeight="1" s="35">
      <c r="A257" s="8" t="inlineStr">
        <is>
          <t>2026-03-21_CNTN_at_WLDL</t>
        </is>
      </c>
      <c r="B257" s="2" t="n">
        <v>46102</v>
      </c>
      <c r="C257" s="8" t="inlineStr">
        <is>
          <t>Wilde Lake Varsity Cats</t>
        </is>
      </c>
      <c r="D257" s="8" t="inlineStr">
        <is>
          <t>CNTN</t>
        </is>
      </c>
      <c r="E257" s="8" t="inlineStr">
        <is>
          <t>C Stachera</t>
        </is>
      </c>
      <c r="F257" s="8" t="n">
        <v>12</v>
      </c>
      <c r="G257" s="8" t="n">
        <v>13</v>
      </c>
      <c r="H257" s="8" t="n">
        <v>0</v>
      </c>
      <c r="I257" s="8" t="n">
        <v>0</v>
      </c>
      <c r="J257" s="8" t="n">
        <v>0</v>
      </c>
      <c r="K257" s="8" t="n">
        <v>0</v>
      </c>
      <c r="L257" s="8" t="n">
        <v>0</v>
      </c>
      <c r="M257" s="8" t="n">
        <v>1</v>
      </c>
      <c r="N257" s="8" t="n">
        <v>0</v>
      </c>
      <c r="O257" s="8" t="n">
        <v>10</v>
      </c>
      <c r="P257" s="8" t="n">
        <v>0</v>
      </c>
      <c r="Q257" s="8" t="n">
        <v>0</v>
      </c>
      <c r="R257" s="8" t="inlineStr">
        <is>
          <t>B1-B4; entry play #7 (Lineup changed note). B1 BF=4 (T Sommer K_L, D Coleman BB, N Dalesio K_L, J Bunnell K_S foul tip), Outs=3, K=3, BB=1. B2 BF=3 (W Switzer K_S, R Schmidt GO, D Linares K_S), Outs=3, K=2. B3 BF=3 (B Habershon K_L, A Lindsay K_L, T Sommer GO), Outs=3, K=2; duplicate Lineup changed entry play #25 (Flag #4). B4 BF=3 (D Coleman K_L, N Dalesio K_S dropped 3rd, J Bunnell K_L), Outs=3, K=3. R_Allowed=0. PB B1 play #10 embedded (D Coleman 1st→2nd during J Bunnell foul-tip K AB) — PB not in schema, noted here. E Ogg PR for C Stachera T3 play #24 — C Stachera continues pitching (Flag #6). Also bats for CNTN.</t>
        </is>
      </c>
    </row>
    <row r="258" ht="15.75" customHeight="1" s="35">
      <c r="A258" s="8" t="inlineStr">
        <is>
          <t>2026-03-21_CNTN_at_WLDL</t>
        </is>
      </c>
      <c r="B258" s="2" t="n">
        <v>46102</v>
      </c>
      <c r="C258" s="8" t="inlineStr">
        <is>
          <t>Wilde Lake Varsity Cats</t>
        </is>
      </c>
      <c r="D258" s="8" t="inlineStr">
        <is>
          <t>CNTN</t>
        </is>
      </c>
      <c r="E258" s="8" t="inlineStr">
        <is>
          <t>E Rayne</t>
        </is>
      </c>
      <c r="F258" s="8" t="n">
        <v>3</v>
      </c>
      <c r="G258" s="8" t="n">
        <v>3</v>
      </c>
      <c r="H258" s="8" t="n">
        <v>0</v>
      </c>
      <c r="I258" s="8" t="n">
        <v>0</v>
      </c>
      <c r="J258" s="8" t="n">
        <v>0</v>
      </c>
      <c r="K258" s="8" t="n">
        <v>0</v>
      </c>
      <c r="L258" s="8" t="n">
        <v>0</v>
      </c>
      <c r="M258" s="8" t="n">
        <v>0</v>
      </c>
      <c r="N258" s="8" t="n">
        <v>0</v>
      </c>
      <c r="O258" s="8" t="n">
        <v>3</v>
      </c>
      <c r="P258" s="8" t="n">
        <v>0</v>
      </c>
      <c r="Q258" s="8" t="n">
        <v>0</v>
      </c>
      <c r="R258" s="8" t="inlineStr">
        <is>
          <t>B5; entry inferred from play descriptions (Flag #3) — no Lineup changed note. BF=3 (W Switzer K_S, R Schmidt K_S, D Linares K_S). 3 K, 0 BB, 0 H, R_Allowed=0. Also bats for CNTN.</t>
        </is>
      </c>
    </row>
    <row r="259" ht="15.75" customHeight="1" s="35">
      <c r="A259" s="8" t="inlineStr">
        <is>
          <t>2026-03-21_CNTN_at_WLDL</t>
        </is>
      </c>
      <c r="B259" s="2" t="n">
        <v>46102</v>
      </c>
      <c r="C259" s="8" t="inlineStr">
        <is>
          <t>Centennial Varsity Eagles</t>
        </is>
      </c>
      <c r="D259" s="8" t="inlineStr">
        <is>
          <t>WLDL</t>
        </is>
      </c>
      <c r="E259" s="8" t="inlineStr">
        <is>
          <t>T Sommer</t>
        </is>
      </c>
      <c r="F259" s="8" t="n">
        <v>8</v>
      </c>
      <c r="G259" s="8" t="n">
        <v>15</v>
      </c>
      <c r="H259" s="8" t="n">
        <v>3</v>
      </c>
      <c r="I259" s="8" t="n">
        <v>3</v>
      </c>
      <c r="J259" s="8" t="n">
        <v>0</v>
      </c>
      <c r="K259" s="8" t="n">
        <v>0</v>
      </c>
      <c r="L259" s="8" t="n">
        <v>0</v>
      </c>
      <c r="M259" s="8" t="n">
        <v>0</v>
      </c>
      <c r="N259" s="8" t="n">
        <v>2</v>
      </c>
      <c r="O259" s="8" t="n">
        <v>2</v>
      </c>
      <c r="P259" s="8" t="n">
        <v>4</v>
      </c>
      <c r="Q259" s="8" t="n">
        <v>1</v>
      </c>
      <c r="R259" s="8" t="inlineStr">
        <is>
          <t>T1-T3 plays #1-#22; entry play #1 (Lineup changed note). T1 BF=6 (A Gauthier HBP, E Rayne FO, C Bade FC, A Banks K_S dropped 3rd/WP, B Harris Error-ROE, B Corrao GO), Outs=3, HBP=1, K=1, WP=1, R=2. T2 BF=7 (C Stachera 1B, L Choe PO, E Ortiz K_S, A Gauthier HBP, E Rayne 1B, C Bade 1B, A Banks PO), Outs=3, H=3, HBP=1, K=1, R=2. T3 plays #21-#22: BF=2 (B Harris K_L, B Corrao PO), Outs=2; pitcher for play #22 ambiguous (Flag #1) — attributed to T Sommer as last named pitcher. WP: play #4 T1 (dropped 3rd/WP mechanism — A Banks reaches, C Bade scores). PB: play #17 T2 (E Rayne to 3rd, C Bade to 2nd during A Banks PO AB) — PB not in schema, noted here. Also bats for WLDL.</t>
        </is>
      </c>
    </row>
    <row r="260" ht="15.75" customHeight="1" s="35">
      <c r="A260" s="8" t="inlineStr">
        <is>
          <t>2026-03-21_CNTN_at_WLDL</t>
        </is>
      </c>
      <c r="B260" s="2" t="n">
        <v>46102</v>
      </c>
      <c r="C260" s="8" t="inlineStr">
        <is>
          <t>Centennial Varsity Eagles</t>
        </is>
      </c>
      <c r="D260" s="8" t="inlineStr">
        <is>
          <t>WLDL</t>
        </is>
      </c>
      <c r="E260" s="8" t="inlineStr">
        <is>
          <t>R Schmidt</t>
        </is>
      </c>
      <c r="F260" s="8" t="n">
        <v>6</v>
      </c>
      <c r="G260" s="8" t="n">
        <v>14</v>
      </c>
      <c r="H260" s="8" t="n">
        <v>6</v>
      </c>
      <c r="I260" s="8" t="n">
        <v>4</v>
      </c>
      <c r="J260" s="8" t="n">
        <v>2</v>
      </c>
      <c r="K260" s="8" t="n">
        <v>0</v>
      </c>
      <c r="L260" s="8" t="n">
        <v>0</v>
      </c>
      <c r="M260" s="8" t="n">
        <v>0</v>
      </c>
      <c r="N260" s="8" t="n">
        <v>1</v>
      </c>
      <c r="O260" s="8" t="n">
        <v>1</v>
      </c>
      <c r="P260" s="8" t="n">
        <v>6</v>
      </c>
      <c r="Q260" s="8" t="n">
        <v>2</v>
      </c>
      <c r="R260" s="8" t="inlineStr">
        <is>
          <t>T3 plays #23-#24 + T4 plays #28-#33 + T5 plays #37-#42; entry inferred play #23 (Flag #1). T3 BF=2 (C Stachera HBP, L Choe K_L), Outs=1, HBP=1, K=1, R=0. T4 BF=6 (E Ortiz Error-ROE, A Gauthier 2B, E Rayne 2B, C Bade PO, A Banks GO, B Harris LO), Outs=3, H=2 (2B×2), WP=2, R=3. T5 plays #37-#42 BF=6 (B Corrao 1B, C Stachera 1B, L Choe GO, E Ortiz 1B, A Gauthier 1B, E Rayne GO), Outs=2, H=4, R=3. T4 pitcher attribution inferred — no WLDL pitcher named in any T4 play (Flags #1, #2). T5 plays #37-#42 attributed to R Schmidt as last named pitcher before B Habershon enters play #43 (Flag #2). WP×2: both during A Gauthier AB T4 (play #29 Sec4: E Ortiz 1st→2nd, 2nd→3rd). Also bats for WLDL.</t>
        </is>
      </c>
    </row>
    <row r="261" ht="15.75" customHeight="1" s="35">
      <c r="A261" s="8" t="inlineStr">
        <is>
          <t>2026-03-21_CNTN_at_WLDL</t>
        </is>
      </c>
      <c r="B261" s="2" t="n">
        <v>46102</v>
      </c>
      <c r="C261" s="8" t="inlineStr">
        <is>
          <t>Centennial Varsity Eagles</t>
        </is>
      </c>
      <c r="D261" s="8" t="inlineStr">
        <is>
          <t>WLDL</t>
        </is>
      </c>
      <c r="E261" s="8" t="inlineStr">
        <is>
          <t>B Habershon</t>
        </is>
      </c>
      <c r="F261" s="8" t="n">
        <v>1</v>
      </c>
      <c r="G261" s="8" t="n">
        <v>2</v>
      </c>
      <c r="H261" s="8" t="n">
        <v>0</v>
      </c>
      <c r="I261" s="8" t="n">
        <v>0</v>
      </c>
      <c r="J261" s="8" t="n">
        <v>0</v>
      </c>
      <c r="K261" s="8" t="n">
        <v>0</v>
      </c>
      <c r="L261" s="8" t="n">
        <v>0</v>
      </c>
      <c r="M261" s="8" t="n">
        <v>1</v>
      </c>
      <c r="N261" s="8" t="n">
        <v>0</v>
      </c>
      <c r="O261" s="8" t="n">
        <v>0</v>
      </c>
      <c r="P261" s="8" t="n">
        <v>0</v>
      </c>
      <c r="Q261" s="8" t="n">
        <v>0</v>
      </c>
      <c r="R261" s="8" t="inlineStr">
        <is>
          <t>T5 plays #43-#44; entry inferred from play description play #43 (Flag #2) — no Lineup changed note. BF=2 (C Bade BB, A Banks FO), Outs=1, BB=1, R=0. C Bade and A Gauthier stranded. Also bats for WLDL (B3) and committed WLDL Error #3 play #38 embedded (T5).</t>
        </is>
      </c>
    </row>
    <row r="262" ht="15.75" customHeight="1" s="35">
      <c r="A262" s="8" t="inlineStr">
        <is>
          <t>2026-03-23_HMMN_at_CNTN</t>
        </is>
      </c>
      <c r="B262" s="2" t="n">
        <v>46104</v>
      </c>
      <c r="C262" s="8" t="inlineStr">
        <is>
          <t>Hammond Varsity Bears</t>
        </is>
      </c>
      <c r="D262" s="8" t="inlineStr">
        <is>
          <t>CNTN</t>
        </is>
      </c>
      <c r="E262" s="8" t="inlineStr">
        <is>
          <t>A Lee</t>
        </is>
      </c>
      <c r="F262" s="8" t="n">
        <v>12</v>
      </c>
      <c r="G262" s="8" t="n">
        <v>16</v>
      </c>
      <c r="H262" s="8" t="n">
        <v>2</v>
      </c>
      <c r="I262" s="8" t="n">
        <v>2</v>
      </c>
      <c r="J262" s="8" t="n">
        <v>0</v>
      </c>
      <c r="K262" s="8" t="n">
        <v>0</v>
      </c>
      <c r="L262" s="8" t="n">
        <v>0</v>
      </c>
      <c r="M262" s="8" t="n">
        <v>3</v>
      </c>
      <c r="N262" s="8" t="n">
        <v>0</v>
      </c>
      <c r="O262" s="8" t="n">
        <v>5</v>
      </c>
      <c r="P262" s="8" t="n">
        <v>0</v>
      </c>
      <c r="Q262" s="8" t="n">
        <v>1</v>
      </c>
      <c r="R262" s="8" t="inlineStr">
        <is>
          <t>T1-T4; entry play #1 (Lineup changed note). T1: BF=3, Outs=3 (Y Rivera GO, J Willis BB+CS embedded, P Yarnell K_L). CS credited to J Willis; out #2 = CS, out #3 = P Yarnell K. WP T2 play #14 (C Stryker advances 2nd→3rd during G Garris Walk AB). T2: BF=6, Outs=3, H=1 (C Stryker 1B), BB=2 (D Bhatt, G Garris), K=2 (L Tordella, G Draminski). T3: BF=3, Outs=3, K=1 (Y Rivera K_S). T4: BF=4, Outs=3, H=1 (G Draminski 1B), K=1 (L Tordella K_S). R_Allowed=0 all 4 innings. Also: C Stachera bats as CNTN player (pitching role separate).</t>
        </is>
      </c>
    </row>
    <row r="263" ht="15.75" customHeight="1" s="35">
      <c r="A263" s="8" t="inlineStr">
        <is>
          <t>2026-03-23_HMMN_at_CNTN</t>
        </is>
      </c>
      <c r="B263" s="2" t="n">
        <v>46104</v>
      </c>
      <c r="C263" s="8" t="inlineStr">
        <is>
          <t>Hammond Varsity Bears</t>
        </is>
      </c>
      <c r="D263" s="8" t="inlineStr">
        <is>
          <t>CNTN</t>
        </is>
      </c>
      <c r="E263" s="8" t="inlineStr">
        <is>
          <t>C Proescher</t>
        </is>
      </c>
      <c r="F263" s="8" t="n">
        <v>9</v>
      </c>
      <c r="G263" s="8" t="n">
        <v>12</v>
      </c>
      <c r="H263" s="8" t="n">
        <v>2</v>
      </c>
      <c r="I263" s="8" t="n">
        <v>2</v>
      </c>
      <c r="J263" s="8" t="n">
        <v>0</v>
      </c>
      <c r="K263" s="8" t="n">
        <v>0</v>
      </c>
      <c r="L263" s="8" t="n">
        <v>0</v>
      </c>
      <c r="M263" s="8" t="n">
        <v>0</v>
      </c>
      <c r="N263" s="8" t="n">
        <v>0</v>
      </c>
      <c r="O263" s="8" t="n">
        <v>6</v>
      </c>
      <c r="P263" s="8" t="n">
        <v>1</v>
      </c>
      <c r="Q263" s="8" t="n">
        <v>1</v>
      </c>
      <c r="R263" s="8" t="inlineStr">
        <is>
          <t>T5-T7; entry play #36 (Lineup changed note). T5: BF=5, Outs=3, H=2 (Y Rivera 1B, J Willis 1B), K=1 (G Garris K_S), WP=1 (play #40: J Willis advances 2nd during P Yarnell AB), R_Allowed=1 (Y Rivera scores on CNTN Error #2 by CF C Bade during J Willis AB — error run still charged to active pitcher). T6: BF=3, Outs=3, K=2 (C Stryker K_S, L Tordella K_L; G Draminski FO inferred at play #56). T7: BF=4, Outs=3, K=3 (T Thomas K_S dropped 3rd reaches via PB; L Duckworth K_L; K Gardner K_S). PB play #63 T Thomas — not WP (noted here; PB not in schema). Total R_Allowed=1.</t>
        </is>
      </c>
    </row>
    <row r="264" ht="15.75" customHeight="1" s="35">
      <c r="A264" s="8" t="inlineStr">
        <is>
          <t>2026-03-23_HMMN_at_CNTN</t>
        </is>
      </c>
      <c r="B264" s="2" t="n">
        <v>46104</v>
      </c>
      <c r="C264" s="8" t="inlineStr">
        <is>
          <t>Centennial Varsity Eagles</t>
        </is>
      </c>
      <c r="D264" s="8" t="inlineStr">
        <is>
          <t>HMMN</t>
        </is>
      </c>
      <c r="E264" s="8" t="inlineStr">
        <is>
          <t>D Bhatt</t>
        </is>
      </c>
      <c r="F264" s="8" t="n">
        <v>13</v>
      </c>
      <c r="G264" s="8" t="n">
        <v>23</v>
      </c>
      <c r="H264" s="8" t="n">
        <v>7</v>
      </c>
      <c r="I264" s="8" t="n">
        <v>4</v>
      </c>
      <c r="J264" s="8" t="n">
        <v>3</v>
      </c>
      <c r="K264" s="8" t="n">
        <v>0</v>
      </c>
      <c r="L264" s="8" t="n">
        <v>0</v>
      </c>
      <c r="M264" s="8" t="n">
        <v>3</v>
      </c>
      <c r="N264" s="8" t="n">
        <v>1</v>
      </c>
      <c r="O264" s="8" t="n">
        <v>1</v>
      </c>
      <c r="P264" s="8" t="n">
        <v>2</v>
      </c>
      <c r="Q264" s="8" t="n">
        <v>0</v>
      </c>
      <c r="R264" s="8" t="inlineStr">
        <is>
          <t>B1-B5 play #44; entry inferred (Flag #1). B1: BF=6, Outs=3, H=2 (A Gauthier 1B, E Rayne 2B), BB=1 (A Banks), K=1 (B Harris K_S), R=1 (A Gauthier scores on E Rayne 2B play #5). B2: BF=5, Outs=3 (L Choe SAC + E Rayne DP 2 outs), H=1 (D Hill 1B), BB=1 (C Stachera), HBP=1 (A Gauthier), R=0. E Rayne DP: flyball to RF G Garris + C Stachera out at home on tag-up = 2 outs credited. B3: BF=5, Outs=3 (C Bade PO, runner A Banks out on FC, C Stachera GO), H=2 (A Banks 1B, B Corrao 2B), R=0. B4: BF=3, Outs=3, H=0, R=0. B5 play #44: BF=1, Outs=0, BB=1 (B Harris), R=1 (E Rayne scores on A Banks 1B play #43 — D Bhatt was active pitcher through play #44). Total R_Allowed=2. Also bats for HMMN.</t>
        </is>
      </c>
    </row>
    <row r="265" ht="15.75" customHeight="1" s="35">
      <c r="A265" s="8" t="inlineStr">
        <is>
          <t>2026-03-23_HMMN_at_CNTN</t>
        </is>
      </c>
      <c r="B265" s="2" t="n">
        <v>46104</v>
      </c>
      <c r="C265" s="8" t="inlineStr">
        <is>
          <t>Centennial Varsity Eagles</t>
        </is>
      </c>
      <c r="D265" s="8" t="inlineStr">
        <is>
          <t>HMMN</t>
        </is>
      </c>
      <c r="E265" s="8" t="inlineStr">
        <is>
          <t>B Garris</t>
        </is>
      </c>
      <c r="F265" s="8" t="n">
        <v>0</v>
      </c>
      <c r="G265" s="8" t="n">
        <v>5</v>
      </c>
      <c r="H265" s="8" t="n">
        <v>2</v>
      </c>
      <c r="I265" s="8" t="n">
        <v>2</v>
      </c>
      <c r="J265" s="8" t="n">
        <v>0</v>
      </c>
      <c r="K265" s="8" t="n">
        <v>0</v>
      </c>
      <c r="L265" s="8" t="n">
        <v>0</v>
      </c>
      <c r="M265" s="8" t="n">
        <v>2</v>
      </c>
      <c r="N265" s="8" t="n">
        <v>1</v>
      </c>
      <c r="O265" s="8" t="n">
        <v>0</v>
      </c>
      <c r="P265" s="8" t="n">
        <v>5</v>
      </c>
      <c r="Q265" s="8" t="n">
        <v>0</v>
      </c>
      <c r="R265" s="8" t="inlineStr">
        <is>
          <t>B5 plays #45-#49; entry inferred (Flag #2) — no Lineup changed note; first named play #45. BF=5 (B Corrao BB, C Stachera HBP, D Hill 1B, L Choe BB, A Gauthier 1B), Outs=0. R_Allowed=5: A Banks forced home on C Stachera HBP (play #46); B Corrao + E Ogg/B Harris on D Hill 1B (play #47, 2R); D Hill + C Stachera on A Gauthier 1B (play #49, 2R). Replaced mid-AB by L Duckworth (play #50, documented). Also bats for HMMN.</t>
        </is>
      </c>
    </row>
    <row r="266" ht="15.75" customHeight="1" s="35">
      <c r="A266" s="8" t="inlineStr">
        <is>
          <t>2026-03-23_HMMN_at_CNTN</t>
        </is>
      </c>
      <c r="B266" s="2" t="n">
        <v>46104</v>
      </c>
      <c r="C266" s="8" t="inlineStr">
        <is>
          <t>Centennial Varsity Eagles</t>
        </is>
      </c>
      <c r="D266" s="8" t="inlineStr">
        <is>
          <t>HMMN</t>
        </is>
      </c>
      <c r="E266" s="8" t="inlineStr">
        <is>
          <t>L Duckworth</t>
        </is>
      </c>
      <c r="F266" s="8" t="n">
        <v>5</v>
      </c>
      <c r="G266" s="8" t="n">
        <v>9</v>
      </c>
      <c r="H266" s="8" t="n">
        <v>3</v>
      </c>
      <c r="I266" s="8" t="n">
        <v>1</v>
      </c>
      <c r="J266" s="8" t="n">
        <v>2</v>
      </c>
      <c r="K266" s="8" t="n">
        <v>0</v>
      </c>
      <c r="L266" s="8" t="n">
        <v>0</v>
      </c>
      <c r="M266" s="8" t="n">
        <v>0</v>
      </c>
      <c r="N266" s="8" t="n">
        <v>1</v>
      </c>
      <c r="O266" s="8" t="n">
        <v>3</v>
      </c>
      <c r="P266" s="8" t="n">
        <v>3</v>
      </c>
      <c r="Q266" s="8" t="n">
        <v>0</v>
      </c>
      <c r="R266" s="8" t="inlineStr">
        <is>
          <t>B5 from E Rayne mid-AB onward (play #50 documented: "Lineup changed: L Duckworth in for pitcher B Garris; all documented pitches credited to L Duckworth") + B6 plays #57-#61. B5: BF=4 (E Rayne 2B, C Bade HBP, A Banks K_L, B Harris K_S foul tip), Outs=2 (A Banks K, B Harris K), H=1 (E Rayne 2B), HBP=1, K=2, R=2 (L Choe + A Gauthier score on E Rayne 2B play #50). B6: BF=5 (B Corrao 2B, C Stachera PO, D Hill 1B, L Choe SAC Fly, A Gauthier K_S), Outs=3 (C Stachera PO, L Choe SAC Fly out, A Gauthier K), H=2 (B Corrao 2B, D Hill 1B), K=1, R=1 (B Corrao scores on L Choe SAC fly play #60). Total R_Allowed=3. Also bats T7 for HMMN.</t>
        </is>
      </c>
    </row>
    <row r="267" ht="15.75" customHeight="1" s="35">
      <c r="A267" s="8" t="inlineStr">
        <is>
          <t>2026-03-26_MRRT_at_CNTN</t>
        </is>
      </c>
      <c r="B267" s="2" t="n">
        <v>46107</v>
      </c>
      <c r="C267" s="8" t="inlineStr">
        <is>
          <t>Centennial Varsity Eagles</t>
        </is>
      </c>
      <c r="D267" s="8" t="inlineStr">
        <is>
          <t>MRRT</t>
        </is>
      </c>
      <c r="E267" s="8" t="inlineStr">
        <is>
          <t>T Smith</t>
        </is>
      </c>
      <c r="F267" s="8" t="n">
        <v>6</v>
      </c>
      <c r="G267" s="8" t="n">
        <v>12</v>
      </c>
      <c r="H267" s="8" t="n">
        <v>4</v>
      </c>
      <c r="I267" s="8" t="n">
        <v>3</v>
      </c>
      <c r="J267" s="8" t="n">
        <v>1</v>
      </c>
      <c r="K267" s="8" t="n">
        <v>0</v>
      </c>
      <c r="L267" s="8" t="n">
        <v>0</v>
      </c>
      <c r="M267" s="8" t="n">
        <v>3</v>
      </c>
      <c r="N267" s="8" t="n">
        <v>0</v>
      </c>
      <c r="O267" s="8" t="n">
        <v>1</v>
      </c>
      <c r="P267" s="8" t="n">
        <v>2</v>
      </c>
      <c r="Q267" s="8" t="n">
        <v>1</v>
      </c>
      <c r="R267" s="8" t="inlineStr">
        <is>
          <t>B1-B3 (partial, through C Bade walk play #23; J Ketterer enters mid-A Banks AB play #24). Entry inferred from play descriptions per Flag #1 — no Lineup changed note. WP B2: L Choe advances to 2nd on wild pitch during A Gauthier AB (play #18 embedded, Flag #3). Outs: A Gauthier LO(B1) + E Rayne runner out advancing(B1) + B Corrao PO(B1) + C Stachera K(B2) + D Hill PO(B2) + E Rayne PO(B2) = 6. BF: does not include A Banks (J Ketterer completes that AB per mid-AB rule).</t>
        </is>
      </c>
    </row>
    <row r="268" ht="15.75" customHeight="1" s="35">
      <c r="A268" s="8" t="inlineStr">
        <is>
          <t>2026-03-26_MRRT_at_CNTN</t>
        </is>
      </c>
      <c r="B268" s="2" t="n">
        <v>46107</v>
      </c>
      <c r="C268" s="8" t="inlineStr">
        <is>
          <t>Centennial Varsity Eagles</t>
        </is>
      </c>
      <c r="D268" s="8" t="inlineStr">
        <is>
          <t>MRRT</t>
        </is>
      </c>
      <c r="E268" s="8" t="inlineStr">
        <is>
          <t>J Ketterer</t>
        </is>
      </c>
      <c r="F268" s="8" t="n">
        <v>4</v>
      </c>
      <c r="G268" s="8" t="n">
        <v>7</v>
      </c>
      <c r="H268" s="8" t="n">
        <v>1</v>
      </c>
      <c r="I268" s="8" t="n">
        <v>0</v>
      </c>
      <c r="J268" s="8" t="n">
        <v>1</v>
      </c>
      <c r="K268" s="8" t="n">
        <v>0</v>
      </c>
      <c r="L268" s="8" t="n">
        <v>0</v>
      </c>
      <c r="M268" s="8" t="n">
        <v>0</v>
      </c>
      <c r="N268" s="8" t="n">
        <v>2</v>
      </c>
      <c r="O268" s="8" t="n">
        <v>1</v>
      </c>
      <c r="P268" s="8" t="n">
        <v>1</v>
      </c>
      <c r="Q268" s="8" t="n">
        <v>0</v>
      </c>
      <c r="R268" s="8" t="inlineStr">
        <is>
          <t>B3 from A Banks AB (play #24, mid-AB entry documented in pitch sequence) through B4 (through A Gauthier HBP play #36); B Balighian enters mid-E Rayne AB (play #37). Outs: A Banks PO(B3) + B Corrao FO(B3) + C Stachera LO(B3) + D Hill K_L(B4) = 4. HBP_Allowed: L Choe(B4 play #35) + A Gauthier(B4 play #36) = 2. H_Allowed: B Harris 2B (B3 play #25). R_Allowed: C Bade scores on B Harris 2B(B3 play #25).</t>
        </is>
      </c>
    </row>
    <row r="269" ht="15.75" customHeight="1" s="35">
      <c r="A269" s="8" t="inlineStr">
        <is>
          <t>2026-03-26_MRRT_at_CNTN</t>
        </is>
      </c>
      <c r="B269" s="2" t="n">
        <v>46107</v>
      </c>
      <c r="C269" s="8" t="inlineStr">
        <is>
          <t>Centennial Varsity Eagles</t>
        </is>
      </c>
      <c r="D269" s="8" t="inlineStr">
        <is>
          <t>MRRT</t>
        </is>
      </c>
      <c r="E269" s="8" t="inlineStr">
        <is>
          <t>B Balighian</t>
        </is>
      </c>
      <c r="F269" s="8" t="n">
        <v>9</v>
      </c>
      <c r="G269" s="8" t="n">
        <v>12</v>
      </c>
      <c r="H269" s="8" t="n">
        <v>2</v>
      </c>
      <c r="I269" s="8" t="n">
        <v>2</v>
      </c>
      <c r="J269" s="8" t="n">
        <v>0</v>
      </c>
      <c r="K269" s="8" t="n">
        <v>0</v>
      </c>
      <c r="L269" s="8" t="n">
        <v>0</v>
      </c>
      <c r="M269" s="8" t="n">
        <v>2</v>
      </c>
      <c r="N269" s="8" t="n">
        <v>1</v>
      </c>
      <c r="O269" s="8" t="n">
        <v>1</v>
      </c>
      <c r="P269" s="8" t="n">
        <v>0</v>
      </c>
      <c r="Q269" s="8" t="n">
        <v>0</v>
      </c>
      <c r="R269" s="8" t="inlineStr">
        <is>
          <t>B4 from E Rayne AB (mid-AB entry documented play #37 pitch sequence) through B6. Outs: E Rayne PO(B4) + A Banks LO(B4) + E Ogg runner out advancing(B5 DP) + B Corrao DP(B5) + D Hill GO(B5) + L Choe GO(B6) + E Rayne K_L(B6) + A Banks PO(B6) = 9. DP B5 play #45: 2 outs credited (E Ogg out advancing + B Corrao out at 1B). H_Allowed: B Harris 1B(B5 play #44) + A Gauthier 1B(B6 play #54). HBP_Allowed: C Bade(B6 play #56). BB_Allowed: C Bade(B4 play #38) + C Stachera(B5 play #46). R_Allowed=0. WP=0. Note: runner advancements L Choe to 3rd + A Gauthier to 2nd (play #38 embedded B4) — mechanism unstated (Flag #6).</t>
        </is>
      </c>
    </row>
    <row r="270" ht="15.75" customHeight="1" s="35">
      <c r="A270" s="8" t="inlineStr">
        <is>
          <t>2026-03-26_MRRT_at_CNTN</t>
        </is>
      </c>
      <c r="B270" s="2" t="n">
        <v>46107</v>
      </c>
      <c r="C270" s="8" t="inlineStr">
        <is>
          <t>Marriotts Ridge Varsity Mustangs</t>
        </is>
      </c>
      <c r="D270" s="8" t="inlineStr">
        <is>
          <t>CNTN</t>
        </is>
      </c>
      <c r="E270" s="8" t="inlineStr">
        <is>
          <t>E Rayne</t>
        </is>
      </c>
      <c r="F270" s="8" t="n">
        <v>15</v>
      </c>
      <c r="G270" s="8" t="n">
        <v>21</v>
      </c>
      <c r="H270" s="8" t="n">
        <v>2</v>
      </c>
      <c r="I270" s="8" t="n">
        <v>2</v>
      </c>
      <c r="J270" s="8" t="n">
        <v>0</v>
      </c>
      <c r="K270" s="8" t="n">
        <v>0</v>
      </c>
      <c r="L270" s="8" t="n">
        <v>0</v>
      </c>
      <c r="M270" s="8" t="n">
        <v>3</v>
      </c>
      <c r="N270" s="8" t="n">
        <v>2</v>
      </c>
      <c r="O270" s="8" t="n">
        <v>5</v>
      </c>
      <c r="P270" s="8" t="n">
        <v>0</v>
      </c>
      <c r="Q270" s="8" t="n">
        <v>0</v>
      </c>
      <c r="R270" s="8" t="inlineStr">
        <is>
          <t>T1-T5; entry documented Lineup changed: E Rayne in at pitcher (play #1 pitch sequence). B Johnston enters T6 (undocumented transition per Flag #2). Outs: A Schwendeman K(T1) + O Snow pickoff runner out(T1) + N Brown FO(T1) + J Devito PO(T2) + Z Magee PO(T2) + A Montgomery GO(T2) + M Delmonte PO(T3) + A Schwendeman PO(T3) + O Snow K(T3) + A Devito K(T4) + J Devito K(T4) + Z Magee FC runner out(T4) + M Delmonte K(T5) + O Snow GO(T5) + M Parson GO(T5) = 15. H_Allowed: A Devito 1B(T2 play #11) + M Parson 1B(T4 play #28). BB_Allowed: M Parson T1 + N Brown T4 + A Schwendeman T5. HBP_Allowed: O Snow T1(play #2) + Z Magee T4(play #32). K: A Schwendeman K_L(T1) + O Snow K_S(T3) + A Devito K_L(T4) + J Devito K_L(T4) + M Delmonte K_L(T5) = 5. R_Allowed=0. WP=0. Note: pickoff O Snow T1 (embedded M Parson walk AB) = runner out credited to E Rayne; FC A Montgomery T4 (Z Magee out advancing) = out credited to E Rayne.</t>
        </is>
      </c>
    </row>
    <row r="271" ht="15.75" customHeight="1" s="35">
      <c r="A271" s="8" t="inlineStr">
        <is>
          <t>2026-03-26_MRRT_at_CNTN</t>
        </is>
      </c>
      <c r="B271" s="2" t="n">
        <v>46107</v>
      </c>
      <c r="C271" s="8" t="inlineStr">
        <is>
          <t>Marriotts Ridge Varsity Mustangs</t>
        </is>
      </c>
      <c r="D271" s="8" t="inlineStr">
        <is>
          <t>CNTN</t>
        </is>
      </c>
      <c r="E271" s="8" t="inlineStr">
        <is>
          <t>B Johnston</t>
        </is>
      </c>
      <c r="F271" s="8" t="n">
        <v>4</v>
      </c>
      <c r="G271" s="8" t="n">
        <v>9</v>
      </c>
      <c r="H271" s="8" t="n">
        <v>3</v>
      </c>
      <c r="I271" s="8" t="n">
        <v>3</v>
      </c>
      <c r="J271" s="8" t="n">
        <v>0</v>
      </c>
      <c r="K271" s="8" t="n">
        <v>0</v>
      </c>
      <c r="L271" s="8" t="n">
        <v>0</v>
      </c>
      <c r="M271" s="8" t="n">
        <v>1</v>
      </c>
      <c r="N271" s="8" t="n">
        <v>1</v>
      </c>
      <c r="O271" s="8" t="n">
        <v>1</v>
      </c>
      <c r="P271" s="8" t="n">
        <v>1</v>
      </c>
      <c r="Q271" s="8" t="n">
        <v>0</v>
      </c>
      <c r="R271" s="8" t="inlineStr">
        <is>
          <t>T6 (plays #48-52) + T7 (plays #58-61); C Proescher enters mid-N Brown AB (play #62). Entry inferred from play descriptions per Flag #2 — no Lineup changed note; play #48 names no pitcher; first explicit attribution play #49. Outs: J Devito FC runner out (A Devito out advancing T6 play #50) + Z Magee PO(T6 play #51) + A Montgomery K_S(T6 play #52) + A Hlavaty GO(T7 play #58) = 4. H_Allowed: N Brown 1B(T6 play #48) + A Schwendeman 1B(T7 play #59) + M Parson 1B(T7 play #61). BB_Allowed: A Devito(T6 play #49). HBP_Allowed: O Snow(T7 play #60). K: A Montgomery K_S(T6 play #52). R_Allowed=1: N Brown scores embedded A Montgomery K AB (mechanism not stated Flag #6); no RBI credited (MRRT R=1, RBI=0 — RBI advisory discrepancy). CNTN Error #1 committed by B Johnston (pitcher) on pickoff throw embedded play #60 — A Schwendeman advances to 2nd. Error not charged as WP. Note: PB by catcher B Harris (J Devito adv 3rd T6 play #52 embedded) — PB charged to catcher, not in Pitching schema, noted here.</t>
        </is>
      </c>
    </row>
    <row r="272" ht="15.75" customHeight="1" s="35">
      <c r="A272" s="8" t="inlineStr">
        <is>
          <t>2026-03-26_MRRT_at_CNTN</t>
        </is>
      </c>
      <c r="B272" s="2" t="n">
        <v>46107</v>
      </c>
      <c r="C272" s="8" t="inlineStr">
        <is>
          <t>Marriotts Ridge Varsity Mustangs</t>
        </is>
      </c>
      <c r="D272" s="8" t="inlineStr">
        <is>
          <t>CNTN</t>
        </is>
      </c>
      <c r="E272" s="8" t="inlineStr">
        <is>
          <t>C Proescher</t>
        </is>
      </c>
      <c r="F272" s="8" t="n">
        <v>2</v>
      </c>
      <c r="G272" s="8" t="n">
        <v>2</v>
      </c>
      <c r="H272" s="8" t="n">
        <v>0</v>
      </c>
      <c r="I272" s="8" t="n">
        <v>0</v>
      </c>
      <c r="J272" s="8" t="n">
        <v>0</v>
      </c>
      <c r="K272" s="8" t="n">
        <v>0</v>
      </c>
      <c r="L272" s="8" t="n">
        <v>0</v>
      </c>
      <c r="M272" s="8" t="n">
        <v>0</v>
      </c>
      <c r="N272" s="8" t="n">
        <v>0</v>
      </c>
      <c r="O272" s="8" t="n">
        <v>1</v>
      </c>
      <c r="P272" s="8" t="n">
        <v>0</v>
      </c>
      <c r="Q272" s="8" t="n">
        <v>0</v>
      </c>
      <c r="R272" s="8" t="inlineStr">
        <is>
          <t>T7 from N Brown AB onward; entry documented within N Brown AB pitch sequence (play #62, T7). Outs: N Brown PO(T7 play #62) + A Devito K_L(T7 play #63) = 2. K: A Devito K_L (play #63). R_Allowed=0. WP=0.</t>
        </is>
      </c>
    </row>
    <row r="273" ht="15.75" customHeight="1" s="35">
      <c r="A273" s="8" t="inlineStr">
        <is>
          <t>2026-03-31_CRFT_at_CNTN</t>
        </is>
      </c>
      <c r="B273" s="2" t="n">
        <v>46112</v>
      </c>
      <c r="C273" s="8" t="inlineStr">
        <is>
          <t>Crofton Varsity Cardinals</t>
        </is>
      </c>
      <c r="D273" s="8" t="inlineStr">
        <is>
          <t>CNTN</t>
        </is>
      </c>
      <c r="E273" s="8" t="inlineStr">
        <is>
          <t>E Rayne</t>
        </is>
      </c>
      <c r="F273" s="8" t="n">
        <v>9</v>
      </c>
      <c r="G273" s="8" t="n">
        <v>14</v>
      </c>
      <c r="H273" s="8" t="n">
        <v>2</v>
      </c>
      <c r="I273" s="8" t="n">
        <v>0</v>
      </c>
      <c r="J273" s="8" t="n">
        <v>1</v>
      </c>
      <c r="K273" s="8" t="n">
        <v>1</v>
      </c>
      <c r="L273" s="8" t="n">
        <v>0</v>
      </c>
      <c r="M273" s="8" t="n">
        <v>2</v>
      </c>
      <c r="N273" s="8" t="n">
        <v>1</v>
      </c>
      <c r="O273" s="8" t="n">
        <v>3</v>
      </c>
      <c r="P273" s="8" t="n">
        <v>3</v>
      </c>
      <c r="Q273" s="8" t="n">
        <v>1</v>
      </c>
      <c r="R273" s="8" t="inlineStr">
        <is>
          <t>T1-T3 (plays #1-3,#10-15,#20-24). PB play #14 (G Gallow advances to 3rd on PB during E Colgan K AB, T2) — PB not in schema. Also bats for CNTN — see Batting sheet.</t>
        </is>
      </c>
    </row>
    <row r="274" ht="15.75" customHeight="1" s="35">
      <c r="A274" s="8" t="inlineStr">
        <is>
          <t>2026-03-31_CRFT_at_CNTN</t>
        </is>
      </c>
      <c r="B274" s="2" t="n">
        <v>46112</v>
      </c>
      <c r="C274" s="8" t="inlineStr">
        <is>
          <t>Crofton Varsity Cardinals</t>
        </is>
      </c>
      <c r="D274" s="8" t="inlineStr">
        <is>
          <t>CNTN</t>
        </is>
      </c>
      <c r="E274" s="8" t="inlineStr">
        <is>
          <t>C Proescher</t>
        </is>
      </c>
      <c r="F274" s="8" t="n">
        <v>10</v>
      </c>
      <c r="G274" s="8" t="n">
        <v>19</v>
      </c>
      <c r="H274" s="8" t="n">
        <v>4</v>
      </c>
      <c r="I274" s="8" t="n">
        <v>3</v>
      </c>
      <c r="J274" s="8" t="n">
        <v>1</v>
      </c>
      <c r="K274" s="8" t="n">
        <v>0</v>
      </c>
      <c r="L274" s="8" t="n">
        <v>0</v>
      </c>
      <c r="M274" s="8" t="n">
        <v>1</v>
      </c>
      <c r="N274" s="8" t="n">
        <v>0</v>
      </c>
      <c r="O274" s="8" t="n">
        <v>5</v>
      </c>
      <c r="P274" s="8" t="n">
        <v>6</v>
      </c>
      <c r="Q274" s="8" t="n">
        <v>1</v>
      </c>
      <c r="R274" s="8" t="inlineStr">
        <is>
          <t>T4-T7 plays #28-59 (entered play #28; exited after X Bejar walk play #59). 1B×3 (N Kehs #43, X Bejar #45, G Gallow #46). 2B: N Kehs #57. WP play #48 (G Gallow advances 3rd during M Davis K AB, T6). R_Allowed=6 (2 T6, 4 T7 — all scored before A Barrett entry).</t>
        </is>
      </c>
    </row>
    <row r="275" ht="15.75" customHeight="1" s="35">
      <c r="A275" s="8" t="inlineStr">
        <is>
          <t>2026-03-31_CRFT_at_CNTN</t>
        </is>
      </c>
      <c r="B275" s="2" t="n">
        <v>46112</v>
      </c>
      <c r="C275" s="8" t="inlineStr">
        <is>
          <t>Crofton Varsity Cardinals</t>
        </is>
      </c>
      <c r="D275" s="8" t="inlineStr">
        <is>
          <t>CNTN</t>
        </is>
      </c>
      <c r="E275" s="8" t="inlineStr">
        <is>
          <t>A Barrett</t>
        </is>
      </c>
      <c r="F275" s="8" t="n">
        <v>2</v>
      </c>
      <c r="G275" s="8" t="n">
        <v>2</v>
      </c>
      <c r="H275" s="8" t="n">
        <v>0</v>
      </c>
      <c r="I275" s="8" t="n">
        <v>0</v>
      </c>
      <c r="J275" s="8" t="n">
        <v>0</v>
      </c>
      <c r="K275" s="8" t="n">
        <v>0</v>
      </c>
      <c r="L275" s="8" t="n">
        <v>0</v>
      </c>
      <c r="M275" s="8" t="n">
        <v>0</v>
      </c>
      <c r="N275" s="8" t="n">
        <v>0</v>
      </c>
      <c r="O275" s="8" t="n">
        <v>2</v>
      </c>
      <c r="P275" s="8" t="n">
        <v>0</v>
      </c>
      <c r="Q275" s="8" t="n">
        <v>0</v>
      </c>
      <c r="R275" s="8" t="inlineStr">
        <is>
          <t>T7 from G Gallow AB onward (plays #60-61). Entry documented during G Gallow AB play #60. K_L×2 (G Gallow #60, E Colgan #61). CNTN Error #5 embedded in G Gallow AB (X Bejar advances to 2nd on A Barrett error, play #60) — does not affect pitching stats.</t>
        </is>
      </c>
    </row>
    <row r="276" ht="15.75" customHeight="1" s="35">
      <c r="A276" s="8" t="inlineStr">
        <is>
          <t>2026-03-31_CRFT_at_CNTN</t>
        </is>
      </c>
      <c r="B276" s="2" t="n">
        <v>46112</v>
      </c>
      <c r="C276" s="8" t="inlineStr">
        <is>
          <t>Centennial Varsity Eagles</t>
        </is>
      </c>
      <c r="D276" s="8" t="inlineStr">
        <is>
          <t>CRFT</t>
        </is>
      </c>
      <c r="E276" s="8" t="inlineStr">
        <is>
          <t>A Weber</t>
        </is>
      </c>
      <c r="F276" s="8" t="n">
        <v>12</v>
      </c>
      <c r="G276" s="8" t="n">
        <v>16</v>
      </c>
      <c r="H276" s="8" t="n">
        <v>1</v>
      </c>
      <c r="I276" s="8" t="n">
        <v>1</v>
      </c>
      <c r="J276" s="8" t="n">
        <v>0</v>
      </c>
      <c r="K276" s="8" t="n">
        <v>0</v>
      </c>
      <c r="L276" s="8" t="n">
        <v>0</v>
      </c>
      <c r="M276" s="8" t="n">
        <v>6</v>
      </c>
      <c r="N276" s="8" t="n">
        <v>0</v>
      </c>
      <c r="O276" s="8" t="n">
        <v>4</v>
      </c>
      <c r="P276" s="8" t="n">
        <v>0</v>
      </c>
      <c r="Q276" s="8" t="n">
        <v>2</v>
      </c>
      <c r="R276" s="8" t="inlineStr">
        <is>
          <t>B1-B4 (plays #4-34). Entry inferred from play description — no documented lineup change entry (Flag #1). 1B: D Hill play #17. BB×6. K_S×4 (L Choe #18, C Bade #26, A Banks #27, C Stachera #33). WP×2 (play #5 A Gauthier advances 2nd during E Rayne walk AB B1; play #8 A Banks advances 2nd during B Harris walk AB B1).</t>
        </is>
      </c>
    </row>
    <row r="277" ht="15.75" customHeight="1" s="35">
      <c r="A277" s="8" t="inlineStr">
        <is>
          <t>2026-03-31_CRFT_at_CNTN</t>
        </is>
      </c>
      <c r="B277" s="2" t="n">
        <v>46112</v>
      </c>
      <c r="C277" s="8" t="inlineStr">
        <is>
          <t>Centennial Varsity Eagles</t>
        </is>
      </c>
      <c r="D277" s="8" t="inlineStr">
        <is>
          <t>CRFT</t>
        </is>
      </c>
      <c r="E277" s="8" t="inlineStr">
        <is>
          <t>H Riley</t>
        </is>
      </c>
      <c r="F277" s="8" t="n">
        <v>3</v>
      </c>
      <c r="G277" s="8" t="n">
        <v>4</v>
      </c>
      <c r="H277" s="8" t="n">
        <v>0</v>
      </c>
      <c r="I277" s="8" t="n">
        <v>0</v>
      </c>
      <c r="J277" s="8" t="n">
        <v>0</v>
      </c>
      <c r="K277" s="8" t="n">
        <v>0</v>
      </c>
      <c r="L277" s="8" t="n">
        <v>0</v>
      </c>
      <c r="M277" s="8" t="n">
        <v>1</v>
      </c>
      <c r="N277" s="8" t="n">
        <v>0</v>
      </c>
      <c r="O277" s="8" t="n">
        <v>1</v>
      </c>
      <c r="P277" s="8" t="n">
        <v>0</v>
      </c>
      <c r="Q277" s="8" t="n">
        <v>1</v>
      </c>
      <c r="R277" s="8" t="inlineStr">
        <is>
          <t>B5 (plays #39-42). Entered during D Hill walk AB play #39 — lineup change documented mid-AB. K_L: L Choe play #40. WP play #41 (D Hill advances 2nd during A Gauthier FO AB, B5).</t>
        </is>
      </c>
    </row>
    <row r="278" ht="15.75" customHeight="1" s="35">
      <c r="A278" s="8" t="inlineStr">
        <is>
          <t>2026-03-31_CRFT_at_CNTN</t>
        </is>
      </c>
      <c r="B278" s="2" t="n">
        <v>46112</v>
      </c>
      <c r="C278" s="8" t="inlineStr">
        <is>
          <t>Centennial Varsity Eagles</t>
        </is>
      </c>
      <c r="D278" s="8" t="inlineStr">
        <is>
          <t>CRFT</t>
        </is>
      </c>
      <c r="E278" s="8" t="inlineStr">
        <is>
          <t>C Horay</t>
        </is>
      </c>
      <c r="F278" s="8" t="n">
        <v>3</v>
      </c>
      <c r="G278" s="8" t="n">
        <v>5</v>
      </c>
      <c r="H278" s="8" t="n">
        <v>0</v>
      </c>
      <c r="I278" s="8" t="n">
        <v>0</v>
      </c>
      <c r="J278" s="8" t="n">
        <v>0</v>
      </c>
      <c r="K278" s="8" t="n">
        <v>0</v>
      </c>
      <c r="L278" s="8" t="n">
        <v>0</v>
      </c>
      <c r="M278" s="8" t="n">
        <v>3</v>
      </c>
      <c r="N278" s="8" t="n">
        <v>0</v>
      </c>
      <c r="O278" s="8" t="n">
        <v>0</v>
      </c>
      <c r="P278" s="8" t="n">
        <v>0</v>
      </c>
      <c r="Q278" s="8" t="n">
        <v>0</v>
      </c>
      <c r="R278" s="8" t="inlineStr">
        <is>
          <t>B6 (plays #49-53). Entered during C Bade walk AB play #49 — lineup change documented mid-AB. BB×3 (C Bade #49, B Harris #51, B Corrao #52).</t>
        </is>
      </c>
    </row>
    <row r="279" ht="15.75" customHeight="1" s="35">
      <c r="A279" s="8" t="inlineStr">
        <is>
          <t>2026-03-31_CRFT_at_CNTN</t>
        </is>
      </c>
      <c r="B279" s="2" t="n">
        <v>46112</v>
      </c>
      <c r="C279" s="8" t="inlineStr">
        <is>
          <t>Centennial Varsity Eagles</t>
        </is>
      </c>
      <c r="D279" s="8" t="inlineStr">
        <is>
          <t>CRFT</t>
        </is>
      </c>
      <c r="E279" s="8" t="inlineStr">
        <is>
          <t>J Gifford</t>
        </is>
      </c>
      <c r="F279" s="8" t="n">
        <v>3</v>
      </c>
      <c r="G279" s="8" t="n">
        <v>3</v>
      </c>
      <c r="H279" s="8" t="n">
        <v>0</v>
      </c>
      <c r="I279" s="8" t="n">
        <v>0</v>
      </c>
      <c r="J279" s="8" t="n">
        <v>0</v>
      </c>
      <c r="K279" s="8" t="n">
        <v>0</v>
      </c>
      <c r="L279" s="8" t="n">
        <v>0</v>
      </c>
      <c r="M279" s="8" t="n">
        <v>0</v>
      </c>
      <c r="N279" s="8" t="n">
        <v>0</v>
      </c>
      <c r="O279" s="8" t="n">
        <v>2</v>
      </c>
      <c r="P279" s="8" t="n">
        <v>0</v>
      </c>
      <c r="Q279" s="8" t="n">
        <v>0</v>
      </c>
      <c r="R279" s="8" t="inlineStr">
        <is>
          <t>B7 (plays #62-64). Entry inferred from play description — no documented lineup change entry (Flag #2). Previously batted/ran for CRFT this game. K_S: L Rivkin play #62; K_L: A Li play #64. Also batted for CRFT — see Batting sheet.</t>
        </is>
      </c>
    </row>
    <row r="280" ht="15.75" customHeight="1" s="35">
      <c r="A280" s="8" t="inlineStr">
        <is>
          <t>2026-03-31_CNTN_at_WLTR</t>
        </is>
      </c>
      <c r="B280" s="2" t="n">
        <v>46112</v>
      </c>
      <c r="C280" s="8" t="inlineStr">
        <is>
          <t>Centennial Varsity Eagles</t>
        </is>
      </c>
      <c r="D280" s="8" t="inlineStr">
        <is>
          <t>WLTR</t>
        </is>
      </c>
      <c r="E280" s="8" t="inlineStr">
        <is>
          <t>L Rayment-Cruz</t>
        </is>
      </c>
      <c r="F280" s="8" t="n">
        <v>18</v>
      </c>
      <c r="G280" s="8" t="n">
        <v>29</v>
      </c>
      <c r="H280" s="8" t="n">
        <v>5</v>
      </c>
      <c r="I280" s="8" t="n">
        <v>3</v>
      </c>
      <c r="J280" s="8" t="n">
        <v>1</v>
      </c>
      <c r="K280" s="8" t="n">
        <v>1</v>
      </c>
      <c r="L280" s="8" t="n">
        <v>0</v>
      </c>
      <c r="M280" s="8" t="n">
        <v>5</v>
      </c>
      <c r="N280" s="8" t="n">
        <v>0</v>
      </c>
      <c r="O280" s="8" t="n">
        <v>8</v>
      </c>
      <c r="P280" s="8" t="n">
        <v>3</v>
      </c>
      <c r="Q280" s="8" t="n">
        <v>0</v>
      </c>
      <c r="R280" s="8" t="inlineStr">
        <is>
          <t>T1-T6 (plays #1-4,#10-18,#24-28,#35-37,#43-46,#51-54). 1B×3 (B Corrao #11, D Hill #13, B Harris #24); 2B: B Harris #10; 3B: A Gauthier #53. BB×5 (L Choe #14, A Gauthier #15, E Rayne #16 T2; E Rayne #36 T4; D Hill #51 T6). K×8: A Banks K_S #4; C Stachera K_S #12; C Bade K_L #17; D Hill K_L #27; L Choe K_S #28; B Harris foul-tip K_S #44; C Stachera K_S #46; E Rayne D3S K_S #54. R_Allowed=3 (all T2). Also bats for WLTR — see Batting sheet.</t>
        </is>
      </c>
    </row>
    <row r="281" ht="15.75" customHeight="1" s="35">
      <c r="A281" s="8" t="inlineStr">
        <is>
          <t>2026-03-31_CNTN_at_WLTR</t>
        </is>
      </c>
      <c r="B281" s="2" t="n">
        <v>46112</v>
      </c>
      <c r="C281" s="8" t="inlineStr">
        <is>
          <t>Centennial Varsity Eagles</t>
        </is>
      </c>
      <c r="D281" s="8" t="inlineStr">
        <is>
          <t>WLTR</t>
        </is>
      </c>
      <c r="E281" s="8" t="inlineStr">
        <is>
          <t>J Gilder</t>
        </is>
      </c>
      <c r="F281" s="8" t="n">
        <v>3</v>
      </c>
      <c r="G281" s="8" t="n">
        <v>4</v>
      </c>
      <c r="H281" s="8" t="n">
        <v>0</v>
      </c>
      <c r="I281" s="8" t="n">
        <v>0</v>
      </c>
      <c r="J281" s="8" t="n">
        <v>0</v>
      </c>
      <c r="K281" s="8" t="n">
        <v>0</v>
      </c>
      <c r="L281" s="8" t="n">
        <v>0</v>
      </c>
      <c r="M281" s="8" t="n">
        <v>0</v>
      </c>
      <c r="N281" s="8" t="n">
        <v>1</v>
      </c>
      <c r="O281" s="8" t="n">
        <v>2</v>
      </c>
      <c r="P281" s="8" t="n">
        <v>0</v>
      </c>
      <c r="Q281" s="8" t="n">
        <v>0</v>
      </c>
      <c r="R281" s="8" t="inlineStr">
        <is>
          <t>T7 (plays #59-62). Entered during C Bade HBP AB play #59 — lineup change documented mid-AB. HBP: C Bade play #59. K_L: A Banks play #60; K_S: B Corrao play #62. Also bats for WLTR — see Batting sheet.</t>
        </is>
      </c>
    </row>
    <row r="282" ht="15.75" customHeight="1" s="35">
      <c r="A282" s="8" t="inlineStr">
        <is>
          <t>2026-03-31_CNTN_at_WLTR</t>
        </is>
      </c>
      <c r="B282" s="2" t="n">
        <v>46112</v>
      </c>
      <c r="C282" s="8" t="inlineStr">
        <is>
          <t>Walter Johnson Varsity Wildcats</t>
        </is>
      </c>
      <c r="D282" s="8" t="inlineStr">
        <is>
          <t>CNTN</t>
        </is>
      </c>
      <c r="E282" s="8" t="inlineStr">
        <is>
          <t>C Stachera</t>
        </is>
      </c>
      <c r="F282" s="8" t="n">
        <v>9</v>
      </c>
      <c r="G282" s="8" t="n">
        <v>16</v>
      </c>
      <c r="H282" s="8" t="n">
        <v>3</v>
      </c>
      <c r="I282" s="8" t="n">
        <v>3</v>
      </c>
      <c r="J282" s="8" t="n">
        <v>0</v>
      </c>
      <c r="K282" s="8" t="n">
        <v>0</v>
      </c>
      <c r="L282" s="8" t="n">
        <v>0</v>
      </c>
      <c r="M282" s="8" t="n">
        <v>2</v>
      </c>
      <c r="N282" s="8" t="n">
        <v>0</v>
      </c>
      <c r="O282" s="8" t="n">
        <v>9</v>
      </c>
      <c r="P282" s="8" t="n">
        <v>2</v>
      </c>
      <c r="Q282" s="8" t="n">
        <v>2</v>
      </c>
      <c r="R282" s="8" t="inlineStr">
        <is>
          <t>B1-B3 (plays #5-9,#19-23,#29-34). 1B×3 (S Weston #6, G Matalia #8, L Rayment-Cruz #32). BB×2 (S Weston #29, J Pena Simon #30). K×9: J Gilder K_S #5; J Pena Simon K_S #7; L Rayment-Cruz K_S #9; S Gilcrest K_S #19; T Alexander K_S #21; E Retzlaff D3S K_L #22 (batter reached safely); J Gilder K_S #23; G Matalia D3S K_S #31 (batter out); E Taylor K_S #34. WP×2: play #9 (C Martin/S Weston CR scores, B1); play #31 (J Pena Simon advances 2nd, B3). PB×2: play #22 (D3S mechanism for E Retzlaff); play #30 (S Weston advances 2nd) — PB not in schema. R_Allowed=2: 1R B1 (S Weston on WP play #9); 1R B3 (S Weston on C Stachera error play #31). Also bats for CNTN — see Batting sheet.</t>
        </is>
      </c>
    </row>
    <row r="283" ht="15.75" customHeight="1" s="35">
      <c r="A283" s="8" t="inlineStr">
        <is>
          <t>2026-03-31_CNTN_at_WLTR</t>
        </is>
      </c>
      <c r="B283" s="2" t="n">
        <v>46112</v>
      </c>
      <c r="C283" s="8" t="inlineStr">
        <is>
          <t>Walter Johnson Varsity Wildcats</t>
        </is>
      </c>
      <c r="D283" s="8" t="inlineStr">
        <is>
          <t>CNTN</t>
        </is>
      </c>
      <c r="E283" s="8" t="inlineStr">
        <is>
          <t>A Lee</t>
        </is>
      </c>
      <c r="F283" s="8" t="n">
        <v>12</v>
      </c>
      <c r="G283" s="8" t="n">
        <v>18</v>
      </c>
      <c r="H283" s="8" t="n">
        <v>3</v>
      </c>
      <c r="I283" s="8" t="n">
        <v>3</v>
      </c>
      <c r="J283" s="8" t="n">
        <v>0</v>
      </c>
      <c r="K283" s="8" t="n">
        <v>0</v>
      </c>
      <c r="L283" s="8" t="n">
        <v>0</v>
      </c>
      <c r="M283" s="8" t="n">
        <v>3</v>
      </c>
      <c r="N283" s="8" t="n">
        <v>0</v>
      </c>
      <c r="O283" s="8" t="n">
        <v>5</v>
      </c>
      <c r="P283" s="8" t="n">
        <v>1</v>
      </c>
      <c r="Q283" s="8" t="n">
        <v>1</v>
      </c>
      <c r="R283" s="8" t="inlineStr">
        <is>
          <t>B4-B7 (plays #38-42,#47-50,#55-58,#63-67). Entered play #38 — lineup change documented in B4. 1B×3 (H Bauer #38, J Gilder #40, J Pena Simon #63). BB×3 (S Weston #41, G Matalia IBB #64, L Rayment-Cruz IBB #65). K×5: C Martin K_S #39; G Matalia K_L #47; E Taylor K_S #50; S Gilcrest K_L #66; E Taylor K_S #67. WP play #41 (H Bauer advances 3rd, J Gilder advances 2nd during S Weston walk AB, B4). R_Allowed=1 (H Bauer scores on J Gilder SacFly play #57, B6). Outs include J Pena Simon CS home play #66 (out #1 of B7, embedded in S Gilcrest AB).</t>
        </is>
      </c>
    </row>
    <row r="284" ht="15.75" customHeight="1" s="35">
      <c r="A284" s="8" t="inlineStr">
        <is>
          <t>2026-03-21_SVRN_at_STHR</t>
        </is>
      </c>
      <c r="B284" s="2" t="n">
        <v>46102</v>
      </c>
      <c r="C284" s="8" t="inlineStr">
        <is>
          <t>SVRN</t>
        </is>
      </c>
      <c r="D284" s="8" t="inlineStr">
        <is>
          <t>STHR</t>
        </is>
      </c>
      <c r="E284" s="8" t="inlineStr">
        <is>
          <t>G Crandell</t>
        </is>
      </c>
      <c r="F284" s="8" t="n">
        <v>12</v>
      </c>
      <c r="G284" s="8" t="n">
        <v>20</v>
      </c>
      <c r="H284" s="8" t="n">
        <v>5</v>
      </c>
      <c r="I284" s="8" t="n">
        <v>5</v>
      </c>
      <c r="J284" s="8" t="n">
        <v>0</v>
      </c>
      <c r="K284" s="8" t="n">
        <v>0</v>
      </c>
      <c r="L284" s="8" t="n">
        <v>0</v>
      </c>
      <c r="M284" s="8" t="n">
        <v>3</v>
      </c>
      <c r="N284" s="8" t="n">
        <v>0</v>
      </c>
      <c r="O284" s="8" t="n">
        <v>5</v>
      </c>
      <c r="P284" s="8" t="n">
        <v>2</v>
      </c>
      <c r="Q284" s="8" t="n">
        <v>2</v>
      </c>
      <c r="R284" s="8" t="inlineStr">
        <is>
          <t>Starting pitcher (lineup note play #1). WP plays #32 (K Shankovich adv 3rd T4), #34 (I Howard adv 3rd T4). Replaced by I Benson (inferred play #39).</t>
        </is>
      </c>
    </row>
    <row r="285" ht="15.75" customHeight="1" s="35">
      <c r="A285" s="8" t="inlineStr">
        <is>
          <t>2026-03-21_SVRN_at_STHR</t>
        </is>
      </c>
      <c r="B285" s="2" t="n">
        <v>46102</v>
      </c>
      <c r="C285" s="8" t="inlineStr">
        <is>
          <t>SVRN</t>
        </is>
      </c>
      <c r="D285" s="8" t="inlineStr">
        <is>
          <t>STHR</t>
        </is>
      </c>
      <c r="E285" s="8" t="inlineStr">
        <is>
          <t>I Benson</t>
        </is>
      </c>
      <c r="F285" s="8" t="n">
        <v>9</v>
      </c>
      <c r="G285" s="8" t="n">
        <v>11</v>
      </c>
      <c r="H285" s="8" t="n">
        <v>0</v>
      </c>
      <c r="I285" s="8" t="n">
        <v>0</v>
      </c>
      <c r="J285" s="8" t="n">
        <v>0</v>
      </c>
      <c r="K285" s="8" t="n">
        <v>0</v>
      </c>
      <c r="L285" s="8" t="n">
        <v>0</v>
      </c>
      <c r="M285" s="8" t="n">
        <v>2</v>
      </c>
      <c r="N285" s="8" t="n">
        <v>0</v>
      </c>
      <c r="O285" s="8" t="n">
        <v>5</v>
      </c>
      <c r="P285" s="8" t="n">
        <v>0</v>
      </c>
      <c r="Q285" s="8" t="n">
        <v>0</v>
      </c>
      <c r="R285" s="8" t="inlineStr">
        <is>
          <t>Entry inferred from play description, play #39; no lineup change entry (Flag #1).</t>
        </is>
      </c>
    </row>
    <row r="286" ht="15.75" customHeight="1" s="35">
      <c r="A286" s="8" t="inlineStr">
        <is>
          <t>2026-03-21_SVRN_at_STHR</t>
        </is>
      </c>
      <c r="B286" s="2" t="n">
        <v>46102</v>
      </c>
      <c r="C286" s="8" t="inlineStr">
        <is>
          <t>STHR</t>
        </is>
      </c>
      <c r="D286" s="8" t="inlineStr">
        <is>
          <t>SVRN</t>
        </is>
      </c>
      <c r="E286" s="8" t="inlineStr">
        <is>
          <t>A Heinrich</t>
        </is>
      </c>
      <c r="F286" s="8" t="n">
        <v>6</v>
      </c>
      <c r="G286" s="8" t="n">
        <v>11</v>
      </c>
      <c r="H286" s="8" t="n">
        <v>3</v>
      </c>
      <c r="I286" s="8" t="n">
        <v>2</v>
      </c>
      <c r="J286" s="8" t="n">
        <v>0</v>
      </c>
      <c r="K286" s="8" t="n">
        <v>1</v>
      </c>
      <c r="L286" s="8" t="n">
        <v>0</v>
      </c>
      <c r="M286" s="8" t="n">
        <v>2</v>
      </c>
      <c r="N286" s="8" t="n">
        <v>0</v>
      </c>
      <c r="O286" s="8" t="n">
        <v>2</v>
      </c>
      <c r="P286" s="8" t="n">
        <v>3</v>
      </c>
      <c r="Q286" s="8" t="n">
        <v>1</v>
      </c>
      <c r="R286" s="8" t="inlineStr">
        <is>
          <t>Starting pitcher (inferred from play description, no lineup note; Flag #1). WP play #14 (N Youmans adv 2nd, B2). Replaced by #19 at lineup note play #27.</t>
        </is>
      </c>
    </row>
    <row r="287" ht="15.75" customHeight="1" s="35">
      <c r="A287" s="8" t="inlineStr">
        <is>
          <t>2026-03-21_SVRN_at_STHR</t>
        </is>
      </c>
      <c r="B287" s="2" t="n">
        <v>46102</v>
      </c>
      <c r="C287" s="8" t="inlineStr">
        <is>
          <t>STHR</t>
        </is>
      </c>
      <c r="D287" s="8" t="inlineStr">
        <is>
          <t>SVRN</t>
        </is>
      </c>
      <c r="E287" s="8" t="inlineStr">
        <is>
          <t>SVRN_#19</t>
        </is>
      </c>
      <c r="F287" s="8" t="n">
        <v>12</v>
      </c>
      <c r="G287" s="8" t="n">
        <v>19</v>
      </c>
      <c r="H287" s="8" t="n">
        <v>3</v>
      </c>
      <c r="I287" s="8" t="n">
        <v>3</v>
      </c>
      <c r="J287" s="8" t="n">
        <v>0</v>
      </c>
      <c r="K287" s="8" t="n">
        <v>0</v>
      </c>
      <c r="L287" s="8" t="n">
        <v>0</v>
      </c>
      <c r="M287" s="8" t="n">
        <v>4</v>
      </c>
      <c r="N287" s="8" t="n">
        <v>0</v>
      </c>
      <c r="O287" s="8" t="n">
        <v>8</v>
      </c>
      <c r="P287" s="8" t="n">
        <v>1</v>
      </c>
      <c r="Q287" s="8" t="n">
        <v>1</v>
      </c>
      <c r="R287" s="8" t="inlineStr">
        <is>
          <t>Entered play #27 (lineup note). WP play #43 (B Crandell adv 3rd, B5). IBW play #45 (J Colton). Replaced as batter by A Heinrich PH in T7.</t>
        </is>
      </c>
    </row>
    <row r="288" ht="15.75" customHeight="1" s="35">
      <c r="A288" s="8" t="inlineStr">
        <is>
          <t>2026-03-23_STHR_at_SRVR</t>
        </is>
      </c>
      <c r="B288" s="2" t="n">
        <v>46104</v>
      </c>
      <c r="C288" s="8" t="inlineStr">
        <is>
          <t>SRVR</t>
        </is>
      </c>
      <c r="D288" s="8" t="inlineStr">
        <is>
          <t>STHR</t>
        </is>
      </c>
      <c r="E288" s="8" t="inlineStr">
        <is>
          <t>N Youmans</t>
        </is>
      </c>
      <c r="F288" s="8" t="n">
        <v>6</v>
      </c>
      <c r="G288" s="8" t="n">
        <v>16</v>
      </c>
      <c r="H288" s="8" t="n">
        <v>4</v>
      </c>
      <c r="I288" s="8" t="n">
        <v>4</v>
      </c>
      <c r="J288" s="8" t="n">
        <v>0</v>
      </c>
      <c r="K288" s="8" t="n">
        <v>0</v>
      </c>
      <c r="L288" s="8" t="n">
        <v>0</v>
      </c>
      <c r="M288" s="8" t="n">
        <v>5</v>
      </c>
      <c r="N288" s="8" t="n">
        <v>1</v>
      </c>
      <c r="O288" s="8" t="n">
        <v>1</v>
      </c>
      <c r="P288" s="8" t="n">
        <v>6</v>
      </c>
      <c r="Q288" s="8" t="n">
        <v>1</v>
      </c>
      <c r="R288" s="8" t="inlineStr">
        <is>
          <t>Starting pitcher (inferred, no lineup note; Flag #3). WP play #25 (G Kunst scores on WP B2). Balk play #26 (N Hooker adv 2nd — not in schema). STHR E play #21 (Gunderson adv 2nd on throwing E by P N Youmans). Inherited runners scored while B Michaud pitching: E Schreier (HBP #39→scores #43), D Drain (BB #40→scores #45), Decker/J Hall CR (BB #41→scores #46) — 3 R charged to N Youmans. R_Allowed total: B1(1)+B2(2)+inherited B3(3)=6.</t>
        </is>
      </c>
    </row>
    <row r="289" ht="15.75" customHeight="1" s="35">
      <c r="A289" s="8" t="inlineStr">
        <is>
          <t>2026-03-23_STHR_at_SRVR</t>
        </is>
      </c>
      <c r="B289" s="2" t="n">
        <v>46104</v>
      </c>
      <c r="C289" s="8" t="inlineStr">
        <is>
          <t>SRVR</t>
        </is>
      </c>
      <c r="D289" s="8" t="inlineStr">
        <is>
          <t>STHR</t>
        </is>
      </c>
      <c r="E289" s="8" t="inlineStr">
        <is>
          <t>B Michaud</t>
        </is>
      </c>
      <c r="F289" s="8" t="n">
        <v>9</v>
      </c>
      <c r="G289" s="8" t="n">
        <v>15</v>
      </c>
      <c r="H289" s="8" t="n">
        <v>3</v>
      </c>
      <c r="I289" s="8" t="n">
        <v>3</v>
      </c>
      <c r="J289" s="8" t="n">
        <v>0</v>
      </c>
      <c r="K289" s="8" t="n">
        <v>0</v>
      </c>
      <c r="L289" s="8" t="n">
        <v>0</v>
      </c>
      <c r="M289" s="8" t="n">
        <v>3</v>
      </c>
      <c r="N289" s="8" t="n">
        <v>0</v>
      </c>
      <c r="O289" s="8" t="n">
        <v>0</v>
      </c>
      <c r="P289" s="8" t="n">
        <v>2</v>
      </c>
      <c r="Q289" s="8" t="n">
        <v>0</v>
      </c>
      <c r="R289" s="8" t="inlineStr">
        <is>
          <t>Entered play #42 (lineup note). R_Allowed: G Kunst scores play #47 (B Michaud runner), C Lutterbie scores play #48 (B Michaud runner). G Kunst GDP B4 play #57 (2 outs credited).</t>
        </is>
      </c>
    </row>
    <row r="290" ht="15.75" customHeight="1" s="35">
      <c r="A290" s="8" t="inlineStr">
        <is>
          <t>2026-03-23_STHR_at_SRVR</t>
        </is>
      </c>
      <c r="B290" s="2" t="n">
        <v>46104</v>
      </c>
      <c r="C290" s="8" t="inlineStr">
        <is>
          <t>STHR</t>
        </is>
      </c>
      <c r="D290" s="8" t="inlineStr">
        <is>
          <t>SRVR</t>
        </is>
      </c>
      <c r="E290" s="8" t="inlineStr">
        <is>
          <t>SRVR_SP_Unknown</t>
        </is>
      </c>
      <c r="F290" s="8" t="n">
        <v>0</v>
      </c>
      <c r="G290" s="8" t="n">
        <v>0</v>
      </c>
      <c r="H290" s="8" t="n">
        <v>0</v>
      </c>
      <c r="I290" s="8" t="n">
        <v>0</v>
      </c>
      <c r="J290" s="8" t="n">
        <v>0</v>
      </c>
      <c r="K290" s="8" t="n">
        <v>0</v>
      </c>
      <c r="L290" s="8" t="n">
        <v>0</v>
      </c>
      <c r="M290" s="8" t="n">
        <v>0</v>
      </c>
      <c r="N290" s="8" t="n">
        <v>0</v>
      </c>
      <c r="O290" s="8" t="n">
        <v>0</v>
      </c>
      <c r="P290" s="8" t="n">
        <v>0</v>
      </c>
      <c r="Q290" s="8" t="n">
        <v>0</v>
      </c>
      <c r="R290" s="8" t="inlineStr">
        <is>
          <t>Starting pitcher; name not recorded in GameChanger (Flag #2). Replaced by B Taylor before any batter (play #1 lineup note).</t>
        </is>
      </c>
    </row>
    <row r="291" ht="15.75" customHeight="1" s="35">
      <c r="A291" s="8" t="inlineStr">
        <is>
          <t>2026-03-23_STHR_at_SRVR</t>
        </is>
      </c>
      <c r="B291" s="2" t="n">
        <v>46104</v>
      </c>
      <c r="C291" s="8" t="inlineStr">
        <is>
          <t>STHR</t>
        </is>
      </c>
      <c r="D291" s="8" t="inlineStr">
        <is>
          <t>SRVR</t>
        </is>
      </c>
      <c r="E291" s="8" t="inlineStr">
        <is>
          <t>B Taylor</t>
        </is>
      </c>
      <c r="F291" s="8" t="n">
        <v>6</v>
      </c>
      <c r="G291" s="8" t="n">
        <v>13</v>
      </c>
      <c r="H291" s="8" t="n">
        <v>3</v>
      </c>
      <c r="I291" s="8" t="n">
        <v>3</v>
      </c>
      <c r="J291" s="8" t="n">
        <v>0</v>
      </c>
      <c r="K291" s="8" t="n">
        <v>0</v>
      </c>
      <c r="L291" s="8" t="n">
        <v>0</v>
      </c>
      <c r="M291" s="8" t="n">
        <v>4</v>
      </c>
      <c r="N291" s="8" t="n">
        <v>0</v>
      </c>
      <c r="O291" s="8" t="n">
        <v>1</v>
      </c>
      <c r="P291" s="8" t="n">
        <v>5</v>
      </c>
      <c r="Q291" s="8" t="n">
        <v>0</v>
      </c>
      <c r="R291" s="8" t="inlineStr">
        <is>
          <t>Entered play #1 (lineup note), replacing Unknown Player. K on J Colton K_S T1. PB during B Taylor inning: play #3 B Crandell adv 3rd on PB (not WP). R_Allowed: T1(B Crandell scores #3=1)+T2(B Bowers+W Thomas+G Godfrey+C Perkins score #16-19=4)=5.</t>
        </is>
      </c>
    </row>
    <row r="292" ht="15.75" customHeight="1" s="35">
      <c r="A292" s="8" t="inlineStr">
        <is>
          <t>2026-03-23_STHR_at_SRVR</t>
        </is>
      </c>
      <c r="B292" s="2" t="n">
        <v>46104</v>
      </c>
      <c r="C292" s="8" t="inlineStr">
        <is>
          <t>STHR</t>
        </is>
      </c>
      <c r="D292" s="8" t="inlineStr">
        <is>
          <t>SRVR</t>
        </is>
      </c>
      <c r="E292" s="8" t="inlineStr">
        <is>
          <t>SRVR_#9</t>
        </is>
      </c>
      <c r="F292" s="8" t="n">
        <v>1</v>
      </c>
      <c r="G292" s="8" t="n">
        <v>8</v>
      </c>
      <c r="H292" s="8" t="n">
        <v>4</v>
      </c>
      <c r="I292" s="8" t="n">
        <v>3</v>
      </c>
      <c r="J292" s="8" t="n">
        <v>1</v>
      </c>
      <c r="K292" s="8" t="n">
        <v>0</v>
      </c>
      <c r="L292" s="8" t="n">
        <v>0</v>
      </c>
      <c r="M292" s="8" t="n">
        <v>1</v>
      </c>
      <c r="N292" s="8" t="n">
        <v>2</v>
      </c>
      <c r="O292" s="8" t="n">
        <v>0</v>
      </c>
      <c r="P292" s="8" t="n">
        <v>7</v>
      </c>
      <c r="Q292" s="8" t="n">
        <v>2</v>
      </c>
      <c r="R292" s="8" t="inlineStr">
        <is>
          <t>Entered play #27 (lineup note). WP plays #29 (N Youmans adv 3rd+B Bowers adv 2nd), #30 (B Bowers scores+W Thomas adv 3rd) T3. Replaced by #11 at play #35. Inherited runners C Parks (1B #33) and G Crandell (HBP #34) both scored play #36 while #11 pitching — 2 R charged to #9. R_Allowed: 5 scored while pitching+2 inherited=7.</t>
        </is>
      </c>
    </row>
    <row r="293" ht="15.75" customHeight="1" s="35">
      <c r="A293" s="8" t="inlineStr">
        <is>
          <t>2026-03-23_STHR_at_SRVR</t>
        </is>
      </c>
      <c r="B293" s="2" t="n">
        <v>46104</v>
      </c>
      <c r="C293" s="8" t="inlineStr">
        <is>
          <t>STHR</t>
        </is>
      </c>
      <c r="D293" s="8" t="inlineStr">
        <is>
          <t>SRVR</t>
        </is>
      </c>
      <c r="E293" s="8" t="inlineStr">
        <is>
          <t>SRVR_#11</t>
        </is>
      </c>
      <c r="F293" s="8" t="n">
        <v>7</v>
      </c>
      <c r="G293" s="8" t="n">
        <v>15</v>
      </c>
      <c r="H293" s="8" t="n">
        <v>4</v>
      </c>
      <c r="I293" s="8" t="n">
        <v>3</v>
      </c>
      <c r="J293" s="8" t="n">
        <v>1</v>
      </c>
      <c r="K293" s="8" t="n">
        <v>0</v>
      </c>
      <c r="L293" s="8" t="n">
        <v>0</v>
      </c>
      <c r="M293" s="8" t="n">
        <v>3</v>
      </c>
      <c r="N293" s="8" t="n">
        <v>1</v>
      </c>
      <c r="O293" s="8" t="n">
        <v>2</v>
      </c>
      <c r="P293" s="8" t="n">
        <v>6</v>
      </c>
      <c r="Q293" s="8" t="n">
        <v>0</v>
      </c>
      <c r="R293" s="8" t="inlineStr">
        <is>
          <t>Entered play #35 (dual notation J Hall/#11; Flag #8). Inherited runners B Bowers (HBP #61), G Bowen (BB #63), C Perkins (BB #64) all scored plays #65/#66 while #18 pitching — 3 R charged to #11. R_Allowed: N Youmans scores #37(1)+G Crandell scores #60(1)+N Youmans scores #64(1)+inherited B Bowers/G Bowen/C Perkins(3)=6. Replaced by #18 at play #65.</t>
        </is>
      </c>
    </row>
    <row r="294" ht="15.75" customHeight="1" s="35">
      <c r="A294" s="8" t="inlineStr">
        <is>
          <t>2026-03-23_STHR_at_SRVR</t>
        </is>
      </c>
      <c r="B294" s="2" t="n">
        <v>46104</v>
      </c>
      <c r="C294" s="8" t="inlineStr">
        <is>
          <t>STHR</t>
        </is>
      </c>
      <c r="D294" s="8" t="inlineStr">
        <is>
          <t>SRVR</t>
        </is>
      </c>
      <c r="E294" s="8" t="inlineStr">
        <is>
          <t>SRVR_#18</t>
        </is>
      </c>
      <c r="F294" s="8" t="n">
        <v>1</v>
      </c>
      <c r="G294" s="8" t="n">
        <v>3</v>
      </c>
      <c r="H294" s="8" t="n">
        <v>1</v>
      </c>
      <c r="I294" s="8" t="n">
        <v>1</v>
      </c>
      <c r="J294" s="8" t="n">
        <v>0</v>
      </c>
      <c r="K294" s="8" t="n">
        <v>0</v>
      </c>
      <c r="L294" s="8" t="n">
        <v>0</v>
      </c>
      <c r="M294" s="8" t="n">
        <v>1</v>
      </c>
      <c r="N294" s="8" t="n">
        <v>0</v>
      </c>
      <c r="O294" s="8" t="n">
        <v>0</v>
      </c>
      <c r="P294" s="8" t="n">
        <v>0</v>
      </c>
      <c r="Q294" s="8" t="n">
        <v>0</v>
      </c>
      <c r="R294" s="8" t="inlineStr">
        <is>
          <t>Entered play #65 (lineup note). B Bowers, G Bowen, C Perkins scored in T5 during #18 stint — all charged to #11 (inherited). #18 own runners (B Crandell BB, C Parks 1B) did not score before inning ended.</t>
        </is>
      </c>
    </row>
    <row r="295" ht="15.75" customHeight="1" s="35">
      <c r="A295" s="8" t="inlineStr">
        <is>
          <t>2026-03-25_MDVR_at_STHR</t>
        </is>
      </c>
      <c r="B295" s="2" t="n">
        <v>46106</v>
      </c>
      <c r="C295" s="8" t="inlineStr">
        <is>
          <t>MDVR</t>
        </is>
      </c>
      <c r="D295" s="8" t="inlineStr">
        <is>
          <t>STHR</t>
        </is>
      </c>
      <c r="E295" s="8" t="inlineStr">
        <is>
          <t>I Benson</t>
        </is>
      </c>
      <c r="F295" s="8" t="n">
        <v>6</v>
      </c>
      <c r="G295" s="8" t="n">
        <v>7</v>
      </c>
      <c r="H295" s="8" t="n">
        <v>0</v>
      </c>
      <c r="I295" s="8" t="n">
        <v>0</v>
      </c>
      <c r="J295" s="8" t="n">
        <v>0</v>
      </c>
      <c r="K295" s="8" t="n">
        <v>0</v>
      </c>
      <c r="L295" s="8" t="n">
        <v>0</v>
      </c>
      <c r="M295" s="8" t="n">
        <v>0</v>
      </c>
      <c r="N295" s="8" t="n">
        <v>1</v>
      </c>
      <c r="O295" s="8" t="n">
        <v>4</v>
      </c>
      <c r="P295" s="8" t="n">
        <v>0</v>
      </c>
      <c r="Q295" s="8" t="n">
        <v>0</v>
      </c>
      <c r="R295" s="8" t="inlineStr">
        <is>
          <t>Starting pitcher (lineup note play #1). HBP J Ahumada-Murillo T1. K: K Chan K_L T1, A Kund K_S T1, R Austin K_S T2, L Dejesus K_S T2. Replaced by A Richard at play #39. No hits allowed.</t>
        </is>
      </c>
    </row>
    <row r="296" ht="15.75" customHeight="1" s="35">
      <c r="A296" s="8" t="inlineStr">
        <is>
          <t>2026-03-25_MDVR_at_STHR</t>
        </is>
      </c>
      <c r="B296" s="2" t="n">
        <v>46106</v>
      </c>
      <c r="C296" s="8" t="inlineStr">
        <is>
          <t>MDVR</t>
        </is>
      </c>
      <c r="D296" s="8" t="inlineStr">
        <is>
          <t>STHR</t>
        </is>
      </c>
      <c r="E296" s="8" t="inlineStr">
        <is>
          <t>A Richard</t>
        </is>
      </c>
      <c r="F296" s="8" t="n">
        <v>6</v>
      </c>
      <c r="G296" s="8" t="n">
        <v>9</v>
      </c>
      <c r="H296" s="8" t="n">
        <v>0</v>
      </c>
      <c r="I296" s="8" t="n">
        <v>0</v>
      </c>
      <c r="J296" s="8" t="n">
        <v>0</v>
      </c>
      <c r="K296" s="8" t="n">
        <v>0</v>
      </c>
      <c r="L296" s="8" t="n">
        <v>0</v>
      </c>
      <c r="M296" s="8" t="n">
        <v>1</v>
      </c>
      <c r="N296" s="8" t="n">
        <v>0</v>
      </c>
      <c r="O296" s="8" t="n">
        <v>8</v>
      </c>
      <c r="P296" s="8" t="n">
        <v>0</v>
      </c>
      <c r="Q296" s="8" t="n">
        <v>1</v>
      </c>
      <c r="R296" s="8" t="inlineStr">
        <is>
          <t>Entered play #39 (lineup note "in for pitcher I Benson"). BB E Mundo T4. K: L Groff K_S-D3S T3 (reaches), C Campbell K_S, K Chan K_L, A Kund K_S T3; J Ahumada-Murillo K_S, S Roque K_L, R Austin K_S-D3S (reaches), L Dejesus K_S T4 = 8 K. WP play #51 (R Austin adv 3rd, E Mundo adv 2nd, T4). Balk play #41 (L Groff adv 2nd — not in schema). No hits allowed.</t>
        </is>
      </c>
    </row>
    <row r="297" ht="15.75" customHeight="1" s="35">
      <c r="A297" s="8" t="inlineStr">
        <is>
          <t>2026-03-25_MDVR_at_STHR</t>
        </is>
      </c>
      <c r="B297" s="2" t="n">
        <v>46106</v>
      </c>
      <c r="C297" s="8" t="inlineStr">
        <is>
          <t>MDVR</t>
        </is>
      </c>
      <c r="D297" s="8" t="inlineStr">
        <is>
          <t>STHR</t>
        </is>
      </c>
      <c r="E297" s="8" t="inlineStr">
        <is>
          <t>T Evan</t>
        </is>
      </c>
      <c r="F297" s="8" t="n">
        <v>3</v>
      </c>
      <c r="G297" s="8" t="n">
        <v>3</v>
      </c>
      <c r="H297" s="8" t="n">
        <v>0</v>
      </c>
      <c r="I297" s="8" t="n">
        <v>0</v>
      </c>
      <c r="J297" s="8" t="n">
        <v>0</v>
      </c>
      <c r="K297" s="8" t="n">
        <v>0</v>
      </c>
      <c r="L297" s="8" t="n">
        <v>0</v>
      </c>
      <c r="M297" s="8" t="n">
        <v>0</v>
      </c>
      <c r="N297" s="8" t="n">
        <v>0</v>
      </c>
      <c r="O297" s="8" t="n">
        <v>2</v>
      </c>
      <c r="P297" s="8" t="n">
        <v>0</v>
      </c>
      <c r="Q297" s="8" t="n">
        <v>0</v>
      </c>
      <c r="R297" s="8" t="inlineStr">
        <is>
          <t>Entry inferred from play #67; no lineup change entry (Flag #2). Was batter B2-B4 before pitching T5. K: L Mateso K_S T5, K Chan K_L T5. No hits allowed. Combined with I Benson and A Richard: STHR no-hitter (Flag #1).</t>
        </is>
      </c>
    </row>
    <row r="298" ht="15.75" customHeight="1" s="35">
      <c r="A298" s="8" t="inlineStr">
        <is>
          <t>2026-03-25_MDVR_at_STHR</t>
        </is>
      </c>
      <c r="B298" s="2" t="n">
        <v>46106</v>
      </c>
      <c r="C298" s="8" t="inlineStr">
        <is>
          <t>STHR</t>
        </is>
      </c>
      <c r="D298" s="8" t="inlineStr">
        <is>
          <t>MDVR</t>
        </is>
      </c>
      <c r="E298" s="8" t="inlineStr">
        <is>
          <t>S Roque</t>
        </is>
      </c>
      <c r="F298" s="8" t="n">
        <v>3</v>
      </c>
      <c r="G298" s="8" t="n">
        <v>14</v>
      </c>
      <c r="H298" s="8" t="n">
        <v>2</v>
      </c>
      <c r="I298" s="8" t="n">
        <v>1</v>
      </c>
      <c r="J298" s="8" t="n">
        <v>1</v>
      </c>
      <c r="K298" s="8" t="n">
        <v>0</v>
      </c>
      <c r="L298" s="8" t="n">
        <v>0</v>
      </c>
      <c r="M298" s="8" t="n">
        <v>4</v>
      </c>
      <c r="N298" s="8" t="n">
        <v>3</v>
      </c>
      <c r="O298" s="8" t="n">
        <v>1</v>
      </c>
      <c r="P298" s="8" t="n">
        <v>8</v>
      </c>
      <c r="Q298" s="8" t="n">
        <v>0</v>
      </c>
      <c r="R298" s="8" t="inlineStr">
        <is>
          <t>Starting pitcher (inferred, no lineup note; Flag #2). HBP: B Crandell B1, C Parks B2, G Crandell B2. BB: N Youmans B1, B Michaud B1, G Colhoun B1, B Michaud B2. K: G Bowen K_L B1. H: N Youmans 1B #20, B Crandell 2B #17. PB play #20 (B Crandell scores on A Kund PB — not WP). Inherited runners N Youmans (1B #20) and B Michaud (BB #21) both scored while #10 pitching (play #23) — 2 R charged to S Roque. R_Allowed: B1(3)+B2-while pitching(3)+inherited scoring(2)=8.</t>
        </is>
      </c>
    </row>
    <row r="299" ht="15.75" customHeight="1" s="35">
      <c r="A299" s="8" t="inlineStr">
        <is>
          <t>2026-03-25_MDVR_at_STHR</t>
        </is>
      </c>
      <c r="B299" s="2" t="n">
        <v>46106</v>
      </c>
      <c r="C299" s="8" t="inlineStr">
        <is>
          <t>STHR</t>
        </is>
      </c>
      <c r="D299" s="8" t="inlineStr">
        <is>
          <t>MDVR</t>
        </is>
      </c>
      <c r="E299" s="8" t="inlineStr">
        <is>
          <t>MDVR_#10</t>
        </is>
      </c>
      <c r="F299" s="8" t="n">
        <v>0</v>
      </c>
      <c r="G299" s="8" t="n">
        <v>7</v>
      </c>
      <c r="H299" s="8" t="n">
        <v>0</v>
      </c>
      <c r="I299" s="8" t="n">
        <v>0</v>
      </c>
      <c r="J299" s="8" t="n">
        <v>0</v>
      </c>
      <c r="K299" s="8" t="n">
        <v>0</v>
      </c>
      <c r="L299" s="8" t="n">
        <v>0</v>
      </c>
      <c r="M299" s="8" t="n">
        <v>5</v>
      </c>
      <c r="N299" s="8" t="n">
        <v>1</v>
      </c>
      <c r="O299" s="8" t="n">
        <v>0</v>
      </c>
      <c r="P299" s="8" t="n">
        <v>7</v>
      </c>
      <c r="Q299" s="8" t="n">
        <v>2</v>
      </c>
      <c r="R299" s="8" t="inlineStr">
        <is>
          <t>Entered play #22 (lineup note). HBP G Colhoun #24. BB: S Lopez #22, G Bowen #23, C Perkins #25, J Dunkerly #26, N Simmons #28. WP plays #23 (N Youmans scores on WP — S Roque runner), #25 (S Lopez scores on WP — #10 runner). Replaced by E Mundo before play #29. Inherited runners: J Dunkerly (BB #26→scores #29 WP), C Parks (ROE #27 while pitching→scores #31), N Simmons (BB #28→scores #32) = 3 R charged to #10. R_Allowed (own runners scoring): S Lopez #25(1)+G Bowen #26(1)+G Colhoun #27(1)+C Perkins #28(1)+J Dunkerly #29(1)+C Parks #31(1)+N Simmons #32(1)=7.</t>
        </is>
      </c>
    </row>
    <row r="300" ht="15.75" customHeight="1" s="35">
      <c r="A300" s="8" t="inlineStr">
        <is>
          <t>2026-03-25_MDVR_at_STHR</t>
        </is>
      </c>
      <c r="B300" s="2" t="n">
        <v>46106</v>
      </c>
      <c r="C300" s="8" t="inlineStr">
        <is>
          <t>STHR</t>
        </is>
      </c>
      <c r="D300" s="8" t="inlineStr">
        <is>
          <t>MDVR</t>
        </is>
      </c>
      <c r="E300" s="8" t="inlineStr">
        <is>
          <t>E Mundo</t>
        </is>
      </c>
      <c r="F300" s="8" t="n">
        <v>8</v>
      </c>
      <c r="G300" s="8" t="n">
        <v>26</v>
      </c>
      <c r="H300" s="8" t="n">
        <v>9</v>
      </c>
      <c r="I300" s="8" t="n">
        <v>9</v>
      </c>
      <c r="J300" s="8" t="n">
        <v>0</v>
      </c>
      <c r="K300" s="8" t="n">
        <v>0</v>
      </c>
      <c r="L300" s="8" t="n">
        <v>0</v>
      </c>
      <c r="M300" s="8" t="n">
        <v>5</v>
      </c>
      <c r="N300" s="8" t="n">
        <v>1</v>
      </c>
      <c r="O300" s="8" t="n">
        <v>6</v>
      </c>
      <c r="P300" s="8" t="n">
        <v>14</v>
      </c>
      <c r="Q300" s="8" t="n">
        <v>1</v>
      </c>
      <c r="R300" s="8" t="inlineStr">
        <is>
          <t>Entry inferred from play description, no lineup note (Flag #2). Entered before play #29. BB: T Evan #29, N Simmons #37, G Perkins #52, T Evan #56, G Godfrey #59. HBP G Bowen #45. K: B Michaud K_L #30, T Evan K_S #38, T Veith K_S #43, S Lopez K_S #44, N Simmons K_S #55, G Colhoun K_S #60. WP play #37 (G Colhoun scores). MDVR E-7 pitcher E Mundo play #57. Replaced by L Dejesus before play #64. Inherited runner from #10: J Dunkerly(#26), C Parks(ROE #27), N Simmons(#28) already charged to #10. Inherited runner C Parks (1B #63, E Mundo runner) scored at #65 WP while L Dejesus pitching = 1 R charged to E Mundo. R_Allowed=14.</t>
        </is>
      </c>
    </row>
    <row r="301" ht="15.75" customHeight="1" s="35">
      <c r="A301" s="8" t="inlineStr">
        <is>
          <t>2026-03-25_MDVR_at_STHR</t>
        </is>
      </c>
      <c r="B301" s="2" t="n">
        <v>46106</v>
      </c>
      <c r="C301" s="8" t="inlineStr">
        <is>
          <t>STHR</t>
        </is>
      </c>
      <c r="D301" s="8" t="inlineStr">
        <is>
          <t>MDVR</t>
        </is>
      </c>
      <c r="E301" s="8" t="inlineStr">
        <is>
          <t>L Dejesus</t>
        </is>
      </c>
      <c r="F301" s="8" t="n">
        <v>1</v>
      </c>
      <c r="G301" s="8" t="n">
        <v>3</v>
      </c>
      <c r="H301" s="8" t="n">
        <v>0</v>
      </c>
      <c r="I301" s="8" t="n">
        <v>0</v>
      </c>
      <c r="J301" s="8" t="n">
        <v>0</v>
      </c>
      <c r="K301" s="8" t="n">
        <v>0</v>
      </c>
      <c r="L301" s="8" t="n">
        <v>0</v>
      </c>
      <c r="M301" s="8" t="n">
        <v>1</v>
      </c>
      <c r="N301" s="8" t="n">
        <v>0</v>
      </c>
      <c r="O301" s="8" t="n">
        <v>1</v>
      </c>
      <c r="P301" s="8" t="n">
        <v>1</v>
      </c>
      <c r="Q301" s="8" t="n">
        <v>3</v>
      </c>
      <c r="R301" s="8" t="inlineStr">
        <is>
          <t>Entry inferred from play description, no lineup note (Flag #2). Entered for play #64. BB T Evan #65. K T Veith K_L #66. WP plays #65 (C Parks scores — E Mundo runner, R charged to E Mundo), #66×2 (N Simmons adv 3rd WP + N Simmons scores WP). Balk play #64 (C Parks adv 2nd — not in schema). R_Allowed: N Simmons (L Dejesus runner from ROE #64) scores play #66 WP = 1 R.</t>
        </is>
      </c>
    </row>
    <row r="302" ht="15.75" customHeight="1" s="35">
      <c r="A302" s="8" t="inlineStr">
        <is>
          <t>2026-03-14_NRTH_at_STHR</t>
        </is>
      </c>
      <c r="B302" s="3" t="n">
        <v>46095</v>
      </c>
      <c r="C302" s="8" t="inlineStr">
        <is>
          <t>Northern Varsity Patriots</t>
        </is>
      </c>
      <c r="D302" s="8" t="inlineStr">
        <is>
          <t>STHR</t>
        </is>
      </c>
      <c r="E302" s="8" t="inlineStr">
        <is>
          <t>G Crandell</t>
        </is>
      </c>
      <c r="F302" s="8" t="n">
        <v>3</v>
      </c>
      <c r="G302" s="8" t="n">
        <v>8</v>
      </c>
      <c r="H302" s="8" t="n">
        <v>2</v>
      </c>
      <c r="I302" s="8" t="n">
        <v>1</v>
      </c>
      <c r="J302" s="8" t="n">
        <v>1</v>
      </c>
      <c r="K302" s="8" t="n">
        <v>0</v>
      </c>
      <c r="L302" s="8" t="n">
        <v>0</v>
      </c>
      <c r="M302" s="8" t="n">
        <v>1</v>
      </c>
      <c r="N302" s="8" t="n">
        <v>1</v>
      </c>
      <c r="O302" s="8" t="n">
        <v>1</v>
      </c>
      <c r="P302" s="8" t="n">
        <v>4</v>
      </c>
      <c r="Q302" s="8" t="n">
        <v>1</v>
      </c>
      <c r="R302" s="8" t="inlineStr">
        <is>
          <t>T1; starter noted as lineup-change at play #1 (Flag #6); WP play #4 (T Holson to 3B, C Renzi to 2B); also bats as position player B1-B7</t>
        </is>
      </c>
    </row>
    <row r="303" ht="15.75" customHeight="1" s="35">
      <c r="A303" s="8" t="inlineStr">
        <is>
          <t>2026-03-14_NRTH_at_STHR</t>
        </is>
      </c>
      <c r="B303" s="3" t="n">
        <v>46095</v>
      </c>
      <c r="C303" s="8" t="inlineStr">
        <is>
          <t>Northern Varsity Patriots</t>
        </is>
      </c>
      <c r="D303" s="8" t="inlineStr">
        <is>
          <t>STHR</t>
        </is>
      </c>
      <c r="E303" s="8" t="inlineStr">
        <is>
          <t>C Parks</t>
        </is>
      </c>
      <c r="F303" s="8" t="n">
        <v>7</v>
      </c>
      <c r="G303" s="8" t="n">
        <v>12</v>
      </c>
      <c r="H303" s="8" t="n">
        <v>4</v>
      </c>
      <c r="I303" s="8" t="n">
        <v>3</v>
      </c>
      <c r="J303" s="8" t="n">
        <v>1</v>
      </c>
      <c r="K303" s="8" t="n">
        <v>0</v>
      </c>
      <c r="L303" s="8" t="n">
        <v>0</v>
      </c>
      <c r="M303" s="8" t="n">
        <v>0</v>
      </c>
      <c r="N303" s="8" t="n">
        <v>0</v>
      </c>
      <c r="O303" s="8" t="n">
        <v>1</v>
      </c>
      <c r="P303" s="8" t="n">
        <v>2</v>
      </c>
      <c r="Q303" s="8" t="n">
        <v>0</v>
      </c>
      <c r="R303" s="8" t="inlineStr">
        <is>
          <t>T2-T4 (plays #14-33); entered play #14; also bats plays #61 #76 as PH (re-entry Flag #5)</t>
        </is>
      </c>
    </row>
    <row r="304" ht="15.75" customHeight="1" s="35">
      <c r="A304" s="8" t="inlineStr">
        <is>
          <t>2026-03-14_NRTH_at_STHR</t>
        </is>
      </c>
      <c r="B304" s="3" t="n">
        <v>46095</v>
      </c>
      <c r="C304" s="8" t="inlineStr">
        <is>
          <t>Northern Varsity Patriots</t>
        </is>
      </c>
      <c r="D304" s="8" t="inlineStr">
        <is>
          <t>STHR</t>
        </is>
      </c>
      <c r="E304" s="8" t="inlineStr">
        <is>
          <t>A Richard</t>
        </is>
      </c>
      <c r="F304" s="8" t="n">
        <v>3</v>
      </c>
      <c r="G304" s="8" t="n">
        <v>7</v>
      </c>
      <c r="H304" s="8" t="n">
        <v>1</v>
      </c>
      <c r="I304" s="8" t="n">
        <v>1</v>
      </c>
      <c r="J304" s="8" t="n">
        <v>0</v>
      </c>
      <c r="K304" s="8" t="n">
        <v>0</v>
      </c>
      <c r="L304" s="8" t="n">
        <v>0</v>
      </c>
      <c r="M304" s="8" t="n">
        <v>2</v>
      </c>
      <c r="N304" s="8" t="n">
        <v>1</v>
      </c>
      <c r="O304" s="8" t="n">
        <v>1</v>
      </c>
      <c r="P304" s="8" t="n">
        <v>3</v>
      </c>
      <c r="Q304" s="8" t="n">
        <v>1</v>
      </c>
      <c r="R304" s="8" t="inlineStr">
        <is>
          <t>T4-T5 (plays #34-45); entered mid-inning play #34; D Rivera runner out (play #34) credited; WP play #45 (#13 scores — no RBI for H Tyree)</t>
        </is>
      </c>
    </row>
    <row r="305" ht="15.75" customHeight="1" s="35">
      <c r="A305" s="8" t="inlineStr">
        <is>
          <t>2026-03-14_NRTH_at_STHR</t>
        </is>
      </c>
      <c r="B305" s="3" t="n">
        <v>46095</v>
      </c>
      <c r="C305" s="8" t="inlineStr">
        <is>
          <t>Northern Varsity Patriots</t>
        </is>
      </c>
      <c r="D305" s="8" t="inlineStr">
        <is>
          <t>STHR</t>
        </is>
      </c>
      <c r="E305" s="8" t="inlineStr">
        <is>
          <t>I Benson</t>
        </is>
      </c>
      <c r="F305" s="8" t="n">
        <v>8</v>
      </c>
      <c r="G305" s="8" t="n">
        <v>11</v>
      </c>
      <c r="H305" s="8" t="n">
        <v>1</v>
      </c>
      <c r="I305" s="8" t="n">
        <v>1</v>
      </c>
      <c r="J305" s="8" t="n">
        <v>0</v>
      </c>
      <c r="K305" s="8" t="n">
        <v>0</v>
      </c>
      <c r="L305" s="8" t="n">
        <v>0</v>
      </c>
      <c r="M305" s="8" t="n">
        <v>2</v>
      </c>
      <c r="N305" s="8" t="n">
        <v>0</v>
      </c>
      <c r="O305" s="8" t="n">
        <v>3</v>
      </c>
      <c r="P305" s="8" t="n">
        <v>3</v>
      </c>
      <c r="Q305" s="8" t="n">
        <v>0</v>
      </c>
      <c r="R305" s="8" t="inlineStr">
        <is>
          <t>T5-T7 (plays #46-74); entries at plays #46 #53 #72 (inning-start re-notations); H Tyree pickoff play #46; 2 PBs: play #54 (#3 scores) and play #57 (T Holson advances to 3B); also bats plays #50 #69</t>
        </is>
      </c>
    </row>
    <row r="306" ht="15.75" customHeight="1" s="35">
      <c r="A306" s="8" t="inlineStr">
        <is>
          <t>2026-03-14_NRTH_at_STHR</t>
        </is>
      </c>
      <c r="B306" s="3" t="n">
        <v>46095</v>
      </c>
      <c r="C306" s="8" t="inlineStr">
        <is>
          <t>Southern Varsity Bulldogs</t>
        </is>
      </c>
      <c r="D306" s="8" t="inlineStr">
        <is>
          <t>NRTH</t>
        </is>
      </c>
      <c r="E306" s="8" t="inlineStr">
        <is>
          <t>#19</t>
        </is>
      </c>
      <c r="F306" s="8" t="n">
        <v>12</v>
      </c>
      <c r="G306" s="8" t="n">
        <v>18</v>
      </c>
      <c r="H306" s="8" t="n">
        <v>3</v>
      </c>
      <c r="I306" s="8" t="n">
        <v>3</v>
      </c>
      <c r="J306" s="8" t="n">
        <v>0</v>
      </c>
      <c r="K306" s="8" t="n">
        <v>0</v>
      </c>
      <c r="L306" s="8" t="n">
        <v>0</v>
      </c>
      <c r="M306" s="8" t="n">
        <v>1</v>
      </c>
      <c r="N306" s="8" t="n">
        <v>1</v>
      </c>
      <c r="O306" s="8" t="n">
        <v>6</v>
      </c>
      <c r="P306" s="8" t="n">
        <v>0</v>
      </c>
      <c r="Q306" s="8" t="n">
        <v>0</v>
      </c>
      <c r="R306" s="8" t="inlineStr">
        <is>
          <t>B1-B4 (plays #9-42); also bats T1-T7; 0 runs allowed in 4 full innings</t>
        </is>
      </c>
    </row>
    <row r="307" ht="15.75" customHeight="1" s="35">
      <c r="A307" s="8" t="inlineStr">
        <is>
          <t>2026-03-14_NRTH_at_STHR</t>
        </is>
      </c>
      <c r="B307" s="3" t="n">
        <v>46095</v>
      </c>
      <c r="C307" s="8" t="inlineStr">
        <is>
          <t>Southern Varsity Bulldogs</t>
        </is>
      </c>
      <c r="D307" s="8" t="inlineStr">
        <is>
          <t>NRTH</t>
        </is>
      </c>
      <c r="E307" s="8" t="inlineStr">
        <is>
          <t>B Irvin</t>
        </is>
      </c>
      <c r="F307" s="8" t="n">
        <v>6</v>
      </c>
      <c r="G307" s="8" t="n">
        <v>18</v>
      </c>
      <c r="H307" s="8" t="n">
        <v>6</v>
      </c>
      <c r="I307" s="8" t="n">
        <v>6</v>
      </c>
      <c r="J307" s="8" t="n">
        <v>0</v>
      </c>
      <c r="K307" s="8" t="n">
        <v>0</v>
      </c>
      <c r="L307" s="8" t="n">
        <v>0</v>
      </c>
      <c r="M307" s="8" t="n">
        <v>5</v>
      </c>
      <c r="N307" s="8" t="n">
        <v>0</v>
      </c>
      <c r="O307" s="8" t="n">
        <v>2</v>
      </c>
      <c r="P307" s="8" t="n">
        <v>7</v>
      </c>
      <c r="Q307" s="8" t="n">
        <v>2</v>
      </c>
      <c r="R307" s="8" t="inlineStr">
        <is>
          <t>B5-B6 (plays #47-71); entry inferred from play descriptions — no lineup-change note (Flag #1); WP plays #61 and #66; PB play #62 (C Parks scores)</t>
        </is>
      </c>
    </row>
    <row r="308" ht="15.75" customHeight="1" s="35">
      <c r="A308" s="8" t="inlineStr">
        <is>
          <t>2026-03-14_NRTH_at_STHR</t>
        </is>
      </c>
      <c r="B308" s="3" t="n">
        <v>46095</v>
      </c>
      <c r="C308" s="8" t="inlineStr">
        <is>
          <t>Southern Varsity Bulldogs</t>
        </is>
      </c>
      <c r="D308" s="8" t="inlineStr">
        <is>
          <t>NRTH</t>
        </is>
      </c>
      <c r="E308" s="8" t="inlineStr">
        <is>
          <t>C Douglas</t>
        </is>
      </c>
      <c r="F308" s="8" t="n">
        <v>3</v>
      </c>
      <c r="G308" s="8" t="n">
        <v>5</v>
      </c>
      <c r="H308" s="8" t="n">
        <v>2</v>
      </c>
      <c r="I308" s="8" t="n">
        <v>2</v>
      </c>
      <c r="J308" s="8" t="n">
        <v>0</v>
      </c>
      <c r="K308" s="8" t="n">
        <v>0</v>
      </c>
      <c r="L308" s="8" t="n">
        <v>0</v>
      </c>
      <c r="M308" s="8" t="n">
        <v>0</v>
      </c>
      <c r="N308" s="8" t="n">
        <v>0</v>
      </c>
      <c r="O308" s="8" t="n">
        <v>1</v>
      </c>
      <c r="P308" s="8" t="n">
        <v>2</v>
      </c>
      <c r="Q308" s="8" t="n">
        <v>0</v>
      </c>
      <c r="R308" s="8" t="inlineStr">
        <is>
          <t>B7 (plays #75-79); entered play #75; 2 R allowed on error by P Magruder play #79; error by T Holson embedded in play #78 (W Thomas advances, no run scored on that error)</t>
        </is>
      </c>
    </row>
    <row r="309" ht="15.75" customHeight="1" s="35">
      <c r="A309" s="8" t="inlineStr">
        <is>
          <t>2026-03-14_STHR_at_ATHL</t>
        </is>
      </c>
      <c r="B309" s="3" t="n">
        <v>46095</v>
      </c>
      <c r="C309" s="8" t="inlineStr">
        <is>
          <t>Atholton Varsity Raiders</t>
        </is>
      </c>
      <c r="D309" s="8" t="inlineStr">
        <is>
          <t>STHR</t>
        </is>
      </c>
      <c r="E309" s="8" t="inlineStr">
        <is>
          <t>N Youmans</t>
        </is>
      </c>
      <c r="F309" s="8" t="n">
        <v>9</v>
      </c>
      <c r="G309" s="8" t="n">
        <v>14</v>
      </c>
      <c r="H309" s="8" t="n">
        <v>5</v>
      </c>
      <c r="I309" s="8" t="n">
        <v>5</v>
      </c>
      <c r="J309" s="8" t="n">
        <v>0</v>
      </c>
      <c r="K309" s="8" t="n">
        <v>0</v>
      </c>
      <c r="L309" s="8" t="n">
        <v>0</v>
      </c>
      <c r="M309" s="8" t="n">
        <v>1</v>
      </c>
      <c r="N309" s="8" t="n">
        <v>1</v>
      </c>
      <c r="O309" s="8" t="n">
        <v>2</v>
      </c>
      <c r="P309" s="8" t="n">
        <v>2</v>
      </c>
      <c r="Q309" s="8" t="n">
        <v>2</v>
      </c>
      <c r="R309" s="8" t="inlineStr">
        <is>
          <t>B1-B3; entry inferred from play #5 — no lineup-change note (Flag #1); WP plays #14 and #17; PB play #17 (catcher); pickoff outs: #9 play #7, J Dailey play #27</t>
        </is>
      </c>
    </row>
    <row r="310" ht="15.75" customHeight="1" s="35">
      <c r="A310" s="8" t="inlineStr">
        <is>
          <t>2026-03-14_STHR_at_ATHL</t>
        </is>
      </c>
      <c r="B310" s="3" t="n">
        <v>46095</v>
      </c>
      <c r="C310" s="8" t="inlineStr">
        <is>
          <t>Atholton Varsity Raiders</t>
        </is>
      </c>
      <c r="D310" s="8" t="inlineStr">
        <is>
          <t>STHR</t>
        </is>
      </c>
      <c r="E310" s="8" t="inlineStr">
        <is>
          <t>G Bowen</t>
        </is>
      </c>
      <c r="F310" s="8" t="n">
        <v>2</v>
      </c>
      <c r="G310" s="8" t="n">
        <v>9</v>
      </c>
      <c r="H310" s="8" t="n">
        <v>4</v>
      </c>
      <c r="I310" s="8" t="n">
        <v>3</v>
      </c>
      <c r="J310" s="8" t="n">
        <v>1</v>
      </c>
      <c r="K310" s="8" t="n">
        <v>0</v>
      </c>
      <c r="L310" s="8" t="n">
        <v>0</v>
      </c>
      <c r="M310" s="8" t="n">
        <v>2</v>
      </c>
      <c r="N310" s="8" t="n">
        <v>0</v>
      </c>
      <c r="O310" s="8" t="n">
        <v>0</v>
      </c>
      <c r="P310" s="8" t="n">
        <v>5</v>
      </c>
      <c r="Q310" s="8" t="n">
        <v>1</v>
      </c>
      <c r="R310" s="8" t="inlineStr">
        <is>
          <t>B4 partial plays #36-#44; entered play #36; WP play #44 (L Byrns scores); 2 outs before T Evan entry play #45; also bats T7</t>
        </is>
      </c>
    </row>
    <row r="311" ht="15.75" customHeight="1" s="35">
      <c r="A311" s="8" t="inlineStr">
        <is>
          <t>2026-03-14_STHR_at_ATHL</t>
        </is>
      </c>
      <c r="B311" s="3" t="n">
        <v>46095</v>
      </c>
      <c r="C311" s="8" t="inlineStr">
        <is>
          <t>Atholton Varsity Raiders</t>
        </is>
      </c>
      <c r="D311" s="8" t="inlineStr">
        <is>
          <t>STHR</t>
        </is>
      </c>
      <c r="E311" s="8" t="inlineStr">
        <is>
          <t>T Evan</t>
        </is>
      </c>
      <c r="F311" s="8" t="n">
        <v>4</v>
      </c>
      <c r="G311" s="8" t="n">
        <v>8</v>
      </c>
      <c r="H311" s="8" t="n">
        <v>2</v>
      </c>
      <c r="I311" s="8" t="n">
        <v>2</v>
      </c>
      <c r="J311" s="8" t="n">
        <v>0</v>
      </c>
      <c r="K311" s="8" t="n">
        <v>0</v>
      </c>
      <c r="L311" s="8" t="n">
        <v>0</v>
      </c>
      <c r="M311" s="8" t="n">
        <v>1</v>
      </c>
      <c r="N311" s="8" t="n">
        <v>0</v>
      </c>
      <c r="O311" s="8" t="n">
        <v>1</v>
      </c>
      <c r="P311" s="8" t="n">
        <v>2</v>
      </c>
      <c r="Q311" s="8" t="n">
        <v>1</v>
      </c>
      <c r="R311" s="8" t="inlineStr">
        <is>
          <t>B4 partial-B5; entered play #45 mid-B4; WP play #56 (T MacKenzie scores); PB play #54 (catcher — Dropped 3rd Strike #23 reaches); also bats T3 and T4</t>
        </is>
      </c>
    </row>
    <row r="312" ht="15.75" customHeight="1" s="35">
      <c r="A312" s="8" t="inlineStr">
        <is>
          <t>2026-03-14_STHR_at_ATHL</t>
        </is>
      </c>
      <c r="B312" s="3" t="n">
        <v>46095</v>
      </c>
      <c r="C312" s="8" t="inlineStr">
        <is>
          <t>Atholton Varsity Raiders</t>
        </is>
      </c>
      <c r="D312" s="8" t="inlineStr">
        <is>
          <t>STHR</t>
        </is>
      </c>
      <c r="E312" s="8" t="inlineStr">
        <is>
          <t>W Thomas</t>
        </is>
      </c>
      <c r="F312" s="8" t="n">
        <v>3</v>
      </c>
      <c r="G312" s="8" t="n">
        <v>3</v>
      </c>
      <c r="H312" s="8" t="n">
        <v>0</v>
      </c>
      <c r="I312" s="8" t="n">
        <v>0</v>
      </c>
      <c r="J312" s="8" t="n">
        <v>0</v>
      </c>
      <c r="K312" s="8" t="n">
        <v>0</v>
      </c>
      <c r="L312" s="8" t="n">
        <v>0</v>
      </c>
      <c r="M312" s="8" t="n">
        <v>0</v>
      </c>
      <c r="N312" s="8" t="n">
        <v>0</v>
      </c>
      <c r="O312" s="8" t="n">
        <v>0</v>
      </c>
      <c r="P312" s="8" t="n">
        <v>0</v>
      </c>
      <c r="Q312" s="8" t="n">
        <v>0</v>
      </c>
      <c r="R312" s="8" t="inlineStr">
        <is>
          <t>B6; entered play #64; also bats T2 and T4</t>
        </is>
      </c>
    </row>
    <row r="313" ht="15.75" customHeight="1" s="35">
      <c r="A313" s="8" t="inlineStr">
        <is>
          <t>2026-03-14_STHR_at_ATHL</t>
        </is>
      </c>
      <c r="B313" s="3" t="n">
        <v>46095</v>
      </c>
      <c r="C313" s="8" t="inlineStr">
        <is>
          <t>Atholton Varsity Raiders</t>
        </is>
      </c>
      <c r="D313" s="8" t="inlineStr">
        <is>
          <t>STHR</t>
        </is>
      </c>
      <c r="E313" s="8" t="inlineStr">
        <is>
          <t>G Godfrey</t>
        </is>
      </c>
      <c r="F313" s="8" t="n">
        <v>1</v>
      </c>
      <c r="G313" s="8" t="n">
        <v>5</v>
      </c>
      <c r="H313" s="8" t="n">
        <v>1</v>
      </c>
      <c r="I313" s="8" t="n">
        <v>1</v>
      </c>
      <c r="J313" s="8" t="n">
        <v>0</v>
      </c>
      <c r="K313" s="8" t="n">
        <v>0</v>
      </c>
      <c r="L313" s="8" t="n">
        <v>0</v>
      </c>
      <c r="M313" s="8" t="n">
        <v>1</v>
      </c>
      <c r="N313" s="8" t="n">
        <v>0</v>
      </c>
      <c r="O313" s="8" t="n">
        <v>0</v>
      </c>
      <c r="P313" s="8" t="n">
        <v>1</v>
      </c>
      <c r="Q313" s="8" t="n">
        <v>2</v>
      </c>
      <c r="R313" s="8" t="inlineStr">
        <is>
          <t>B7; entered play #72; WP plays #74 and #76 (N Weinig advances and scores — game-ending WP); walk-off: 1 out recorded in B7; also bats T2, T4, T6</t>
        </is>
      </c>
    </row>
    <row r="314" ht="15.75" customHeight="1" s="35">
      <c r="A314" s="8" t="inlineStr">
        <is>
          <t>2026-03-14_STHR_at_ATHL</t>
        </is>
      </c>
      <c r="B314" s="3" t="n">
        <v>46095</v>
      </c>
      <c r="C314" s="8" t="inlineStr">
        <is>
          <t>Southern Varsity Bulldogs</t>
        </is>
      </c>
      <c r="D314" s="8" t="inlineStr">
        <is>
          <t>ATHL</t>
        </is>
      </c>
      <c r="E314" s="8" t="inlineStr">
        <is>
          <t>#2</t>
        </is>
      </c>
      <c r="F314" s="8" t="n">
        <v>6</v>
      </c>
      <c r="G314" s="8" t="n">
        <v>8</v>
      </c>
      <c r="H314" s="8" t="n">
        <v>3</v>
      </c>
      <c r="I314" s="8" t="n">
        <v>3</v>
      </c>
      <c r="J314" s="8" t="n">
        <v>0</v>
      </c>
      <c r="K314" s="8" t="n">
        <v>0</v>
      </c>
      <c r="L314" s="8" t="n">
        <v>0</v>
      </c>
      <c r="M314" s="8" t="n">
        <v>0</v>
      </c>
      <c r="N314" s="8" t="n">
        <v>0</v>
      </c>
      <c r="O314" s="8" t="n">
        <v>1</v>
      </c>
      <c r="P314" s="8" t="n">
        <v>2</v>
      </c>
      <c r="Q314" s="8" t="n">
        <v>0</v>
      </c>
      <c r="R314" s="8" t="inlineStr">
        <is>
          <t>T1-T2; entry documented via play #1 lineup note (Flag #1 notation for play #9 is continuation, not new entry); K: B Bowers K_L play #9; pickoff out: G Godfrey Runner Out play #12</t>
        </is>
      </c>
    </row>
    <row r="315" ht="15.75" customHeight="1" s="35">
      <c r="A315" s="8" t="inlineStr">
        <is>
          <t>2026-03-14_STHR_at_ATHL</t>
        </is>
      </c>
      <c r="B315" s="3" t="n">
        <v>46095</v>
      </c>
      <c r="C315" s="8" t="inlineStr">
        <is>
          <t>Southern Varsity Bulldogs</t>
        </is>
      </c>
      <c r="D315" s="8" t="inlineStr">
        <is>
          <t>ATHL</t>
        </is>
      </c>
      <c r="E315" s="8" t="inlineStr">
        <is>
          <t>T MacKenzie</t>
        </is>
      </c>
      <c r="F315" s="8" t="n">
        <v>3</v>
      </c>
      <c r="G315" s="8" t="n">
        <v>5</v>
      </c>
      <c r="H315" s="8" t="n">
        <v>1</v>
      </c>
      <c r="I315" s="8" t="n">
        <v>0</v>
      </c>
      <c r="J315" s="8" t="n">
        <v>0</v>
      </c>
      <c r="K315" s="8" t="n">
        <v>0</v>
      </c>
      <c r="L315" s="8" t="n">
        <v>1</v>
      </c>
      <c r="M315" s="8" t="n">
        <v>0</v>
      </c>
      <c r="N315" s="8" t="n">
        <v>0</v>
      </c>
      <c r="O315" s="8" t="n">
        <v>0</v>
      </c>
      <c r="P315" s="8" t="n">
        <v>2</v>
      </c>
      <c r="Q315" s="8" t="n">
        <v>0</v>
      </c>
      <c r="R315" s="8" t="inlineStr">
        <is>
          <t>T3; entered play #20; HR allowed: B Crandell play #23 (2R); also bats B2-B7</t>
        </is>
      </c>
    </row>
    <row r="316" ht="15.75" customHeight="1" s="35">
      <c r="A316" s="8" t="inlineStr">
        <is>
          <t>2026-03-14_STHR_at_ATHL</t>
        </is>
      </c>
      <c r="B316" s="3" t="n">
        <v>46095</v>
      </c>
      <c r="C316" s="8" t="inlineStr">
        <is>
          <t>Southern Varsity Bulldogs</t>
        </is>
      </c>
      <c r="D316" s="8" t="inlineStr">
        <is>
          <t>ATHL</t>
        </is>
      </c>
      <c r="E316" s="8" t="inlineStr">
        <is>
          <t>#8</t>
        </is>
      </c>
      <c r="F316" s="8" t="n">
        <v>6</v>
      </c>
      <c r="G316" s="8" t="n">
        <v>10</v>
      </c>
      <c r="H316" s="8" t="n">
        <v>3</v>
      </c>
      <c r="I316" s="8" t="n">
        <v>2</v>
      </c>
      <c r="J316" s="8" t="n">
        <v>1</v>
      </c>
      <c r="K316" s="8" t="n">
        <v>0</v>
      </c>
      <c r="L316" s="8" t="n">
        <v>0</v>
      </c>
      <c r="M316" s="8" t="n">
        <v>2</v>
      </c>
      <c r="N316" s="8" t="n">
        <v>0</v>
      </c>
      <c r="O316" s="8" t="n">
        <v>2</v>
      </c>
      <c r="P316" s="8" t="n">
        <v>2</v>
      </c>
      <c r="Q316" s="8" t="n">
        <v>1</v>
      </c>
      <c r="R316" s="8" t="inlineStr">
        <is>
          <t>T4-T5; entered play #29 (documented via lineup note); K: B Michaud K_S #47, C Perkins K_S #48; WP play #50 (B Crandell advances 2nd); also bats B1-B7</t>
        </is>
      </c>
    </row>
    <row r="317" ht="15.75" customHeight="1" s="35">
      <c r="A317" s="8" t="inlineStr">
        <is>
          <t>2026-03-14_STHR_at_ATHL</t>
        </is>
      </c>
      <c r="B317" s="3" t="n">
        <v>46095</v>
      </c>
      <c r="C317" s="8" t="inlineStr">
        <is>
          <t>Southern Varsity Bulldogs</t>
        </is>
      </c>
      <c r="D317" s="8" t="inlineStr">
        <is>
          <t>ATHL</t>
        </is>
      </c>
      <c r="E317" s="8" t="inlineStr">
        <is>
          <t>#15</t>
        </is>
      </c>
      <c r="F317" s="8" t="n">
        <v>6</v>
      </c>
      <c r="G317" s="8" t="n">
        <v>12</v>
      </c>
      <c r="H317" s="8" t="n">
        <v>2</v>
      </c>
      <c r="I317" s="8" t="n">
        <v>0</v>
      </c>
      <c r="J317" s="8" t="n">
        <v>2</v>
      </c>
      <c r="K317" s="8" t="n">
        <v>0</v>
      </c>
      <c r="L317" s="8" t="n">
        <v>0</v>
      </c>
      <c r="M317" s="8" t="n">
        <v>2</v>
      </c>
      <c r="N317" s="8" t="n">
        <v>1</v>
      </c>
      <c r="O317" s="8" t="n">
        <v>3</v>
      </c>
      <c r="P317" s="8" t="n">
        <v>3</v>
      </c>
      <c r="Q317" s="8" t="n">
        <v>1</v>
      </c>
      <c r="R317" s="8" t="inlineStr">
        <is>
          <t>T6-T7; entered play #57; K: G Godfrey K_L #62, N Simmons K_L #67, G Bowen K_L #70; WP play #60 (J Dunkerly/G Crandell scores); HBP: S Lopez play #68</t>
        </is>
      </c>
    </row>
    <row r="318" ht="15.75" customHeight="1" s="35">
      <c r="A318" s="8" t="inlineStr">
        <is>
          <t>2026-03-18_PTXN_at_STHR</t>
        </is>
      </c>
      <c r="B318" s="3" t="n">
        <v>46099</v>
      </c>
      <c r="C318" s="8" t="inlineStr">
        <is>
          <t>Patuxent Varsity Panthers 26</t>
        </is>
      </c>
      <c r="D318" s="8" t="inlineStr">
        <is>
          <t>STHR</t>
        </is>
      </c>
      <c r="E318" s="8" t="inlineStr">
        <is>
          <t>I Benson</t>
        </is>
      </c>
      <c r="F318" s="8" t="n">
        <v>3</v>
      </c>
      <c r="G318" s="8" t="n">
        <v>3</v>
      </c>
      <c r="H318" s="8" t="n">
        <v>0</v>
      </c>
      <c r="I318" s="8" t="n">
        <v>0</v>
      </c>
      <c r="J318" s="8" t="n">
        <v>0</v>
      </c>
      <c r="K318" s="8" t="n">
        <v>0</v>
      </c>
      <c r="L318" s="8" t="n">
        <v>0</v>
      </c>
      <c r="M318" s="8" t="n">
        <v>0</v>
      </c>
      <c r="N318" s="8" t="n">
        <v>0</v>
      </c>
      <c r="O318" s="8" t="n">
        <v>0</v>
      </c>
      <c r="P318" s="8" t="n">
        <v>0</v>
      </c>
      <c r="Q318" s="8" t="n">
        <v>0</v>
      </c>
      <c r="R318" s="8" t="inlineStr">
        <is>
          <t>T1; entered play #1 (documented); also bats B2 and B5-B7</t>
        </is>
      </c>
    </row>
    <row r="319" ht="15.75" customHeight="1" s="35">
      <c r="A319" s="8" t="inlineStr">
        <is>
          <t>2026-03-18_PTXN_at_STHR</t>
        </is>
      </c>
      <c r="B319" s="3" t="n">
        <v>46099</v>
      </c>
      <c r="C319" s="8" t="inlineStr">
        <is>
          <t>Patuxent Varsity Panthers 26</t>
        </is>
      </c>
      <c r="D319" s="8" t="inlineStr">
        <is>
          <t>STHR</t>
        </is>
      </c>
      <c r="E319" s="8" t="inlineStr">
        <is>
          <t>G Bowen</t>
        </is>
      </c>
      <c r="F319" s="8" t="n">
        <v>3</v>
      </c>
      <c r="G319" s="8" t="n">
        <v>4</v>
      </c>
      <c r="H319" s="8" t="n">
        <v>1</v>
      </c>
      <c r="I319" s="8" t="n">
        <v>1</v>
      </c>
      <c r="J319" s="8" t="n">
        <v>0</v>
      </c>
      <c r="K319" s="8" t="n">
        <v>0</v>
      </c>
      <c r="L319" s="8" t="n">
        <v>0</v>
      </c>
      <c r="M319" s="8" t="n">
        <v>1</v>
      </c>
      <c r="N319" s="8" t="n">
        <v>0</v>
      </c>
      <c r="O319" s="8" t="n">
        <v>1</v>
      </c>
      <c r="P319" s="8" t="n">
        <v>0</v>
      </c>
      <c r="Q319" s="8" t="n">
        <v>1</v>
      </c>
      <c r="R319" s="8" t="inlineStr">
        <is>
          <t>T2; entered play #7 (documented); WP play #8 (R Whitney to 2nd); R Whitney out advancing to home during N Kelly 1B play #9 (3rd out); also CR for C Parks B4 and PH B6</t>
        </is>
      </c>
    </row>
    <row r="320" ht="15.75" customHeight="1" s="35">
      <c r="A320" s="8" t="inlineStr">
        <is>
          <t>2026-03-18_PTXN_at_STHR</t>
        </is>
      </c>
      <c r="B320" s="3" t="n">
        <v>46099</v>
      </c>
      <c r="C320" s="8" t="inlineStr">
        <is>
          <t>Patuxent Varsity Panthers 26</t>
        </is>
      </c>
      <c r="D320" s="8" t="inlineStr">
        <is>
          <t>STHR</t>
        </is>
      </c>
      <c r="E320" s="8" t="inlineStr">
        <is>
          <t>G Crandell</t>
        </is>
      </c>
      <c r="F320" s="8" t="n">
        <v>3</v>
      </c>
      <c r="G320" s="8" t="n">
        <v>4</v>
      </c>
      <c r="H320" s="8" t="n">
        <v>0</v>
      </c>
      <c r="I320" s="8" t="n">
        <v>0</v>
      </c>
      <c r="J320" s="8" t="n">
        <v>0</v>
      </c>
      <c r="K320" s="8" t="n">
        <v>0</v>
      </c>
      <c r="L320" s="8" t="n">
        <v>0</v>
      </c>
      <c r="M320" s="8" t="n">
        <v>1</v>
      </c>
      <c r="N320" s="8" t="n">
        <v>0</v>
      </c>
      <c r="O320" s="8" t="n">
        <v>3</v>
      </c>
      <c r="P320" s="8" t="n">
        <v>0</v>
      </c>
      <c r="Q320" s="8" t="n">
        <v>0</v>
      </c>
      <c r="R320" s="8" t="inlineStr">
        <is>
          <t>T3; entered play #16 (documented); K: N Sands K_S #16, D Bradley K_L #17, B Cowan K_S #19; also bats B1 and B4</t>
        </is>
      </c>
    </row>
    <row r="321" ht="15.75" customHeight="1" s="35">
      <c r="A321" s="8" t="inlineStr">
        <is>
          <t>2026-03-18_PTXN_at_STHR</t>
        </is>
      </c>
      <c r="B321" s="3" t="n">
        <v>46099</v>
      </c>
      <c r="C321" s="8" t="inlineStr">
        <is>
          <t>Patuxent Varsity Panthers 26</t>
        </is>
      </c>
      <c r="D321" s="8" t="inlineStr">
        <is>
          <t>STHR</t>
        </is>
      </c>
      <c r="E321" s="8" t="inlineStr">
        <is>
          <t>N Youmans</t>
        </is>
      </c>
      <c r="F321" s="8" t="n">
        <v>2</v>
      </c>
      <c r="G321" s="8" t="n">
        <v>7</v>
      </c>
      <c r="H321" s="8" t="n">
        <v>1</v>
      </c>
      <c r="I321" s="8" t="n">
        <v>0</v>
      </c>
      <c r="J321" s="8" t="n">
        <v>1</v>
      </c>
      <c r="K321" s="8" t="n">
        <v>0</v>
      </c>
      <c r="L321" s="8" t="n">
        <v>0</v>
      </c>
      <c r="M321" s="8" t="n">
        <v>0</v>
      </c>
      <c r="N321" s="8" t="n">
        <v>3</v>
      </c>
      <c r="O321" s="8" t="n">
        <v>0</v>
      </c>
      <c r="P321" s="8" t="n">
        <v>5</v>
      </c>
      <c r="Q321" s="8" t="n">
        <v>2</v>
      </c>
      <c r="R321" s="8" t="inlineStr">
        <is>
          <t>T4 partial plays #24-#30; entered play #24 (documented); HBP: R Whitney #26, N Kelly #28, C White #29; WP plays #25 and #28; PB play #30 (C Jones scores — noted only, not in schema); 2 outs (GO #25, SAC #30); also bats B2 and B4-B5</t>
        </is>
      </c>
    </row>
    <row r="322" ht="15.75" customHeight="1" s="35">
      <c r="A322" s="8" t="inlineStr">
        <is>
          <t>2026-03-18_PTXN_at_STHR</t>
        </is>
      </c>
      <c r="B322" s="3" t="n">
        <v>46099</v>
      </c>
      <c r="C322" s="8" t="inlineStr">
        <is>
          <t>Patuxent Varsity Panthers 26</t>
        </is>
      </c>
      <c r="D322" s="8" t="inlineStr">
        <is>
          <t>STHR</t>
        </is>
      </c>
      <c r="E322" s="8" t="inlineStr">
        <is>
          <t>C Parks</t>
        </is>
      </c>
      <c r="F322" s="8" t="n">
        <v>1</v>
      </c>
      <c r="G322" s="8" t="n">
        <v>4</v>
      </c>
      <c r="H322" s="8" t="n">
        <v>1</v>
      </c>
      <c r="I322" s="8" t="n">
        <v>1</v>
      </c>
      <c r="J322" s="8" t="n">
        <v>0</v>
      </c>
      <c r="K322" s="8" t="n">
        <v>0</v>
      </c>
      <c r="L322" s="8" t="n">
        <v>0</v>
      </c>
      <c r="M322" s="8" t="n">
        <v>0</v>
      </c>
      <c r="N322" s="8" t="n">
        <v>2</v>
      </c>
      <c r="O322" s="8" t="n">
        <v>0</v>
      </c>
      <c r="P322" s="8" t="n">
        <v>0</v>
      </c>
      <c r="Q322" s="8" t="n">
        <v>0</v>
      </c>
      <c r="R322" s="8" t="inlineStr">
        <is>
          <t>T4 end plays #31-#34; entered play #31 (documented); HBP: R Hawkins #32, B Cowan #33; 1 out (T Lakey LineOut #34); also bats B1 and B4-B6</t>
        </is>
      </c>
    </row>
    <row r="323" ht="15.75" customHeight="1" s="35">
      <c r="A323" s="8" t="inlineStr">
        <is>
          <t>2026-03-18_PTXN_at_STHR</t>
        </is>
      </c>
      <c r="B323" s="3" t="n">
        <v>46099</v>
      </c>
      <c r="C323" s="8" t="inlineStr">
        <is>
          <t>Patuxent Varsity Panthers 26</t>
        </is>
      </c>
      <c r="D323" s="8" t="inlineStr">
        <is>
          <t>STHR</t>
        </is>
      </c>
      <c r="E323" s="8" t="inlineStr">
        <is>
          <t>A Richard</t>
        </is>
      </c>
      <c r="F323" s="8" t="n">
        <v>3</v>
      </c>
      <c r="G323" s="8" t="n">
        <v>6</v>
      </c>
      <c r="H323" s="8" t="n">
        <v>1</v>
      </c>
      <c r="I323" s="8" t="n">
        <v>1</v>
      </c>
      <c r="J323" s="8" t="n">
        <v>0</v>
      </c>
      <c r="K323" s="8" t="n">
        <v>0</v>
      </c>
      <c r="L323" s="8" t="n">
        <v>0</v>
      </c>
      <c r="M323" s="8" t="n">
        <v>4</v>
      </c>
      <c r="N323" s="8" t="n">
        <v>0</v>
      </c>
      <c r="O323" s="8" t="n">
        <v>1</v>
      </c>
      <c r="P323" s="8" t="n">
        <v>2</v>
      </c>
      <c r="Q323" s="8" t="n">
        <v>1</v>
      </c>
      <c r="R323" s="8" t="inlineStr">
        <is>
          <t>T5; entered play #39 (documented); BB: L Powell, N Kelly, C White, N Sands; K: C Jones K_S #41; WP play #43 (L Powell scores); balk play #42 (not in schema); scorekeeper-ended inning play #45 (Flag #5); outs counter = 3</t>
        </is>
      </c>
    </row>
    <row r="324" ht="15.75" customHeight="1" s="35">
      <c r="A324" s="8" t="inlineStr">
        <is>
          <t>2026-03-18_PTXN_at_STHR</t>
        </is>
      </c>
      <c r="B324" s="3" t="n">
        <v>46099</v>
      </c>
      <c r="C324" s="8" t="inlineStr">
        <is>
          <t>Patuxent Varsity Panthers 26</t>
        </is>
      </c>
      <c r="D324" s="8" t="inlineStr">
        <is>
          <t>STHR</t>
        </is>
      </c>
      <c r="E324" s="8" t="inlineStr">
        <is>
          <t>G Godfrey</t>
        </is>
      </c>
      <c r="F324" s="8" t="n">
        <v>3</v>
      </c>
      <c r="G324" s="8" t="n">
        <v>6</v>
      </c>
      <c r="H324" s="8" t="n">
        <v>0</v>
      </c>
      <c r="I324" s="8" t="n">
        <v>0</v>
      </c>
      <c r="J324" s="8" t="n">
        <v>0</v>
      </c>
      <c r="K324" s="8" t="n">
        <v>0</v>
      </c>
      <c r="L324" s="8" t="n">
        <v>0</v>
      </c>
      <c r="M324" s="8" t="n">
        <v>0</v>
      </c>
      <c r="N324" s="8" t="n">
        <v>1</v>
      </c>
      <c r="O324" s="8" t="n">
        <v>1</v>
      </c>
      <c r="P324" s="8" t="n">
        <v>1</v>
      </c>
      <c r="Q324" s="8" t="n">
        <v>1</v>
      </c>
      <c r="R324" s="8" t="inlineStr">
        <is>
          <t>T6; entered play #49 (documented); HBP: B Cowan #51; K: R Hawkins K_S #50; WP play #50 (D Bradley to 3rd); R: D Bradley scores on error #53; also bats B2 and B5-B6</t>
        </is>
      </c>
    </row>
    <row r="325" ht="15.75" customHeight="1" s="35">
      <c r="A325" s="8" t="inlineStr">
        <is>
          <t>2026-03-18_PTXN_at_STHR</t>
        </is>
      </c>
      <c r="B325" s="3" t="n">
        <v>46099</v>
      </c>
      <c r="C325" s="8" t="inlineStr">
        <is>
          <t>Patuxent Varsity Panthers 26</t>
        </is>
      </c>
      <c r="D325" s="8" t="inlineStr">
        <is>
          <t>STHR</t>
        </is>
      </c>
      <c r="E325" s="8" t="inlineStr">
        <is>
          <t>W Thomas</t>
        </is>
      </c>
      <c r="F325" s="8" t="n">
        <v>3</v>
      </c>
      <c r="G325" s="8" t="n">
        <v>4</v>
      </c>
      <c r="H325" s="8" t="n">
        <v>0</v>
      </c>
      <c r="I325" s="8" t="n">
        <v>0</v>
      </c>
      <c r="J325" s="8" t="n">
        <v>0</v>
      </c>
      <c r="K325" s="8" t="n">
        <v>0</v>
      </c>
      <c r="L325" s="8" t="n">
        <v>0</v>
      </c>
      <c r="M325" s="8" t="n">
        <v>1</v>
      </c>
      <c r="N325" s="8" t="n">
        <v>0</v>
      </c>
      <c r="O325" s="8" t="n">
        <v>3</v>
      </c>
      <c r="P325" s="8" t="n">
        <v>0</v>
      </c>
      <c r="Q325" s="8" t="n">
        <v>1</v>
      </c>
      <c r="R325" s="8" t="inlineStr">
        <is>
          <t>T7; entered play #59 (documented); BB: T OShea #59; K: N Kelly K_S #60, C White K_L #61, N Sands K_L #62; WP play #61 (T OShea to 2nd); also bats B2, B5, B7</t>
        </is>
      </c>
    </row>
    <row r="326" ht="15.75" customHeight="1" s="35">
      <c r="A326" s="8" t="inlineStr">
        <is>
          <t>2026-03-18_PTXN_at_STHR</t>
        </is>
      </c>
      <c r="B326" s="3" t="n">
        <v>46099</v>
      </c>
      <c r="C326" s="8" t="inlineStr">
        <is>
          <t>Southern Varsity Bulldogs</t>
        </is>
      </c>
      <c r="D326" s="8" t="inlineStr">
        <is>
          <t>PTXN</t>
        </is>
      </c>
      <c r="E326" s="8" t="inlineStr">
        <is>
          <t>R Whitney</t>
        </is>
      </c>
      <c r="F326" s="8" t="n">
        <v>3</v>
      </c>
      <c r="G326" s="8" t="n">
        <v>3</v>
      </c>
      <c r="H326" s="8" t="n">
        <v>0</v>
      </c>
      <c r="I326" s="8" t="n">
        <v>0</v>
      </c>
      <c r="J326" s="8" t="n">
        <v>0</v>
      </c>
      <c r="K326" s="8" t="n">
        <v>0</v>
      </c>
      <c r="L326" s="8" t="n">
        <v>0</v>
      </c>
      <c r="M326" s="8" t="n">
        <v>1</v>
      </c>
      <c r="N326" s="8" t="n">
        <v>0</v>
      </c>
      <c r="O326" s="8" t="n">
        <v>1</v>
      </c>
      <c r="P326" s="8" t="n">
        <v>0</v>
      </c>
      <c r="Q326" s="8" t="n">
        <v>0</v>
      </c>
      <c r="R326" s="8" t="inlineStr">
        <is>
          <t>B1; entry inferred play #4 — no lineup-change note (Flag #2); BB: B Crandell #4; K: G Crandell K_S #6; GDP play #5 (2 outs); also bats T2-T6</t>
        </is>
      </c>
    </row>
    <row r="327" ht="15.75" customHeight="1" s="35">
      <c r="A327" s="8" t="inlineStr">
        <is>
          <t>2026-03-18_PTXN_at_STHR</t>
        </is>
      </c>
      <c r="B327" s="3" t="n">
        <v>46099</v>
      </c>
      <c r="C327" s="8" t="inlineStr">
        <is>
          <t>Southern Varsity Bulldogs</t>
        </is>
      </c>
      <c r="D327" s="8" t="inlineStr">
        <is>
          <t>PTXN</t>
        </is>
      </c>
      <c r="E327" s="8" t="inlineStr">
        <is>
          <t>T Lakey</t>
        </is>
      </c>
      <c r="F327" s="8" t="n">
        <v>3</v>
      </c>
      <c r="G327" s="8" t="n">
        <v>5</v>
      </c>
      <c r="H327" s="8" t="n">
        <v>0</v>
      </c>
      <c r="I327" s="8" t="n">
        <v>0</v>
      </c>
      <c r="J327" s="8" t="n">
        <v>0</v>
      </c>
      <c r="K327" s="8" t="n">
        <v>0</v>
      </c>
      <c r="L327" s="8" t="n">
        <v>0</v>
      </c>
      <c r="M327" s="8" t="n">
        <v>2</v>
      </c>
      <c r="N327" s="8" t="n">
        <v>0</v>
      </c>
      <c r="O327" s="8" t="n">
        <v>1</v>
      </c>
      <c r="P327" s="8" t="n">
        <v>1</v>
      </c>
      <c r="Q327" s="8" t="n">
        <v>0</v>
      </c>
      <c r="R327" s="8" t="inlineStr">
        <is>
          <t>B2; entry inferred play #11 — no lineup-change note (Flag #2); BB: N Youmans #11, G Godfrey #13; K: I Benson K_S #15; R: N Youmans scores on W Thomas FC play #14; also bats T1-T7</t>
        </is>
      </c>
    </row>
    <row r="328" ht="15.75" customHeight="1" s="35">
      <c r="A328" s="8" t="inlineStr">
        <is>
          <t>2026-03-18_PTXN_at_STHR</t>
        </is>
      </c>
      <c r="B328" s="3" t="n">
        <v>46099</v>
      </c>
      <c r="C328" s="8" t="inlineStr">
        <is>
          <t>Southern Varsity Bulldogs</t>
        </is>
      </c>
      <c r="D328" s="8" t="inlineStr">
        <is>
          <t>PTXN</t>
        </is>
      </c>
      <c r="E328" s="8" t="inlineStr">
        <is>
          <t>N Kelly</t>
        </is>
      </c>
      <c r="F328" s="8" t="n">
        <v>3</v>
      </c>
      <c r="G328" s="8" t="n">
        <v>3</v>
      </c>
      <c r="H328" s="8" t="n">
        <v>1</v>
      </c>
      <c r="I328" s="8" t="n">
        <v>1</v>
      </c>
      <c r="J328" s="8" t="n">
        <v>0</v>
      </c>
      <c r="K328" s="8" t="n">
        <v>0</v>
      </c>
      <c r="L328" s="8" t="n">
        <v>0</v>
      </c>
      <c r="M328" s="8" t="n">
        <v>0</v>
      </c>
      <c r="N328" s="8" t="n">
        <v>0</v>
      </c>
      <c r="O328" s="8" t="n">
        <v>2</v>
      </c>
      <c r="P328" s="8" t="n">
        <v>0</v>
      </c>
      <c r="Q328" s="8" t="n">
        <v>0</v>
      </c>
      <c r="R328" s="8" t="inlineStr">
        <is>
          <t>B3; entry inferred play #20 — no lineup-change note (Flag #2); K: B Michaud K_S #20, B Crandell K_L #22; H: C Perkins 1B #21; Runner Out play #23 (J Dunkerly CS = 3rd out); also bats T2-T7</t>
        </is>
      </c>
    </row>
    <row r="329" ht="15.75" customHeight="1" s="35">
      <c r="A329" s="8" t="inlineStr">
        <is>
          <t>2026-03-18_PTXN_at_STHR</t>
        </is>
      </c>
      <c r="B329" s="3" t="n">
        <v>46099</v>
      </c>
      <c r="C329" s="8" t="inlineStr">
        <is>
          <t>Southern Varsity Bulldogs</t>
        </is>
      </c>
      <c r="D329" s="8" t="inlineStr">
        <is>
          <t>PTXN</t>
        </is>
      </c>
      <c r="E329" s="8" t="inlineStr">
        <is>
          <t>D Bradley</t>
        </is>
      </c>
      <c r="F329" s="8" t="n">
        <v>3</v>
      </c>
      <c r="G329" s="8" t="n">
        <v>4</v>
      </c>
      <c r="H329" s="8" t="n">
        <v>0</v>
      </c>
      <c r="I329" s="8" t="n">
        <v>0</v>
      </c>
      <c r="J329" s="8" t="n">
        <v>0</v>
      </c>
      <c r="K329" s="8" t="n">
        <v>0</v>
      </c>
      <c r="L329" s="8" t="n">
        <v>0</v>
      </c>
      <c r="M329" s="8" t="n">
        <v>0</v>
      </c>
      <c r="N329" s="8" t="n">
        <v>0</v>
      </c>
      <c r="O329" s="8" t="n">
        <v>1</v>
      </c>
      <c r="P329" s="8" t="n">
        <v>0</v>
      </c>
      <c r="Q329" s="8" t="n">
        <v>0</v>
      </c>
      <c r="R329" s="8" t="inlineStr">
        <is>
          <t>B4; entered play #35 (documented); K: G Crandell K_S #36; FC play #37 (G Bowen CR out advancing = out #2); GO B Bowers #38 (out #3); also bats T3-T6</t>
        </is>
      </c>
    </row>
    <row r="330" ht="15.75" customHeight="1" s="35">
      <c r="A330" s="8" t="inlineStr">
        <is>
          <t>2026-03-18_PTXN_at_STHR</t>
        </is>
      </c>
      <c r="B330" s="3" t="n">
        <v>46099</v>
      </c>
      <c r="C330" s="8" t="inlineStr">
        <is>
          <t>Southern Varsity Bulldogs</t>
        </is>
      </c>
      <c r="D330" s="8" t="inlineStr">
        <is>
          <t>PTXN</t>
        </is>
      </c>
      <c r="E330" s="8" t="inlineStr">
        <is>
          <t>Z Hart</t>
        </is>
      </c>
      <c r="F330" s="8" t="n">
        <v>3</v>
      </c>
      <c r="G330" s="8" t="n">
        <v>3</v>
      </c>
      <c r="H330" s="8" t="n">
        <v>0</v>
      </c>
      <c r="I330" s="8" t="n">
        <v>0</v>
      </c>
      <c r="J330" s="8" t="n">
        <v>0</v>
      </c>
      <c r="K330" s="8" t="n">
        <v>0</v>
      </c>
      <c r="L330" s="8" t="n">
        <v>0</v>
      </c>
      <c r="M330" s="8" t="n">
        <v>0</v>
      </c>
      <c r="N330" s="8" t="n">
        <v>0</v>
      </c>
      <c r="O330" s="8" t="n">
        <v>0</v>
      </c>
      <c r="P330" s="8" t="n">
        <v>0</v>
      </c>
      <c r="Q330" s="8" t="n">
        <v>0</v>
      </c>
      <c r="R330" s="8" t="inlineStr">
        <is>
          <t>B5; entered play #46 (documented)</t>
        </is>
      </c>
    </row>
    <row r="331" ht="15.75" customHeight="1" s="35">
      <c r="A331" s="8" t="inlineStr">
        <is>
          <t>2026-03-18_PTXN_at_STHR</t>
        </is>
      </c>
      <c r="B331" s="3" t="n">
        <v>46099</v>
      </c>
      <c r="C331" s="8" t="inlineStr">
        <is>
          <t>Southern Varsity Bulldogs</t>
        </is>
      </c>
      <c r="D331" s="8" t="inlineStr">
        <is>
          <t>PTXN</t>
        </is>
      </c>
      <c r="E331" s="8" t="inlineStr">
        <is>
          <t>B Cowan</t>
        </is>
      </c>
      <c r="F331" s="8" t="n">
        <v>3</v>
      </c>
      <c r="G331" s="8" t="n">
        <v>4</v>
      </c>
      <c r="H331" s="8" t="n">
        <v>1</v>
      </c>
      <c r="I331" s="8" t="n">
        <v>0</v>
      </c>
      <c r="J331" s="8" t="n">
        <v>1</v>
      </c>
      <c r="K331" s="8" t="n">
        <v>0</v>
      </c>
      <c r="L331" s="8" t="n">
        <v>0</v>
      </c>
      <c r="M331" s="8" t="n">
        <v>0</v>
      </c>
      <c r="N331" s="8" t="n">
        <v>0</v>
      </c>
      <c r="O331" s="8" t="n">
        <v>3</v>
      </c>
      <c r="P331" s="8" t="n">
        <v>0</v>
      </c>
      <c r="Q331" s="8" t="n">
        <v>0</v>
      </c>
      <c r="R331" s="8" t="inlineStr">
        <is>
          <t>B6; entered play #55 (documented); K: T Veith K_S #55, G Perkins K_S #56, G Bowen K_L #58; H: B Crandell 2B #57; also bats T1-T6</t>
        </is>
      </c>
    </row>
    <row r="332" ht="15.75" customHeight="1" s="35">
      <c r="A332" s="8" t="inlineStr">
        <is>
          <t>2026-03-18_PTXN_at_STHR</t>
        </is>
      </c>
      <c r="B332" s="3" t="n">
        <v>46099</v>
      </c>
      <c r="C332" s="8" t="inlineStr">
        <is>
          <t>Southern Varsity Bulldogs</t>
        </is>
      </c>
      <c r="D332" s="8" t="inlineStr">
        <is>
          <t>PTXN</t>
        </is>
      </c>
      <c r="E332" s="8" t="inlineStr">
        <is>
          <t>B Ashley</t>
        </is>
      </c>
      <c r="F332" s="8" t="n">
        <v>3</v>
      </c>
      <c r="G332" s="8" t="n">
        <v>7</v>
      </c>
      <c r="H332" s="8" t="n">
        <v>0</v>
      </c>
      <c r="I332" s="8" t="n">
        <v>0</v>
      </c>
      <c r="J332" s="8" t="n">
        <v>0</v>
      </c>
      <c r="K332" s="8" t="n">
        <v>0</v>
      </c>
      <c r="L332" s="8" t="n">
        <v>0</v>
      </c>
      <c r="M332" s="8" t="n">
        <v>3</v>
      </c>
      <c r="N332" s="8" t="n">
        <v>0</v>
      </c>
      <c r="O332" s="8" t="n">
        <v>1</v>
      </c>
      <c r="P332" s="8" t="n">
        <v>1</v>
      </c>
      <c r="Q332" s="8" t="n">
        <v>0</v>
      </c>
      <c r="R332" s="8" t="inlineStr">
        <is>
          <t>B7; entered play #63 (documented); BB: N Simmons #63, S Lopez #65, I Benson #68; K: J Dunkerly K_L #66; R: N Simmons scores walk-in play #68</t>
        </is>
      </c>
    </row>
    <row r="333" ht="15.75" customHeight="1" s="35">
      <c r="A333" s="8" t="inlineStr">
        <is>
          <t>2026-03-26_ANNP_at_STHR</t>
        </is>
      </c>
      <c r="B333" s="3" t="inlineStr">
        <is>
          <t>2026-03-26</t>
        </is>
      </c>
      <c r="C333" s="8" t="inlineStr">
        <is>
          <t>Annapolis Varsity Panthers 2026</t>
        </is>
      </c>
      <c r="D333" s="8" t="inlineStr">
        <is>
          <t>STHR</t>
        </is>
      </c>
      <c r="E333" s="8" t="inlineStr">
        <is>
          <t>G Crandell</t>
        </is>
      </c>
      <c r="F333" s="8" t="n">
        <v>3</v>
      </c>
      <c r="G333" s="8" t="n">
        <v>10</v>
      </c>
      <c r="H333" s="8" t="n">
        <v>2</v>
      </c>
      <c r="I333" s="8" t="n">
        <v>1</v>
      </c>
      <c r="J333" s="8" t="n">
        <v>1</v>
      </c>
      <c r="K333" s="8" t="n">
        <v>0</v>
      </c>
      <c r="L333" s="8" t="n">
        <v>0</v>
      </c>
      <c r="M333" s="8" t="n">
        <v>3</v>
      </c>
      <c r="N333" s="8" t="n">
        <v>1</v>
      </c>
      <c r="O333" s="8" t="n">
        <v>0</v>
      </c>
      <c r="P333" s="8" t="n">
        <v>4</v>
      </c>
      <c r="Q333" s="8" t="n">
        <v>0</v>
      </c>
      <c r="R333" s="8" t="inlineStr">
        <is>
          <t>Starting pitcher (entry documented play #1); pitches Top 1 (plays #1-10); H: W Goulet 2B #4 J Davis 1B #6; BB: D Shallcross #1 B Sale #5 J Claxton #8; HBP: C LaRouche #2</t>
        </is>
      </c>
    </row>
    <row r="334" ht="15.75" customHeight="1" s="35">
      <c r="A334" s="8" t="inlineStr">
        <is>
          <t>2026-03-26_ANNP_at_STHR</t>
        </is>
      </c>
      <c r="B334" s="3" t="inlineStr">
        <is>
          <t>2026-03-26</t>
        </is>
      </c>
      <c r="C334" s="8" t="inlineStr">
        <is>
          <t>Annapolis Varsity Panthers 2026</t>
        </is>
      </c>
      <c r="D334" s="8" t="inlineStr">
        <is>
          <t>STHR</t>
        </is>
      </c>
      <c r="E334" s="8" t="inlineStr">
        <is>
          <t>B Michaud</t>
        </is>
      </c>
      <c r="F334" s="8" t="n">
        <v>6</v>
      </c>
      <c r="G334" s="8" t="n">
        <v>10</v>
      </c>
      <c r="H334" s="8" t="n">
        <v>1</v>
      </c>
      <c r="I334" s="8" t="n">
        <v>0</v>
      </c>
      <c r="J334" s="8" t="n">
        <v>1</v>
      </c>
      <c r="K334" s="8" t="n">
        <v>0</v>
      </c>
      <c r="L334" s="8" t="n">
        <v>0</v>
      </c>
      <c r="M334" s="8" t="n">
        <v>3</v>
      </c>
      <c r="N334" s="8" t="n">
        <v>0</v>
      </c>
      <c r="O334" s="8" t="n">
        <v>1</v>
      </c>
      <c r="P334" s="8" t="n">
        <v>3</v>
      </c>
      <c r="Q334" s="8" t="n">
        <v>0</v>
      </c>
      <c r="R334" s="8" t="inlineStr">
        <is>
          <t>Entry documented play #15; pitches Top 2 (plays #15-20) and Top 3 (plays #27-30); H: W Goulet 2B #17; BB: C LaRouche #15 W Meyer #16 L Keohan #28; K: D Capo K_S #20</t>
        </is>
      </c>
    </row>
    <row r="335" ht="15.75" customHeight="1" s="35">
      <c r="A335" s="8" t="inlineStr">
        <is>
          <t>2026-03-26_ANNP_at_STHR</t>
        </is>
      </c>
      <c r="B335" s="3" t="inlineStr">
        <is>
          <t>2026-03-26</t>
        </is>
      </c>
      <c r="C335" s="8" t="inlineStr">
        <is>
          <t>Annapolis Varsity Panthers 2026</t>
        </is>
      </c>
      <c r="D335" s="8" t="inlineStr">
        <is>
          <t>STHR</t>
        </is>
      </c>
      <c r="E335" s="8" t="inlineStr">
        <is>
          <t>C Parks</t>
        </is>
      </c>
      <c r="F335" s="8" t="n">
        <v>8</v>
      </c>
      <c r="G335" s="8" t="n">
        <v>15</v>
      </c>
      <c r="H335" s="8" t="n">
        <v>4</v>
      </c>
      <c r="I335" s="8" t="n">
        <v>3</v>
      </c>
      <c r="J335" s="8" t="n">
        <v>0</v>
      </c>
      <c r="K335" s="8" t="n">
        <v>1</v>
      </c>
      <c r="L335" s="8" t="n">
        <v>0</v>
      </c>
      <c r="M335" s="8" t="n">
        <v>1</v>
      </c>
      <c r="N335" s="8" t="n">
        <v>2</v>
      </c>
      <c r="O335" s="8" t="n">
        <v>2</v>
      </c>
      <c r="P335" s="8" t="n">
        <v>4</v>
      </c>
      <c r="Q335" s="8" t="n">
        <v>3</v>
      </c>
      <c r="R335" s="8" t="inlineStr">
        <is>
          <t>Entry inferred from play descriptions, no lineup-change note (Flag #1); pitches Top 4 (plays #34-36) Top 5 (plays #40-44) Top 6 (plays #50-56); outs include: W Meyer K #34 W Goulet CS #36 B Sale PO #36 / D Capo FC #41 J Claxton FO #42 D Shallcross GO #44 / B Sale pickoff #54 J Davis K #54; H: W Goulet 1B #35 W Meyer 1B #51 D Capo 3B #55 M Keen 1B #56; BB: B Sale #53; HBP: L Keohan #43 C LaRouche #50; K: W Meyer K_S #34 J Davis K_S #54; WP: #51 (C LaRouche 2nd) #53×2 (W Goulet 2nd then 3rd, two separate WPs)</t>
        </is>
      </c>
    </row>
    <row r="336" ht="15.75" customHeight="1" s="35">
      <c r="A336" s="8" t="inlineStr">
        <is>
          <t>2026-03-26_ANNP_at_STHR</t>
        </is>
      </c>
      <c r="B336" s="3" t="inlineStr">
        <is>
          <t>2026-03-26</t>
        </is>
      </c>
      <c r="C336" s="8" t="inlineStr">
        <is>
          <t>Annapolis Varsity Panthers 2026</t>
        </is>
      </c>
      <c r="D336" s="8" t="inlineStr">
        <is>
          <t>STHR</t>
        </is>
      </c>
      <c r="E336" s="8" t="inlineStr">
        <is>
          <t>W Thomas</t>
        </is>
      </c>
      <c r="F336" s="8" t="n">
        <v>4</v>
      </c>
      <c r="G336" s="8" t="n">
        <v>4</v>
      </c>
      <c r="H336" s="8" t="n">
        <v>0</v>
      </c>
      <c r="I336" s="8" t="n">
        <v>0</v>
      </c>
      <c r="J336" s="8" t="n">
        <v>0</v>
      </c>
      <c r="K336" s="8" t="n">
        <v>0</v>
      </c>
      <c r="L336" s="8" t="n">
        <v>0</v>
      </c>
      <c r="M336" s="8" t="n">
        <v>0</v>
      </c>
      <c r="N336" s="8" t="n">
        <v>0</v>
      </c>
      <c r="O336" s="8" t="n">
        <v>0</v>
      </c>
      <c r="P336" s="8" t="n">
        <v>0</v>
      </c>
      <c r="Q336" s="8" t="n">
        <v>0</v>
      </c>
      <c r="R336" s="8" t="inlineStr">
        <is>
          <t>Entry documented play #56; pitches Top 6 play #57 (L Keohan GO) and Top 7 plays #66-68; duplicate notation play #66 is re-confirmation (Flag #6); non-consecutive stints (Top 6: 1 out; Top 7: 3 outs) combined into one row</t>
        </is>
      </c>
    </row>
    <row r="337" ht="15.75" customHeight="1" s="35">
      <c r="A337" s="8" t="inlineStr">
        <is>
          <t>2026-03-26_ANNP_at_STHR</t>
        </is>
      </c>
      <c r="B337" s="3" t="inlineStr">
        <is>
          <t>2026-03-26</t>
        </is>
      </c>
      <c r="C337" s="8" t="inlineStr">
        <is>
          <t>Southern Varsity Bulldogs</t>
        </is>
      </c>
      <c r="D337" s="8" t="inlineStr">
        <is>
          <t>ANNP</t>
        </is>
      </c>
      <c r="E337" s="8" t="inlineStr">
        <is>
          <t>B Sale</t>
        </is>
      </c>
      <c r="F337" s="8" t="n">
        <v>14</v>
      </c>
      <c r="G337" s="8" t="n">
        <v>20</v>
      </c>
      <c r="H337" s="8" t="n">
        <v>2</v>
      </c>
      <c r="I337" s="8" t="n">
        <v>2</v>
      </c>
      <c r="J337" s="8" t="n">
        <v>0</v>
      </c>
      <c r="K337" s="8" t="n">
        <v>0</v>
      </c>
      <c r="L337" s="8" t="n">
        <v>0</v>
      </c>
      <c r="M337" s="8" t="n">
        <v>4</v>
      </c>
      <c r="N337" s="8" t="n">
        <v>0</v>
      </c>
      <c r="O337" s="8" t="n">
        <v>4</v>
      </c>
      <c r="P337" s="8" t="n">
        <v>2</v>
      </c>
      <c r="Q337" s="8" t="n">
        <v>2</v>
      </c>
      <c r="R337" s="8" t="inlineStr">
        <is>
          <t>Starting pitcher (entry inferred, no lineup-change note — Flag #1); pitches Bottom 1-4 and partial Bottom 5 through play #48 (C Parks GO); H: J Colton 1B #21 C Perkins 1B #46; BB: C Parks #12 G Godfrey #24 C Perkins #25 B Crandell #47; K: G Crandell K_S #13 N Youmans K_L #14 N Youmans K_L #33 J Colton K_S #37; WP: #13 (C Parks 2nd) #48 (C Perkins 3rd + B Crandell 2nd, same pitch = 1 WP)</t>
        </is>
      </c>
    </row>
    <row r="338" ht="15.75" customHeight="1" s="35">
      <c r="A338" s="8" t="inlineStr">
        <is>
          <t>2026-03-26_ANNP_at_STHR</t>
        </is>
      </c>
      <c r="B338" s="3" t="inlineStr">
        <is>
          <t>2026-03-26</t>
        </is>
      </c>
      <c r="C338" s="8" t="inlineStr">
        <is>
          <t>Southern Varsity Bulldogs</t>
        </is>
      </c>
      <c r="D338" s="8" t="inlineStr">
        <is>
          <t>ANNP</t>
        </is>
      </c>
      <c r="E338" s="8" t="inlineStr">
        <is>
          <t>M Keen</t>
        </is>
      </c>
      <c r="F338" s="8" t="n">
        <v>7</v>
      </c>
      <c r="G338" s="8" t="n">
        <v>15</v>
      </c>
      <c r="H338" s="8" t="n">
        <v>4</v>
      </c>
      <c r="I338" s="8" t="n">
        <v>1</v>
      </c>
      <c r="J338" s="8" t="n">
        <v>1</v>
      </c>
      <c r="K338" s="8" t="n">
        <v>2</v>
      </c>
      <c r="L338" s="8" t="n">
        <v>0</v>
      </c>
      <c r="M338" s="8" t="n">
        <v>3</v>
      </c>
      <c r="N338" s="8" t="n">
        <v>0</v>
      </c>
      <c r="O338" s="8" t="n">
        <v>1</v>
      </c>
      <c r="P338" s="8" t="n">
        <v>7</v>
      </c>
      <c r="Q338" s="8" t="n">
        <v>2</v>
      </c>
      <c r="R338" s="8" t="inlineStr">
        <is>
          <t>Entry documented play #48 note (faces G Crandell #49 onward); pitches partial Bottom 5 (play #49) Bottom 6 (plays #58-65) Bottom 7 (plays #69-74); H: B Bowers 1B #60 B Crandell 3B #64 G Crandell 3B #69 J Colton 2B #71; BB: J Colton #59 G Godfrey #62 C Perkins #63; K: I Benson K_S #72; WP: #61 (J Colton 3rd + J Dunkerly 2nd, same pitch = 1 WP) #74 (J Colton scores); also bats for ANNP (PH for J Claxton play #56 Top 6)</t>
        </is>
      </c>
    </row>
    <row r="339" ht="15.75" customHeight="1" s="35">
      <c r="A339" s="8" t="inlineStr">
        <is>
          <t>2026-03-28_PRKS_at_STHR</t>
        </is>
      </c>
      <c r="B339" s="3" t="inlineStr">
        <is>
          <t>2026-03-28</t>
        </is>
      </c>
      <c r="C339" s="8" t="inlineStr">
        <is>
          <t>Parkside Varsity Rams</t>
        </is>
      </c>
      <c r="D339" s="8" t="inlineStr">
        <is>
          <t>STHR</t>
        </is>
      </c>
      <c r="E339" s="8" t="inlineStr">
        <is>
          <t>N Youmans</t>
        </is>
      </c>
      <c r="F339" s="8" t="n">
        <v>12</v>
      </c>
      <c r="G339" s="8" t="n">
        <v>17</v>
      </c>
      <c r="H339" s="8" t="n">
        <v>1</v>
      </c>
      <c r="I339" s="8" t="n">
        <v>0</v>
      </c>
      <c r="J339" s="8" t="n">
        <v>1</v>
      </c>
      <c r="K339" s="8" t="n">
        <v>0</v>
      </c>
      <c r="L339" s="8" t="n">
        <v>0</v>
      </c>
      <c r="M339" s="8" t="n">
        <v>1</v>
      </c>
      <c r="N339" s="8" t="n">
        <v>2</v>
      </c>
      <c r="O339" s="8" t="n">
        <v>6</v>
      </c>
      <c r="P339" s="8" t="n">
        <v>2</v>
      </c>
      <c r="Q339" s="8" t="n">
        <v>0</v>
      </c>
      <c r="R339" s="8" t="inlineStr">
        <is>
          <t>Starting pitcher (entry documented play #1); pitches Top 1-4 (plays #1-31); H: R Lewis 2B #19; BB: A Headley #28; HBP: G Jones #2 A Kinhart #10; K: R Lewis K_L #1 T Gormley K_S #3 A Agoglia K_L #4 P Green K_L #18 A Agoglia K_S #22 A Kinhart K_S #29; R: G Jones ROE scores #20 (1) A Headley scores on C Perkins error #29 (1) = 2 R; fielding error play #11 (A Kinhart advances 2nd on error by pitcher N Youmans)</t>
        </is>
      </c>
    </row>
    <row r="340" ht="15.75" customHeight="1" s="35">
      <c r="A340" s="8" t="inlineStr">
        <is>
          <t>2026-03-28_PRKS_at_STHR</t>
        </is>
      </c>
      <c r="B340" s="3" t="inlineStr">
        <is>
          <t>2026-03-28</t>
        </is>
      </c>
      <c r="C340" s="8" t="inlineStr">
        <is>
          <t>Parkside Varsity Rams</t>
        </is>
      </c>
      <c r="D340" s="8" t="inlineStr">
        <is>
          <t>STHR</t>
        </is>
      </c>
      <c r="E340" s="8" t="inlineStr">
        <is>
          <t>I Benson</t>
        </is>
      </c>
      <c r="F340" s="8" t="n">
        <v>2</v>
      </c>
      <c r="G340" s="8" t="n">
        <v>7</v>
      </c>
      <c r="H340" s="8" t="n">
        <v>3</v>
      </c>
      <c r="I340" s="8" t="n">
        <v>1</v>
      </c>
      <c r="J340" s="8" t="n">
        <v>1</v>
      </c>
      <c r="K340" s="8" t="n">
        <v>1</v>
      </c>
      <c r="L340" s="8" t="n">
        <v>0</v>
      </c>
      <c r="M340" s="8" t="n">
        <v>1</v>
      </c>
      <c r="N340" s="8" t="n">
        <v>0</v>
      </c>
      <c r="O340" s="8" t="n">
        <v>0</v>
      </c>
      <c r="P340" s="8" t="n">
        <v>4</v>
      </c>
      <c r="Q340" s="8" t="n">
        <v>1</v>
      </c>
      <c r="R340" s="8" t="inlineStr">
        <is>
          <t>Entry documented play #36; pitches Top 5 plays #36-42 (7 BF P Green through A Kinhart); H: P Green 3B #36 G Jones 2B #38 A Kinhart 1B #42; BB: R Lewis #37; R: P Green scores on C Parks error #38 (1) R Lewis scores on G Jones 2B #38 (1) G Jones scores on WP #41 (1) T Gormley scores on A Headley SAC FLY #41 (1) = 4 R; WP: #41 (G Jones scores from 3rd, T Gormley advances to 3rd, same pitch sequence)</t>
        </is>
      </c>
    </row>
    <row r="341" ht="15.75" customHeight="1" s="35">
      <c r="A341" s="8" t="inlineStr">
        <is>
          <t>2026-03-28_PRKS_at_STHR</t>
        </is>
      </c>
      <c r="B341" s="3" t="inlineStr">
        <is>
          <t>2026-03-28</t>
        </is>
      </c>
      <c r="C341" s="8" t="inlineStr">
        <is>
          <t>Parkside Varsity Rams</t>
        </is>
      </c>
      <c r="D341" s="8" t="inlineStr">
        <is>
          <t>STHR</t>
        </is>
      </c>
      <c r="E341" s="8" t="inlineStr">
        <is>
          <t>G Godfrey</t>
        </is>
      </c>
      <c r="F341" s="8" t="n">
        <v>4</v>
      </c>
      <c r="G341" s="8" t="n">
        <v>10</v>
      </c>
      <c r="H341" s="8" t="n">
        <v>5</v>
      </c>
      <c r="I341" s="8" t="n">
        <v>5</v>
      </c>
      <c r="J341" s="8" t="n">
        <v>0</v>
      </c>
      <c r="K341" s="8" t="n">
        <v>0</v>
      </c>
      <c r="L341" s="8" t="n">
        <v>0</v>
      </c>
      <c r="M341" s="8" t="n">
        <v>0</v>
      </c>
      <c r="N341" s="8" t="n">
        <v>1</v>
      </c>
      <c r="O341" s="8" t="n">
        <v>1</v>
      </c>
      <c r="P341" s="8" t="n">
        <v>4</v>
      </c>
      <c r="Q341" s="8" t="n">
        <v>0</v>
      </c>
      <c r="R341" s="8" t="inlineStr">
        <is>
          <t>Entry inferred (no lineup-change note); pitches Top 5 plays #43-44 then Top 6 plays #51-58 (Flag #2); H: P Green 1B #51 R Lewis 1B #52 G Jones 1B #53 T Gormley 1B #54 A Agoglia 1B #55; HBP: D Smith #43; K: F Harrison K_S #44; R: P Green scores #53 (G Jones 1B) R Lewis scores #53 (G Jones 1B) G Jones scores #57 (C Parks error) T Gormley scores #57 (C Parks error) = 4 R</t>
        </is>
      </c>
    </row>
    <row r="342" ht="15.75" customHeight="1" s="35">
      <c r="A342" s="8" t="inlineStr">
        <is>
          <t>2026-03-28_PRKS_at_STHR</t>
        </is>
      </c>
      <c r="B342" s="3" t="inlineStr">
        <is>
          <t>2026-03-28</t>
        </is>
      </c>
      <c r="C342" s="8" t="inlineStr">
        <is>
          <t>Parkside Varsity Rams</t>
        </is>
      </c>
      <c r="D342" s="8" t="inlineStr">
        <is>
          <t>STHR</t>
        </is>
      </c>
      <c r="E342" s="8" t="inlineStr">
        <is>
          <t>A Richard</t>
        </is>
      </c>
      <c r="F342" s="8" t="n">
        <v>2</v>
      </c>
      <c r="G342" s="8" t="n">
        <v>7</v>
      </c>
      <c r="H342" s="8" t="n">
        <v>3</v>
      </c>
      <c r="I342" s="8" t="n">
        <v>2</v>
      </c>
      <c r="J342" s="8" t="n">
        <v>1</v>
      </c>
      <c r="K342" s="8" t="n">
        <v>0</v>
      </c>
      <c r="L342" s="8" t="n">
        <v>0</v>
      </c>
      <c r="M342" s="8" t="n">
        <v>2</v>
      </c>
      <c r="N342" s="8" t="n">
        <v>0</v>
      </c>
      <c r="O342" s="8" t="n">
        <v>0</v>
      </c>
      <c r="P342" s="8" t="n">
        <v>4</v>
      </c>
      <c r="Q342" s="8" t="n">
        <v>1</v>
      </c>
      <c r="R342" s="8" t="inlineStr">
        <is>
          <t>Entry documented play #63; pitches Top 7 plays #63-69 (7 BF F Harrison through A Headley); H: R Lewis 1B #65 G Jones 1B #66 T Gormley 2B #67; BB: F Harrison #63 P Green #64; R: F Harrison scores #65 (R Lewis 1B) P Green scores on steal of home #66 (no RBI on SB) R Lewis scores #67 (T Gormley 2B) G Jones scores #67 (T Gormley 2B) = 4 R; WP: #65 (F Harrison advances to 3rd on WP embedded in R Lewis AB)</t>
        </is>
      </c>
    </row>
    <row r="343" ht="15.75" customHeight="1" s="35">
      <c r="A343" s="8" t="inlineStr">
        <is>
          <t>2026-03-28_PRKS_at_STHR</t>
        </is>
      </c>
      <c r="B343" s="3" t="inlineStr">
        <is>
          <t>2026-03-28</t>
        </is>
      </c>
      <c r="C343" s="8" t="inlineStr">
        <is>
          <t>Parkside Varsity Rams</t>
        </is>
      </c>
      <c r="D343" s="8" t="inlineStr">
        <is>
          <t>STHR</t>
        </is>
      </c>
      <c r="E343" s="8" t="inlineStr">
        <is>
          <t>W Thomas</t>
        </is>
      </c>
      <c r="F343" s="8" t="n">
        <v>1</v>
      </c>
      <c r="G343" s="8" t="n">
        <v>1</v>
      </c>
      <c r="H343" s="8" t="n">
        <v>0</v>
      </c>
      <c r="I343" s="8" t="n">
        <v>0</v>
      </c>
      <c r="J343" s="8" t="n">
        <v>0</v>
      </c>
      <c r="K343" s="8" t="n">
        <v>0</v>
      </c>
      <c r="L343" s="8" t="n">
        <v>0</v>
      </c>
      <c r="M343" s="8" t="n">
        <v>0</v>
      </c>
      <c r="N343" s="8" t="n">
        <v>0</v>
      </c>
      <c r="O343" s="8" t="n">
        <v>1</v>
      </c>
      <c r="P343" s="8" t="n">
        <v>0</v>
      </c>
      <c r="Q343" s="8" t="n">
        <v>1</v>
      </c>
      <c r="R343" s="8" t="inlineStr">
        <is>
          <t>Entry inferred from play #70 description, no lineup-change note (Flag #2); pitches Top 7 play #70 only (B Smith K_S); K: B Smith K_S #70; WP: #70 (T Gormley advances to 3rd on WP embedded in B Smith AB)</t>
        </is>
      </c>
    </row>
    <row r="344" ht="15.75" customHeight="1" s="35">
      <c r="A344" s="8" t="inlineStr">
        <is>
          <t>2026-03-28_PRKS_at_STHR</t>
        </is>
      </c>
      <c r="B344" s="3" t="inlineStr">
        <is>
          <t>2026-03-28</t>
        </is>
      </c>
      <c r="C344" s="8" t="inlineStr">
        <is>
          <t>Southern Varsity Bulldogs</t>
        </is>
      </c>
      <c r="D344" s="8" t="inlineStr">
        <is>
          <t>PRKS</t>
        </is>
      </c>
      <c r="E344" s="8" t="inlineStr">
        <is>
          <t>P Green</t>
        </is>
      </c>
      <c r="F344" s="8" t="n">
        <v>9</v>
      </c>
      <c r="G344" s="8" t="n">
        <v>14</v>
      </c>
      <c r="H344" s="8" t="n">
        <v>3</v>
      </c>
      <c r="I344" s="8" t="n">
        <v>2</v>
      </c>
      <c r="J344" s="8" t="n">
        <v>0</v>
      </c>
      <c r="K344" s="8" t="n">
        <v>1</v>
      </c>
      <c r="L344" s="8" t="n">
        <v>0</v>
      </c>
      <c r="M344" s="8" t="n">
        <v>1</v>
      </c>
      <c r="N344" s="8" t="n">
        <v>1</v>
      </c>
      <c r="O344" s="8" t="n">
        <v>5</v>
      </c>
      <c r="P344" s="8" t="n">
        <v>1</v>
      </c>
      <c r="Q344" s="8" t="n">
        <v>0</v>
      </c>
      <c r="R344" s="8" t="inlineStr">
        <is>
          <t>Starting pitcher (entry inferred, no lineup-change note — Flag #2); pitches Bottom 1-3 (plays #5-27); two-way player (also bats Top innings); H: W Thomas 1B #14 G Godfrey 1B #16 B Crandell 3B #23; BB: G Crandell #7; HBP: G Crandell #25; K: B Crandell K_S #5 N Youmans K_L #13 B Michaud K_L #15 J Colton K_S #26 N Youmans K_S #27; R: B Crandell scores #24 (C Parks reaches on A Agoglia error) = 1 R; outs include C Parks CS play #25 (runner out)</t>
        </is>
      </c>
    </row>
    <row r="345" ht="15.75" customHeight="1" s="35">
      <c r="A345" s="8" t="inlineStr">
        <is>
          <t>2026-03-28_PRKS_at_STHR</t>
        </is>
      </c>
      <c r="B345" s="3" t="inlineStr">
        <is>
          <t>2026-03-28</t>
        </is>
      </c>
      <c r="C345" s="8" t="inlineStr">
        <is>
          <t>Southern Varsity Bulldogs</t>
        </is>
      </c>
      <c r="D345" s="8" t="inlineStr">
        <is>
          <t>PRKS</t>
        </is>
      </c>
      <c r="E345" s="8" t="inlineStr">
        <is>
          <t>A Kinhart</t>
        </is>
      </c>
      <c r="F345" s="8" t="n">
        <v>9</v>
      </c>
      <c r="G345" s="8" t="n">
        <v>14</v>
      </c>
      <c r="H345" s="8" t="n">
        <v>5</v>
      </c>
      <c r="I345" s="8" t="n">
        <v>5</v>
      </c>
      <c r="J345" s="8" t="n">
        <v>0</v>
      </c>
      <c r="K345" s="8" t="n">
        <v>0</v>
      </c>
      <c r="L345" s="8" t="n">
        <v>0</v>
      </c>
      <c r="M345" s="8" t="n">
        <v>1</v>
      </c>
      <c r="N345" s="8" t="n">
        <v>0</v>
      </c>
      <c r="O345" s="8" t="n">
        <v>2</v>
      </c>
      <c r="P345" s="8" t="n">
        <v>1</v>
      </c>
      <c r="Q345" s="8" t="n">
        <v>1</v>
      </c>
      <c r="R345" s="8" t="inlineStr">
        <is>
          <t>Entry inferred Bottom 4 (no lineup-change note — Flag #2); two-way player (also bats Top innings); pitches Bottom 4-6 (plays #32-62); H: B Michaud 1B #33 B Crandell 1B #45 G Crandell 1B #47 J Colton 1B #48 B Crandell 1B #62; BB: B Michaud #59; K: N Youmans K_L #49 W Thomas K_S #50; R: B Crandell scores #47 (G Crandell 1B) = 1 R; WP: #60 (B Michaud advances to 2nd); B Michaud runner out at home play #62 counts as 3rd out in Bottom 6; fielding error play #34 (A Kinhart error at pitcher position — B Michaud advances to 2nd)</t>
        </is>
      </c>
    </row>
    <row r="346" ht="15.75" customHeight="1" s="35">
      <c r="A346" s="8" t="inlineStr">
        <is>
          <t>2026-03-28_PRKS_at_STHR</t>
        </is>
      </c>
      <c r="B346" s="3" t="inlineStr">
        <is>
          <t>2026-03-28</t>
        </is>
      </c>
      <c r="C346" s="8" t="inlineStr">
        <is>
          <t>Southern Varsity Bulldogs</t>
        </is>
      </c>
      <c r="D346" s="8" t="inlineStr">
        <is>
          <t>PRKS</t>
        </is>
      </c>
      <c r="E346" s="8" t="inlineStr">
        <is>
          <t>T Merritt</t>
        </is>
      </c>
      <c r="F346" s="8" t="n">
        <v>3</v>
      </c>
      <c r="G346" s="8" t="n">
        <v>4</v>
      </c>
      <c r="H346" s="8" t="n">
        <v>0</v>
      </c>
      <c r="I346" s="8" t="n">
        <v>0</v>
      </c>
      <c r="J346" s="8" t="n">
        <v>0</v>
      </c>
      <c r="K346" s="8" t="n">
        <v>0</v>
      </c>
      <c r="L346" s="8" t="n">
        <v>0</v>
      </c>
      <c r="M346" s="8" t="n">
        <v>0</v>
      </c>
      <c r="N346" s="8" t="n">
        <v>0</v>
      </c>
      <c r="O346" s="8" t="n">
        <v>3</v>
      </c>
      <c r="P346" s="8" t="n">
        <v>0</v>
      </c>
      <c r="Q346" s="8" t="n">
        <v>0</v>
      </c>
      <c r="R346" s="8" t="inlineStr">
        <is>
          <t>Entry documented play #71; pitches Bottom 7 (plays #71-74); K: G Crandell K_S #72 J Colton K_S #73 N Youmans K_L #74; C Parks reaches on T Gormley error #71 (Parkside fielder error, correctly excluded from STHR E=6 per Flag #1)</t>
        </is>
      </c>
    </row>
    <row r="347" ht="15.75" customHeight="1" s="35">
      <c r="A347" s="0" t="inlineStr">
        <is>
          <t>2026-04-08_GLNL_at_GLFR</t>
        </is>
      </c>
      <c r="B347" s="0" t="inlineStr">
        <is>
          <t>2026-04-08</t>
        </is>
      </c>
      <c r="C347" s="0" t="inlineStr">
        <is>
          <t>GLFR</t>
        </is>
      </c>
      <c r="D347" s="0" t="inlineStr">
        <is>
          <t>GLNL</t>
        </is>
      </c>
      <c r="E347" s="0" t="inlineStr">
        <is>
          <t>M Shriner</t>
        </is>
      </c>
      <c r="F347" s="0" t="n">
        <v>1</v>
      </c>
      <c r="G347" s="0" t="n">
        <v>2</v>
      </c>
      <c r="H347" s="0" t="n">
        <v>1</v>
      </c>
      <c r="I347" s="0" t="n">
        <v>1</v>
      </c>
      <c r="J347" s="0" t="n">
        <v>0</v>
      </c>
      <c r="K347" s="0" t="n">
        <v>0</v>
      </c>
      <c r="L347" s="0" t="n">
        <v>0</v>
      </c>
      <c r="M347" s="0" t="n">
        <v>1</v>
      </c>
      <c r="N347" s="0" t="n">
        <v>0</v>
      </c>
      <c r="O347" s="0" t="n">
        <v>0</v>
      </c>
      <c r="P347" s="0" t="n">
        <v>2</v>
      </c>
      <c r="Q347" s="0" t="n">
        <v>0</v>
      </c>
      <c r="R347" s="0" t="inlineStr"/>
    </row>
    <row r="348" ht="15.75" customHeight="1" s="35">
      <c r="A348" s="0" t="inlineStr">
        <is>
          <t>2026-04-08_GLNL_at_GLFR</t>
        </is>
      </c>
      <c r="B348" s="0" t="inlineStr">
        <is>
          <t>2026-04-08</t>
        </is>
      </c>
      <c r="C348" s="0" t="inlineStr">
        <is>
          <t>GLFR</t>
        </is>
      </c>
      <c r="D348" s="0" t="inlineStr">
        <is>
          <t>GLNL</t>
        </is>
      </c>
      <c r="E348" s="0" t="inlineStr">
        <is>
          <t>M Melhuish</t>
        </is>
      </c>
      <c r="F348" s="0" t="n">
        <v>11</v>
      </c>
      <c r="G348" s="0" t="n">
        <v>17</v>
      </c>
      <c r="H348" s="0" t="n">
        <v>2</v>
      </c>
      <c r="I348" s="0" t="n">
        <v>2</v>
      </c>
      <c r="J348" s="0" t="n">
        <v>1</v>
      </c>
      <c r="K348" s="0" t="n">
        <v>0</v>
      </c>
      <c r="L348" s="0" t="n">
        <v>0</v>
      </c>
      <c r="M348" s="0" t="n">
        <v>3</v>
      </c>
      <c r="N348" s="0" t="n">
        <v>1</v>
      </c>
      <c r="O348" s="0" t="n">
        <v>4</v>
      </c>
      <c r="P348" s="0" t="n">
        <v>3</v>
      </c>
      <c r="Q348" s="0" t="n">
        <v>0</v>
      </c>
      <c r="R348" s="0" t="inlineStr">
        <is>
          <t>Entry inferred from play description, play #11</t>
        </is>
      </c>
    </row>
    <row r="349" ht="15.75" customHeight="1" s="35">
      <c r="A349" s="0" t="inlineStr">
        <is>
          <t>2026-04-08_GLNL_at_GLFR</t>
        </is>
      </c>
      <c r="B349" s="0" t="inlineStr">
        <is>
          <t>2026-04-08</t>
        </is>
      </c>
      <c r="C349" s="0" t="inlineStr">
        <is>
          <t>GLFR</t>
        </is>
      </c>
      <c r="D349" s="0" t="inlineStr">
        <is>
          <t>GLNL</t>
        </is>
      </c>
      <c r="E349" s="0" t="inlineStr">
        <is>
          <t>C Lease</t>
        </is>
      </c>
      <c r="F349" s="0" t="n">
        <v>3</v>
      </c>
      <c r="G349" s="0" t="n">
        <v>3</v>
      </c>
      <c r="H349" s="0" t="n">
        <v>0</v>
      </c>
      <c r="I349" s="0" t="n">
        <v>0</v>
      </c>
      <c r="J349" s="0" t="n">
        <v>0</v>
      </c>
      <c r="K349" s="0" t="n">
        <v>0</v>
      </c>
      <c r="L349" s="0" t="n">
        <v>0</v>
      </c>
      <c r="M349" s="0" t="n">
        <v>0</v>
      </c>
      <c r="N349" s="0" t="n">
        <v>0</v>
      </c>
      <c r="O349" s="0" t="n">
        <v>2</v>
      </c>
      <c r="P349" s="0" t="n">
        <v>0</v>
      </c>
      <c r="Q349" s="0" t="n">
        <v>0</v>
      </c>
      <c r="R349" s="0" t="inlineStr"/>
    </row>
    <row r="350" ht="15.75" customHeight="1" s="35">
      <c r="A350" s="0" t="inlineStr">
        <is>
          <t>2026-04-08_GLNL_at_GLFR</t>
        </is>
      </c>
      <c r="B350" s="0" t="inlineStr">
        <is>
          <t>2026-04-08</t>
        </is>
      </c>
      <c r="C350" s="0" t="inlineStr">
        <is>
          <t>GLNL</t>
        </is>
      </c>
      <c r="D350" s="0" t="inlineStr">
        <is>
          <t>GLFR</t>
        </is>
      </c>
      <c r="E350" s="0" t="inlineStr">
        <is>
          <t>L L</t>
        </is>
      </c>
      <c r="F350" s="0" t="n">
        <v>8</v>
      </c>
      <c r="G350" s="0" t="n">
        <v>18</v>
      </c>
      <c r="H350" s="0" t="n">
        <v>7</v>
      </c>
      <c r="I350" s="0" t="n">
        <v>4</v>
      </c>
      <c r="J350" s="0" t="n">
        <v>2</v>
      </c>
      <c r="K350" s="0" t="n">
        <v>1</v>
      </c>
      <c r="L350" s="0" t="n">
        <v>1</v>
      </c>
      <c r="M350" s="0" t="n">
        <v>8</v>
      </c>
      <c r="N350" s="0" t="n">
        <v>1</v>
      </c>
      <c r="O350" s="0" t="n">
        <v>1</v>
      </c>
      <c r="P350" s="0" t="n">
        <v>15</v>
      </c>
      <c r="Q350" s="0" t="n">
        <v>0</v>
      </c>
      <c r="R350" s="0" t="inlineStr">
        <is>
          <t>Multiple balks noted in plays #21, #29</t>
        </is>
      </c>
    </row>
    <row r="351" ht="15.75" customHeight="1" s="35">
      <c r="A351" s="0" t="inlineStr">
        <is>
          <t>2026-04-08_GLNL_at_GLFR</t>
        </is>
      </c>
      <c r="B351" s="0" t="inlineStr">
        <is>
          <t>2026-04-08</t>
        </is>
      </c>
      <c r="C351" s="0" t="inlineStr">
        <is>
          <t>GLNL</t>
        </is>
      </c>
      <c r="D351" s="0" t="inlineStr">
        <is>
          <t>GLFR</t>
        </is>
      </c>
      <c r="E351" s="0" t="inlineStr">
        <is>
          <t>L R</t>
        </is>
      </c>
      <c r="F351" s="0" t="n">
        <v>2</v>
      </c>
      <c r="G351" s="0" t="n">
        <v>4</v>
      </c>
      <c r="H351" s="0" t="n">
        <v>1</v>
      </c>
      <c r="I351" s="0" t="n">
        <v>0</v>
      </c>
      <c r="J351" s="0" t="n">
        <v>1</v>
      </c>
      <c r="K351" s="0" t="n">
        <v>0</v>
      </c>
      <c r="L351" s="0" t="n">
        <v>0</v>
      </c>
      <c r="M351" s="0" t="n">
        <v>3</v>
      </c>
      <c r="N351" s="0" t="n">
        <v>0</v>
      </c>
      <c r="O351" s="0" t="n">
        <v>0</v>
      </c>
      <c r="P351" s="0" t="n">
        <v>3</v>
      </c>
      <c r="Q351" s="0" t="n">
        <v>0</v>
      </c>
      <c r="R351" s="0" t="inlineStr">
        <is>
          <t>Balk noted in play #37</t>
        </is>
      </c>
    </row>
    <row r="352" ht="15.75" customHeight="1" s="35">
      <c r="A352" s="0" t="inlineStr">
        <is>
          <t>2026-04-08_GLNL_at_GLFR</t>
        </is>
      </c>
      <c r="B352" s="0" t="inlineStr">
        <is>
          <t>2026-04-08</t>
        </is>
      </c>
      <c r="C352" s="0" t="inlineStr">
        <is>
          <t>GLNL</t>
        </is>
      </c>
      <c r="D352" s="0" t="inlineStr">
        <is>
          <t>GLFR</t>
        </is>
      </c>
      <c r="E352" s="0" t="inlineStr">
        <is>
          <t>H Leven</t>
        </is>
      </c>
      <c r="F352" s="0" t="n">
        <v>4</v>
      </c>
      <c r="G352" s="0" t="n">
        <v>9</v>
      </c>
      <c r="H352" s="0" t="n">
        <v>3</v>
      </c>
      <c r="I352" s="0" t="n">
        <v>2</v>
      </c>
      <c r="J352" s="0" t="n">
        <v>1</v>
      </c>
      <c r="K352" s="0" t="n">
        <v>1</v>
      </c>
      <c r="L352" s="0" t="n">
        <v>0</v>
      </c>
      <c r="M352" s="0" t="n">
        <v>2</v>
      </c>
      <c r="N352" s="0" t="n">
        <v>1</v>
      </c>
      <c r="O352" s="0" t="n">
        <v>1</v>
      </c>
      <c r="P352" s="0" t="n">
        <v>7</v>
      </c>
      <c r="Q352" s="0" t="n">
        <v>0</v>
      </c>
      <c r="R352" s="0" t="inlineStr"/>
    </row>
    <row r="353" ht="15.75" customHeight="1" s="35">
      <c r="A353" s="0" t="inlineStr">
        <is>
          <t>2026-04-08_GLNL_at_GLFR</t>
        </is>
      </c>
      <c r="B353" s="0" t="inlineStr">
        <is>
          <t>2026-04-08</t>
        </is>
      </c>
      <c r="C353" s="0" t="inlineStr">
        <is>
          <t>GLNL</t>
        </is>
      </c>
      <c r="D353" s="0" t="inlineStr">
        <is>
          <t>GLFR</t>
        </is>
      </c>
      <c r="E353" s="0" t="inlineStr">
        <is>
          <t>B S</t>
        </is>
      </c>
      <c r="F353" s="0" t="n">
        <v>1</v>
      </c>
      <c r="G353" s="0" t="n">
        <v>4</v>
      </c>
      <c r="H353" s="0" t="n">
        <v>1</v>
      </c>
      <c r="I353" s="0" t="n">
        <v>1</v>
      </c>
      <c r="J353" s="0" t="n">
        <v>0</v>
      </c>
      <c r="K353" s="0" t="n">
        <v>0</v>
      </c>
      <c r="L353" s="0" t="n">
        <v>0</v>
      </c>
      <c r="M353" s="0" t="n">
        <v>1</v>
      </c>
      <c r="N353" s="0" t="n">
        <v>0</v>
      </c>
      <c r="O353" s="0" t="n">
        <v>1</v>
      </c>
      <c r="P353" s="0" t="n">
        <v>2</v>
      </c>
      <c r="Q353" s="0" t="n">
        <v>0</v>
      </c>
      <c r="R353" s="0" t="inlineStr"/>
    </row>
    <row r="354" ht="15.75" customHeight="1" s="35">
      <c r="A354" s="0" t="inlineStr">
        <is>
          <t>2026-04-09_RVRH_at_CNTN</t>
        </is>
      </c>
      <c r="B354" s="0" t="inlineStr">
        <is>
          <t>2026-04-09</t>
        </is>
      </c>
      <c r="C354" s="0" t="inlineStr">
        <is>
          <t>CNTN</t>
        </is>
      </c>
      <c r="D354" s="0" t="inlineStr">
        <is>
          <t>RVRH</t>
        </is>
      </c>
      <c r="E354" s="0" t="inlineStr">
        <is>
          <t>R Walsh</t>
        </is>
      </c>
      <c r="F354" s="0" t="n">
        <v>18</v>
      </c>
      <c r="G354" s="0" t="n">
        <v>25</v>
      </c>
      <c r="H354" s="0" t="n">
        <v>2</v>
      </c>
      <c r="I354" s="0" t="n">
        <v>2</v>
      </c>
      <c r="J354" s="0" t="n">
        <v>0</v>
      </c>
      <c r="K354" s="0" t="n">
        <v>0</v>
      </c>
      <c r="L354" s="0" t="n">
        <v>0</v>
      </c>
      <c r="M354" s="0" t="n">
        <v>3</v>
      </c>
      <c r="N354" s="0" t="n">
        <v>0</v>
      </c>
      <c r="O354" s="0" t="n">
        <v>6</v>
      </c>
      <c r="P354" s="0" t="n">
        <v>1</v>
      </c>
      <c r="Q354" s="0" t="n">
        <v>2</v>
      </c>
      <c r="R354" s="0" t="inlineStr">
        <is>
          <t>6 IP, WP in innings 1 and 5</t>
        </is>
      </c>
    </row>
    <row r="355" ht="15.75" customHeight="1" s="35">
      <c r="A355" s="0" t="inlineStr">
        <is>
          <t>2026-04-09_RVRH_at_CNTN</t>
        </is>
      </c>
      <c r="B355" s="0" t="inlineStr">
        <is>
          <t>2026-04-09</t>
        </is>
      </c>
      <c r="C355" s="0" t="inlineStr">
        <is>
          <t>CNTN</t>
        </is>
      </c>
      <c r="D355" s="0" t="inlineStr">
        <is>
          <t>RVRH</t>
        </is>
      </c>
      <c r="E355" s="0" t="inlineStr">
        <is>
          <t>C Reis</t>
        </is>
      </c>
      <c r="F355" s="0" t="n">
        <v>3</v>
      </c>
      <c r="G355" s="0" t="n">
        <v>4</v>
      </c>
      <c r="H355" s="0" t="n">
        <v>0</v>
      </c>
      <c r="I355" s="0" t="n">
        <v>0</v>
      </c>
      <c r="J355" s="0" t="n">
        <v>0</v>
      </c>
      <c r="K355" s="0" t="n">
        <v>0</v>
      </c>
      <c r="L355" s="0" t="n">
        <v>0</v>
      </c>
      <c r="M355" s="0" t="n">
        <v>0</v>
      </c>
      <c r="N355" s="0" t="n">
        <v>1</v>
      </c>
      <c r="O355" s="0" t="n">
        <v>2</v>
      </c>
      <c r="P355" s="0" t="n">
        <v>0</v>
      </c>
      <c r="Q355" s="0" t="n">
        <v>0</v>
      </c>
      <c r="R355" s="0" t="inlineStr">
        <is>
          <t>1 IP</t>
        </is>
      </c>
    </row>
    <row r="356" ht="15.75" customHeight="1" s="35">
      <c r="A356" s="0" t="inlineStr">
        <is>
          <t>2026-04-09_RVRH_at_CNTN</t>
        </is>
      </c>
      <c r="B356" s="0" t="inlineStr">
        <is>
          <t>2026-04-09</t>
        </is>
      </c>
      <c r="C356" s="0" t="inlineStr">
        <is>
          <t>RVRH</t>
        </is>
      </c>
      <c r="D356" s="0" t="inlineStr">
        <is>
          <t>CNTN</t>
        </is>
      </c>
      <c r="E356" s="0" t="inlineStr">
        <is>
          <t>E Rayne</t>
        </is>
      </c>
      <c r="F356" s="0" t="n">
        <v>15</v>
      </c>
      <c r="G356" s="0" t="n">
        <v>25</v>
      </c>
      <c r="H356" s="0" t="n">
        <v>6</v>
      </c>
      <c r="I356" s="0" t="n">
        <v>6</v>
      </c>
      <c r="J356" s="0" t="n">
        <v>0</v>
      </c>
      <c r="K356" s="0" t="n">
        <v>0</v>
      </c>
      <c r="L356" s="0" t="n">
        <v>0</v>
      </c>
      <c r="M356" s="0" t="n">
        <v>3</v>
      </c>
      <c r="N356" s="0" t="n">
        <v>1</v>
      </c>
      <c r="O356" s="0" t="n">
        <v>8</v>
      </c>
      <c r="P356" s="0" t="n">
        <v>3</v>
      </c>
      <c r="Q356" s="0" t="n">
        <v>2</v>
      </c>
      <c r="R356" s="0" t="inlineStr">
        <is>
          <t>5 IP, WP in innings 1 and 5, error on pickoff attempt play #11</t>
        </is>
      </c>
    </row>
    <row r="357" ht="15.75" customHeight="1" s="35">
      <c r="A357" s="0" t="inlineStr">
        <is>
          <t>2026-04-09_RVRH_at_CNTN</t>
        </is>
      </c>
      <c r="B357" s="0" t="inlineStr">
        <is>
          <t>2026-04-09</t>
        </is>
      </c>
      <c r="C357" s="0" t="inlineStr">
        <is>
          <t>RVRH</t>
        </is>
      </c>
      <c r="D357" s="0" t="inlineStr">
        <is>
          <t>CNTN</t>
        </is>
      </c>
      <c r="E357" s="0" t="inlineStr">
        <is>
          <t>C Proescher</t>
        </is>
      </c>
      <c r="F357" s="0" t="n">
        <v>6</v>
      </c>
      <c r="G357" s="0" t="n">
        <v>6</v>
      </c>
      <c r="H357" s="0" t="n">
        <v>1</v>
      </c>
      <c r="I357" s="0" t="n">
        <v>1</v>
      </c>
      <c r="J357" s="0" t="n">
        <v>0</v>
      </c>
      <c r="K357" s="0" t="n">
        <v>0</v>
      </c>
      <c r="L357" s="0" t="n">
        <v>0</v>
      </c>
      <c r="M357" s="0" t="n">
        <v>0</v>
      </c>
      <c r="N357" s="0" t="n">
        <v>0</v>
      </c>
      <c r="O357" s="0" t="n">
        <v>2</v>
      </c>
      <c r="P357" s="0" t="n">
        <v>0</v>
      </c>
      <c r="Q357" s="0" t="n">
        <v>0</v>
      </c>
      <c r="R357" s="0" t="inlineStr">
        <is>
          <t>2 IP</t>
        </is>
      </c>
    </row>
    <row r="358" ht="15.75" customHeight="1" s="35">
      <c r="A358" t="inlineStr">
        <is>
          <t>2026-04-08_HWRD_at_RVRH</t>
        </is>
      </c>
      <c r="B358" t="inlineStr">
        <is>
          <t>2026-04-08</t>
        </is>
      </c>
      <c r="C358" t="inlineStr">
        <is>
          <t>RVRH</t>
        </is>
      </c>
      <c r="D358" t="inlineStr">
        <is>
          <t>HWRD</t>
        </is>
      </c>
      <c r="E358" t="inlineStr">
        <is>
          <t>N Hegedus</t>
        </is>
      </c>
      <c r="F358" t="n">
        <v>18</v>
      </c>
      <c r="G358" t="n">
        <v>23</v>
      </c>
      <c r="H358" t="n">
        <v>8</v>
      </c>
      <c r="I358" t="n">
        <v>7</v>
      </c>
      <c r="J358" t="n">
        <v>0</v>
      </c>
      <c r="K358" t="n">
        <v>0</v>
      </c>
      <c r="L358" t="n">
        <v>1</v>
      </c>
      <c r="M358" t="n">
        <v>1</v>
      </c>
      <c r="N358" t="n">
        <v>1</v>
      </c>
      <c r="O358" t="n">
        <v>6</v>
      </c>
      <c r="P358" t="n">
        <v>3</v>
      </c>
      <c r="Q358" t="n">
        <v>0</v>
      </c>
      <c r="R358" t="inlineStr">
        <is>
          <t>Innings 1-5, final out of 6th</t>
        </is>
      </c>
    </row>
    <row r="359" ht="15.75" customHeight="1" s="35">
      <c r="A359" t="inlineStr">
        <is>
          <t>2026-04-08_HWRD_at_RVRH</t>
        </is>
      </c>
      <c r="B359" t="inlineStr">
        <is>
          <t>2026-04-08</t>
        </is>
      </c>
      <c r="C359" t="inlineStr">
        <is>
          <t>HWRD</t>
        </is>
      </c>
      <c r="D359" t="inlineStr">
        <is>
          <t>RVRH</t>
        </is>
      </c>
      <c r="E359" t="inlineStr">
        <is>
          <t>H Zhang</t>
        </is>
      </c>
      <c r="F359" t="n">
        <v>15</v>
      </c>
      <c r="G359" t="n">
        <v>19</v>
      </c>
      <c r="H359" t="n">
        <v>4</v>
      </c>
      <c r="I359" t="n">
        <v>4</v>
      </c>
      <c r="J359" t="n">
        <v>0</v>
      </c>
      <c r="K359" t="n">
        <v>0</v>
      </c>
      <c r="L359" t="n">
        <v>0</v>
      </c>
      <c r="M359" t="n">
        <v>1</v>
      </c>
      <c r="N359" t="n">
        <v>0</v>
      </c>
      <c r="O359" t="n">
        <v>1</v>
      </c>
      <c r="P359" t="n">
        <v>2</v>
      </c>
      <c r="Q359" t="n">
        <v>2</v>
      </c>
      <c r="R359" t="inlineStr">
        <is>
          <t>Innings 1-5</t>
        </is>
      </c>
    </row>
    <row r="360" ht="15.75" customHeight="1" s="35">
      <c r="A360" t="inlineStr">
        <is>
          <t>2026-04-08_HWRD_at_RVRH</t>
        </is>
      </c>
      <c r="B360" t="inlineStr">
        <is>
          <t>2026-04-08</t>
        </is>
      </c>
      <c r="C360" t="inlineStr">
        <is>
          <t>HWRD</t>
        </is>
      </c>
      <c r="D360" t="inlineStr">
        <is>
          <t>RVRH</t>
        </is>
      </c>
      <c r="E360" t="inlineStr">
        <is>
          <t>J Jenkins</t>
        </is>
      </c>
      <c r="F360" t="n">
        <v>6</v>
      </c>
      <c r="G360" t="n">
        <v>7</v>
      </c>
      <c r="H360" t="n">
        <v>2</v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5</v>
      </c>
      <c r="P360" t="n">
        <v>1</v>
      </c>
      <c r="Q360" t="n">
        <v>0</v>
      </c>
      <c r="R360" t="inlineStr">
        <is>
          <t>Innings 6-7</t>
        </is>
      </c>
    </row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28" customWidth="1" style="35" min="1" max="1"/>
    <col width="12" customWidth="1" style="35" min="2" max="2"/>
    <col width="22" customWidth="1" style="35" min="3" max="3"/>
    <col width="6" customWidth="1" style="35" min="4" max="4"/>
    <col width="14" customWidth="1" style="35" min="5" max="5"/>
    <col width="8" customWidth="1" style="35" min="6" max="6"/>
    <col width="10" customWidth="1" style="35" min="7" max="7"/>
    <col width="80" customWidth="1" style="35" min="8" max="8"/>
    <col width="8.710000000000001" customWidth="1" style="35" min="9" max="26"/>
  </cols>
  <sheetData>
    <row r="1">
      <c r="A1" s="4" t="inlineStr">
        <is>
          <t>Game_ID</t>
        </is>
      </c>
      <c r="B1" s="4" t="inlineStr">
        <is>
          <t>Game_Date</t>
        </is>
      </c>
      <c r="C1" s="4" t="inlineStr">
        <is>
          <t>Opponent</t>
        </is>
      </c>
      <c r="D1" s="4" t="inlineStr">
        <is>
          <t>Team</t>
        </is>
      </c>
      <c r="E1" s="4" t="inlineStr">
        <is>
          <t>Player</t>
        </is>
      </c>
      <c r="F1" s="4" t="inlineStr">
        <is>
          <t>Inning</t>
        </is>
      </c>
      <c r="G1" s="4" t="inlineStr">
        <is>
          <t>Play_Ref</t>
        </is>
      </c>
      <c r="H1" s="4" t="inlineStr">
        <is>
          <t>Notes</t>
        </is>
      </c>
    </row>
    <row r="2" ht="39.75" customHeight="1" s="35">
      <c r="A2" s="8" t="inlineStr">
        <is>
          <t>2026-03-10_RVRH_at_WSTF</t>
        </is>
      </c>
      <c r="B2" s="8" t="inlineStr">
        <is>
          <t>2026-03-10</t>
        </is>
      </c>
      <c r="C2" s="8" t="inlineStr">
        <is>
          <t>Westfield High School</t>
        </is>
      </c>
      <c r="D2" s="8" t="inlineStr">
        <is>
          <t>RVRH</t>
        </is>
      </c>
      <c r="E2" s="8" t="inlineStr">
        <is>
          <t>E Skolkin</t>
        </is>
      </c>
      <c r="F2" s="8" t="n">
        <v>8</v>
      </c>
      <c r="G2" s="8" t="n">
        <v>69</v>
      </c>
      <c r="H2" s="8" t="inlineStr">
        <is>
          <t>#3 hits ground ball, reaches base on error by 2B E Skolkin (play #69, B8). RVRH E=1 per Section 2 totals. No errors recorded for WSTF.</t>
        </is>
      </c>
    </row>
    <row r="3">
      <c r="A3" s="8" t="inlineStr">
        <is>
          <t>2026-03-14_WTTN_at_RVRH</t>
        </is>
      </c>
      <c r="B3" s="8" t="inlineStr">
        <is>
          <t>2026-03-14</t>
        </is>
      </c>
      <c r="C3" s="8" t="inlineStr">
        <is>
          <t>Wootton Varsity Patriots</t>
        </is>
      </c>
      <c r="D3" s="8" t="inlineStr">
        <is>
          <t>RVRH</t>
        </is>
      </c>
      <c r="E3" s="8" t="inlineStr">
        <is>
          <t>H Zhang</t>
        </is>
      </c>
      <c r="F3" s="8" t="n">
        <v>5</v>
      </c>
      <c r="G3" s="8" t="n">
        <v>42</v>
      </c>
      <c r="H3" s="8" t="inlineStr">
        <is>
          <t>J Reid hits a hard ground ball and reaches on an error by 1B H Zhang (play #42, T5). RVRH E=1 per running tally.</t>
        </is>
      </c>
    </row>
    <row r="4">
      <c r="A4" s="8" t="inlineStr">
        <is>
          <t>2026-03-14_WTTN_at_RVRH</t>
        </is>
      </c>
      <c r="B4" s="8" t="inlineStr">
        <is>
          <t>2026-03-14</t>
        </is>
      </c>
      <c r="C4" s="8" t="inlineStr">
        <is>
          <t>Wootton Varsity Patriots</t>
        </is>
      </c>
      <c r="D4" s="8" t="inlineStr">
        <is>
          <t>RVRH</t>
        </is>
      </c>
      <c r="E4" s="8" t="inlineStr">
        <is>
          <t>B Bixby</t>
        </is>
      </c>
      <c r="F4" s="8" t="n">
        <v>6</v>
      </c>
      <c r="G4" s="8" t="n">
        <v>49</v>
      </c>
      <c r="H4" s="8" t="inlineStr">
        <is>
          <t>A Grainger hits a fly ball and reaches on an error by LF B Bixby (play #49, T6). RVRH E=2 per running tally.</t>
        </is>
      </c>
    </row>
    <row r="5">
      <c r="A5" s="8" t="inlineStr">
        <is>
          <t>2026-03-14_WTTN_at_RVRH</t>
        </is>
      </c>
      <c r="B5" s="8" t="inlineStr">
        <is>
          <t>2026-03-14</t>
        </is>
      </c>
      <c r="C5" s="8" t="inlineStr">
        <is>
          <t>Wootton Varsity Patriots</t>
        </is>
      </c>
      <c r="D5" s="8" t="inlineStr">
        <is>
          <t>RVRH</t>
        </is>
      </c>
      <c r="E5" s="8" t="inlineStr">
        <is>
          <t>B Bixby</t>
        </is>
      </c>
      <c r="F5" s="8" t="n">
        <v>6</v>
      </c>
      <c r="G5" s="8" t="n">
        <v>52</v>
      </c>
      <c r="H5" s="8" t="inlineStr">
        <is>
          <t>N Zweig hits a fly ball and reaches on an error by LF B Bixby; A Grainger scores on the play (play #52, T6). RVRH E=3 per running tally.</t>
        </is>
      </c>
    </row>
    <row r="6">
      <c r="A6" s="8" t="inlineStr">
        <is>
          <t>2026-03-14_WTTN_at_RVRH</t>
        </is>
      </c>
      <c r="B6" s="8" t="inlineStr">
        <is>
          <t>2026-03-14</t>
        </is>
      </c>
      <c r="C6" s="8" t="inlineStr">
        <is>
          <t>Wootton Varsity Patriots</t>
        </is>
      </c>
      <c r="D6" s="8" t="inlineStr">
        <is>
          <t>WTTN</t>
        </is>
      </c>
      <c r="E6" s="8" t="inlineStr">
        <is>
          <t>WTTN_1B</t>
        </is>
      </c>
      <c r="F6" s="8" t="n">
        <v>5</v>
      </c>
      <c r="G6" s="8" t="n">
        <v>45</v>
      </c>
      <c r="H6" s="8" t="inlineStr">
        <is>
          <t>C Reis advances to 2nd on error by WTTN first baseman; embedded in J Norwood pop out AB (play #45, B5; Flag #6). WTTN E=1 per running tally. Fielder identity not specified in log.</t>
        </is>
      </c>
    </row>
    <row r="7">
      <c r="A7" s="8" t="inlineStr">
        <is>
          <t>2026-03-14_WTTN_at_RVRH</t>
        </is>
      </c>
      <c r="B7" s="8" t="inlineStr">
        <is>
          <t>2026-03-14</t>
        </is>
      </c>
      <c r="C7" s="8" t="inlineStr">
        <is>
          <t>Wootton Varsity Patriots</t>
        </is>
      </c>
      <c r="D7" s="8" t="inlineStr">
        <is>
          <t>WTTN</t>
        </is>
      </c>
      <c r="E7" s="8" t="inlineStr">
        <is>
          <t>WTTN_SS</t>
        </is>
      </c>
      <c r="F7" s="8" t="n">
        <v>5</v>
      </c>
      <c r="G7" s="8" t="n">
        <v>46</v>
      </c>
      <c r="H7" s="8" t="inlineStr">
        <is>
          <t>H Zhang hits a ground ball and reaches on an error by WTTN shortstop (play #46, B5). WTTN E=2 per running tally. Fielder identity not specified in log.</t>
        </is>
      </c>
    </row>
    <row r="8">
      <c r="A8" s="8" t="inlineStr">
        <is>
          <t>2026-03-21_RVRH_at_GLFR</t>
        </is>
      </c>
      <c r="B8" s="8" t="inlineStr">
        <is>
          <t>2026-03-21</t>
        </is>
      </c>
      <c r="C8" s="8" t="inlineStr">
        <is>
          <t>Guilford Park Varsity Panthers</t>
        </is>
      </c>
      <c r="D8" s="8" t="inlineStr">
        <is>
          <t>GLFR</t>
        </is>
      </c>
      <c r="E8" s="8" t="inlineStr">
        <is>
          <t>GLFR_AA</t>
        </is>
      </c>
      <c r="F8" s="8" t="n">
        <v>1</v>
      </c>
      <c r="G8" s="8" t="n">
        <v>14</v>
      </c>
      <c r="H8" s="8" t="inlineStr">
        <is>
          <t>C Naecker hits a pop fly and reaches on an error by SS A A; C Naecker also advances to 2nd on same error (play #14, T1). GLFR E=1. Two separate advances credited to one error event; no RVRH error.</t>
        </is>
      </c>
    </row>
    <row r="9">
      <c r="A9" s="8" t="inlineStr">
        <is>
          <t>2026-03-21_RVRH_at_GLFR</t>
        </is>
      </c>
      <c r="B9" s="8" t="inlineStr">
        <is>
          <t>2026-03-21</t>
        </is>
      </c>
      <c r="C9" s="8" t="inlineStr">
        <is>
          <t>Guilford Park Varsity Panthers</t>
        </is>
      </c>
      <c r="D9" s="8" t="inlineStr">
        <is>
          <t>GLFR</t>
        </is>
      </c>
      <c r="E9" s="8" t="inlineStr">
        <is>
          <t>GLFR_AA</t>
        </is>
      </c>
      <c r="F9" s="8" t="n">
        <v>1</v>
      </c>
      <c r="G9" s="8" t="n">
        <v>15</v>
      </c>
      <c r="H9" s="8" t="inlineStr">
        <is>
          <t>G Dang hits a hard ground ball and reaches on an error by SS A A; C Naecker and H Zhang score on the play (play #15, T1). GLFR E=2. Runs scored on error — no RBI credited to G Dang.</t>
        </is>
      </c>
    </row>
    <row r="10">
      <c r="A10" s="8" t="inlineStr">
        <is>
          <t>2026-03-21_RVRH_at_GLFR</t>
        </is>
      </c>
      <c r="B10" s="8" t="inlineStr">
        <is>
          <t>2026-03-21</t>
        </is>
      </c>
      <c r="C10" s="8" t="inlineStr">
        <is>
          <t>Guilford Park Varsity Panthers</t>
        </is>
      </c>
      <c r="D10" s="8" t="inlineStr">
        <is>
          <t>GLFR</t>
        </is>
      </c>
      <c r="E10" s="8" t="inlineStr">
        <is>
          <t>GLFR_MR</t>
        </is>
      </c>
      <c r="F10" s="8" t="n">
        <v>2</v>
      </c>
      <c r="G10" s="8" t="n">
        <v>23</v>
      </c>
      <c r="H10" s="8" t="inlineStr">
        <is>
          <t>E McCoy advances to 2nd on an error by 1B M R during A Contreras AB (play #23, T2; embedded in Sec4 #23). GLFR E=3. Error embedded in pitch sequence, not a standalone play entry (Flag #11).</t>
        </is>
      </c>
    </row>
    <row r="11">
      <c r="A11" s="8" t="inlineStr">
        <is>
          <t>2026-03-23_WLDL_at_RVRH</t>
        </is>
      </c>
      <c r="B11" s="8" t="inlineStr">
        <is>
          <t>2026-03-23</t>
        </is>
      </c>
      <c r="C11" s="8" t="inlineStr">
        <is>
          <t>Wilde Lake Varsity Cats</t>
        </is>
      </c>
      <c r="D11" s="8" t="inlineStr">
        <is>
          <t>WLDL</t>
        </is>
      </c>
      <c r="E11" s="8" t="inlineStr">
        <is>
          <t>J Bunnell</t>
        </is>
      </c>
      <c r="F11" s="8" t="n">
        <v>2</v>
      </c>
      <c r="G11" s="8" t="n">
        <v>14</v>
      </c>
      <c r="H11" s="8" t="inlineStr">
        <is>
          <t>C Naecker scores on error by C (J Bunnell) during G Dang K AB (play #14, B2); error embedded in pitch sequence, not a standalone play entry (Flag #6). WLDL E=1.</t>
        </is>
      </c>
    </row>
    <row r="12">
      <c r="A12" s="8" t="inlineStr">
        <is>
          <t>2026-03-23_WLDL_at_RVRH</t>
        </is>
      </c>
      <c r="B12" s="8" t="inlineStr">
        <is>
          <t>2026-03-23</t>
        </is>
      </c>
      <c r="C12" s="8" t="inlineStr">
        <is>
          <t>Wilde Lake Varsity Cats</t>
        </is>
      </c>
      <c r="D12" s="8" t="inlineStr">
        <is>
          <t>WLDL</t>
        </is>
      </c>
      <c r="E12" s="8" t="inlineStr">
        <is>
          <t>R Schmidt</t>
        </is>
      </c>
      <c r="F12" s="8" t="n">
        <v>2</v>
      </c>
      <c r="G12" s="8" t="n">
        <v>16</v>
      </c>
      <c r="H12" s="8" t="inlineStr">
        <is>
          <t>A Fields advances to 2nd on error by 1B R Schmidt during E McCoy AB (play #16, B2); error embedded in pitch sequence (Sec4 #16). WLDL E=2.</t>
        </is>
      </c>
    </row>
    <row r="13">
      <c r="A13" s="8" t="inlineStr">
        <is>
          <t>2026-03-23_WLDL_at_RVRH</t>
        </is>
      </c>
      <c r="B13" s="8" t="inlineStr">
        <is>
          <t>2026-03-23</t>
        </is>
      </c>
      <c r="C13" s="8" t="inlineStr">
        <is>
          <t>Wilde Lake Varsity Cats</t>
        </is>
      </c>
      <c r="D13" s="8" t="inlineStr">
        <is>
          <t>WLDL</t>
        </is>
      </c>
      <c r="E13" s="8" t="inlineStr">
        <is>
          <t>A Lindsay</t>
        </is>
      </c>
      <c r="F13" s="8" t="n">
        <v>3</v>
      </c>
      <c r="G13" s="8" t="n">
        <v>24</v>
      </c>
      <c r="H13" s="8" t="inlineStr">
        <is>
          <t>J Norwood hits a fly ball and reaches on an error by RF A Lindsay; J Norwood advances to 2nd on the same error (play #24, B3). WLDL E=3.</t>
        </is>
      </c>
    </row>
    <row r="14">
      <c r="A14" s="8" t="inlineStr">
        <is>
          <t>2026-03-25_RVRH_at_HMMN</t>
        </is>
      </c>
      <c r="B14" s="8" t="inlineStr">
        <is>
          <t>2026-03-25</t>
        </is>
      </c>
      <c r="C14" s="8" t="inlineStr">
        <is>
          <t>Hammond Varsity Bears</t>
        </is>
      </c>
      <c r="D14" s="8" t="inlineStr">
        <is>
          <t>RVRH</t>
        </is>
      </c>
      <c r="E14" s="8" t="inlineStr">
        <is>
          <t>A Contreras</t>
        </is>
      </c>
      <c r="F14" s="8" t="n">
        <v>6</v>
      </c>
      <c r="G14" s="8" t="n">
        <v>61</v>
      </c>
      <c r="H14" s="8" t="inlineStr">
        <is>
          <t>J Willis singles to LF A Contreras; C Stryker scores on error by LF A Contreras, J Willis advances to 2nd on same error (play #61, B6). RVRH E=1. C Stryker scored on error — no RBI for J Willis.</t>
        </is>
      </c>
    </row>
    <row r="15">
      <c r="A15" s="8" t="inlineStr">
        <is>
          <t>2026-03-25_RVRH_at_HMMN</t>
        </is>
      </c>
      <c r="B15" s="8" t="inlineStr">
        <is>
          <t>2026-03-25</t>
        </is>
      </c>
      <c r="C15" s="8" t="inlineStr">
        <is>
          <t>Hammond Varsity Bears</t>
        </is>
      </c>
      <c r="D15" s="8" t="inlineStr">
        <is>
          <t>HMMN</t>
        </is>
      </c>
      <c r="E15" s="8" t="inlineStr">
        <is>
          <t>J Willis</t>
        </is>
      </c>
      <c r="F15" s="8" t="n">
        <v>3</v>
      </c>
      <c r="G15" s="8" t="n">
        <v>26</v>
      </c>
      <c r="H15" s="8" t="inlineStr">
        <is>
          <t>A Contreras hits a fly ball and reaches on an error by CF J Willis; A Contreras advances to 2nd on same error (play #26, T3). HMMN E=1.</t>
        </is>
      </c>
    </row>
    <row r="16">
      <c r="A16" s="8" t="inlineStr">
        <is>
          <t>2026-03-25_RVRH_at_HMMN</t>
        </is>
      </c>
      <c r="B16" s="8" t="inlineStr">
        <is>
          <t>2026-03-25</t>
        </is>
      </c>
      <c r="C16" s="8" t="inlineStr">
        <is>
          <t>Hammond Varsity Bears</t>
        </is>
      </c>
      <c r="D16" s="8" t="inlineStr">
        <is>
          <t>HMMN</t>
        </is>
      </c>
      <c r="E16" s="8" t="inlineStr">
        <is>
          <t>P Yarnell</t>
        </is>
      </c>
      <c r="F16" s="8" t="n">
        <v>4</v>
      </c>
      <c r="G16" s="8" t="n">
        <v>36</v>
      </c>
      <c r="H16" s="8" t="inlineStr">
        <is>
          <t>C McClellan (CR for H Zhang) advances to 3rd on error by SS P Yarnell — embedded in A Fields walk AB pitch sequence (play #36, T4; Flag #5). HMMN E=2.</t>
        </is>
      </c>
    </row>
    <row r="17">
      <c r="A17" s="8" t="inlineStr">
        <is>
          <t>2026-03-25_RVRH_at_HMMN</t>
        </is>
      </c>
      <c r="B17" s="8" t="inlineStr">
        <is>
          <t>2026-03-25</t>
        </is>
      </c>
      <c r="C17" s="8" t="inlineStr">
        <is>
          <t>Hammond Varsity Bears</t>
        </is>
      </c>
      <c r="D17" s="8" t="inlineStr">
        <is>
          <t>HMMN</t>
        </is>
      </c>
      <c r="E17" s="8" t="inlineStr">
        <is>
          <t>P Yarnell</t>
        </is>
      </c>
      <c r="F17" s="8" t="n">
        <v>5</v>
      </c>
      <c r="G17" s="8" t="n">
        <v>44</v>
      </c>
      <c r="H17" s="8" t="inlineStr">
        <is>
          <t>C Reis singles on a ground ball to SS P Yarnell; C Reis advances to 2nd on error by SS P Yarnell (play #44, T5). HMMN E=3.</t>
        </is>
      </c>
    </row>
    <row r="18">
      <c r="A18" s="8" t="inlineStr">
        <is>
          <t>2026-03-25_RVRH_at_HMMN</t>
        </is>
      </c>
      <c r="B18" s="8" t="inlineStr">
        <is>
          <t>2026-03-25</t>
        </is>
      </c>
      <c r="C18" s="8" t="inlineStr">
        <is>
          <t>Hammond Varsity Bears</t>
        </is>
      </c>
      <c r="D18" s="8" t="inlineStr">
        <is>
          <t>HMMN</t>
        </is>
      </c>
      <c r="E18" s="8" t="inlineStr">
        <is>
          <t>P Yarnell</t>
        </is>
      </c>
      <c r="F18" s="8" t="n">
        <v>7</v>
      </c>
      <c r="G18" s="8" t="n">
        <v>69</v>
      </c>
      <c r="H18" s="8" t="inlineStr">
        <is>
          <t>C Naecker scores on error by SS P Yarnell — embedded in E McCoy pop out AB pitch sequence (play #69, T7; Flag #6). HMMN E=4. Run scored on error — no RBI for E McCoy.</t>
        </is>
      </c>
    </row>
    <row r="19">
      <c r="A19" s="8" t="inlineStr">
        <is>
          <t>2026-03-27_GLNL_at_RVRH</t>
        </is>
      </c>
      <c r="B19" s="8" t="inlineStr">
        <is>
          <t>2026-03-27</t>
        </is>
      </c>
      <c r="C19" s="8" t="inlineStr">
        <is>
          <t>Glenelg Varsity Gladiators</t>
        </is>
      </c>
      <c r="D19" s="8" t="inlineStr">
        <is>
          <t>RVRH</t>
        </is>
      </c>
      <c r="E19" s="8" t="inlineStr">
        <is>
          <t>C Nichols</t>
        </is>
      </c>
      <c r="F19" s="8" t="n">
        <v>1</v>
      </c>
      <c r="G19" s="8" t="n">
        <v>3</v>
      </c>
      <c r="H19" s="8" t="inlineStr">
        <is>
          <t>C Lease hits a ground ball and reaches on an error by SS C Nichols; C Lease advances to 2nd on same error (play #3, T1). RVRH E=1 identified. Second RVRH error (E=2 total per Section 2) is unidentifiable in the play log — see Flag #5; no second fielding row written.</t>
        </is>
      </c>
    </row>
    <row r="20">
      <c r="A20" s="8" t="inlineStr">
        <is>
          <t>2026-03-27_GLNL_at_RVRH</t>
        </is>
      </c>
      <c r="B20" s="8" t="inlineStr">
        <is>
          <t>2026-03-27</t>
        </is>
      </c>
      <c r="C20" s="8" t="inlineStr">
        <is>
          <t>Glenelg Varsity Gladiators</t>
        </is>
      </c>
      <c r="D20" s="8" t="inlineStr">
        <is>
          <t>GLNL</t>
        </is>
      </c>
      <c r="E20" s="8" t="inlineStr">
        <is>
          <t>J Miles</t>
        </is>
      </c>
      <c r="F20" s="8" t="n">
        <v>3</v>
      </c>
      <c r="G20" s="8" t="n">
        <v>38</v>
      </c>
      <c r="H20" s="8" t="inlineStr">
        <is>
          <t>E McCoy hits a pop fly and reaches on an error by 1B J Miles; A Fields scores from 3rd, B Bixby (CR for G Dang) scores from 3rd on the play (play #38, B3). GLNL E=1. Runs scored on error — no RBI for E McCoy.</t>
        </is>
      </c>
    </row>
    <row r="21" ht="15.75" customHeight="1" s="35">
      <c r="A21" s="8" t="inlineStr">
        <is>
          <t>2026-03-30_FLLS_at_RVRH</t>
        </is>
      </c>
      <c r="B21" s="8" t="inlineStr">
        <is>
          <t>2026-03-30</t>
        </is>
      </c>
      <c r="C21" s="8" t="inlineStr">
        <is>
          <t>Fallston Varsity Cougars</t>
        </is>
      </c>
      <c r="D21" s="8" t="inlineStr">
        <is>
          <t>RVRH</t>
        </is>
      </c>
      <c r="E21" s="8" t="inlineStr">
        <is>
          <t>A Fields</t>
        </is>
      </c>
      <c r="F21" s="8" t="n">
        <v>2</v>
      </c>
      <c r="G21" s="8" t="n">
        <v>14</v>
      </c>
      <c r="H21" s="8" t="inlineStr">
        <is>
          <t>G Kersch hits a ground ball and reaches on an error by 2B A Fields (play #14, T2). RVRH E=1. Error is the only event; G Kersch advances to 1B only.</t>
        </is>
      </c>
    </row>
    <row r="22" ht="15.75" customHeight="1" s="35">
      <c r="A22" s="8" t="inlineStr">
        <is>
          <t>2026-03-30_FLLS_at_RVRH</t>
        </is>
      </c>
      <c r="B22" s="8" t="inlineStr">
        <is>
          <t>2026-03-30</t>
        </is>
      </c>
      <c r="C22" s="8" t="inlineStr">
        <is>
          <t>Fallston Varsity Cougars</t>
        </is>
      </c>
      <c r="D22" s="8" t="inlineStr">
        <is>
          <t>RVRH</t>
        </is>
      </c>
      <c r="E22" s="8" t="inlineStr">
        <is>
          <t>G Dang</t>
        </is>
      </c>
      <c r="F22" s="8" t="n">
        <v>5</v>
      </c>
      <c r="G22" s="8" t="n">
        <v>43</v>
      </c>
      <c r="H22" s="8" t="inlineStr">
        <is>
          <t>E Slicher scores on an error by C G Dang — embedded in F Rebasti walk AB pitch sequence (play #43, T5; Flag #3). RVRH E=2. Z Loewe steals 2nd on the same pitch. Error and SB both embedded; neither logged as standalone play entry.</t>
        </is>
      </c>
    </row>
    <row r="23" ht="15.75" customHeight="1" s="35">
      <c r="A23" s="8" t="inlineStr">
        <is>
          <t>2026-03-07_ELNR_at_NRTH</t>
        </is>
      </c>
      <c r="B23" s="3" t="n">
        <v>46088</v>
      </c>
      <c r="C23" s="8" t="inlineStr">
        <is>
          <t>North Point Varsity Eagles</t>
        </is>
      </c>
      <c r="D23" s="8" t="inlineStr">
        <is>
          <t>ELNR</t>
        </is>
      </c>
      <c r="E23" s="8" t="inlineStr">
        <is>
          <t>S Hamilton</t>
        </is>
      </c>
      <c r="F23" s="8" t="n">
        <v>1</v>
      </c>
      <c r="G23" s="8" t="n">
        <v>9</v>
      </c>
      <c r="H23" s="8" t="inlineStr">
        <is>
          <t>A Harding reaches on error by SS S Hamilton; A Espejo advances to 2nd (B1). ELNR E=1.</t>
        </is>
      </c>
    </row>
    <row r="24" ht="15.75" customHeight="1" s="35">
      <c r="A24" s="8" t="inlineStr">
        <is>
          <t>2026-03-07_ELNR_at_NRTH</t>
        </is>
      </c>
      <c r="B24" s="3" t="n">
        <v>46088</v>
      </c>
      <c r="C24" s="8" t="inlineStr">
        <is>
          <t>North Point Varsity Eagles</t>
        </is>
      </c>
      <c r="D24" s="8" t="inlineStr">
        <is>
          <t>ELNR</t>
        </is>
      </c>
      <c r="E24" s="8" t="inlineStr">
        <is>
          <t>J Maitland</t>
        </is>
      </c>
      <c r="F24" s="8" t="n">
        <v>1</v>
      </c>
      <c r="G24" s="8" t="n">
        <v>12</v>
      </c>
      <c r="H24" s="8" t="inlineStr">
        <is>
          <t>W Kwisnek singles; W Kwisnek advances to 3rd on error by C J Maitland; A Harding scores (B1). ELNR E=2. See Flag #4.</t>
        </is>
      </c>
    </row>
    <row r="25" ht="15.75" customHeight="1" s="35">
      <c r="A25" s="8" t="inlineStr">
        <is>
          <t>2026-03-07_ELNR_at_NRTH</t>
        </is>
      </c>
      <c r="B25" s="3" t="n">
        <v>46088</v>
      </c>
      <c r="C25" s="8" t="inlineStr">
        <is>
          <t>North Point Varsity Eagles</t>
        </is>
      </c>
      <c r="D25" s="8" t="inlineStr">
        <is>
          <t>ELNR</t>
        </is>
      </c>
      <c r="E25" s="8" t="inlineStr">
        <is>
          <t>J Maitland</t>
        </is>
      </c>
      <c r="F25" s="8" t="n">
        <v>1</v>
      </c>
      <c r="G25" s="8" t="n">
        <v>15</v>
      </c>
      <c r="H25" s="8" t="inlineStr">
        <is>
          <t>S Dixon scores on error by C J Maitland during C Pettko walk sequence (B1). ELNR E=3. See Flag #5.</t>
        </is>
      </c>
    </row>
    <row r="26" ht="15.75" customHeight="1" s="35">
      <c r="A26" s="8" t="inlineStr">
        <is>
          <t>2026-03-07_ELNR_at_NRTH</t>
        </is>
      </c>
      <c r="B26" s="3" t="n">
        <v>46088</v>
      </c>
      <c r="C26" s="8" t="inlineStr">
        <is>
          <t>North Point Varsity Eagles</t>
        </is>
      </c>
      <c r="D26" s="8" t="inlineStr">
        <is>
          <t>ELNR</t>
        </is>
      </c>
      <c r="E26" s="8" t="inlineStr">
        <is>
          <t>A Wimbish</t>
        </is>
      </c>
      <c r="F26" s="8" t="n">
        <v>2</v>
      </c>
      <c r="G26" s="8" t="n">
        <v>24</v>
      </c>
      <c r="H26" s="8" t="inlineStr">
        <is>
          <t>Z Bowman reaches and advances to 2nd on error by RF A Wimbish (B2). ELNR E=4.</t>
        </is>
      </c>
    </row>
    <row r="27" ht="15.75" customHeight="1" s="35">
      <c r="A27" s="8" t="inlineStr">
        <is>
          <t>2026-03-07_ELNR_at_NRTH</t>
        </is>
      </c>
      <c r="B27" s="3" t="n">
        <v>46088</v>
      </c>
      <c r="C27" s="8" t="inlineStr">
        <is>
          <t>North Point Varsity Eagles</t>
        </is>
      </c>
      <c r="D27" s="8" t="inlineStr">
        <is>
          <t>ELNR</t>
        </is>
      </c>
      <c r="E27" s="8" t="inlineStr">
        <is>
          <t>S Hamilton</t>
        </is>
      </c>
      <c r="F27" s="8" t="n">
        <v>2</v>
      </c>
      <c r="G27" s="8" t="n">
        <v>27</v>
      </c>
      <c r="H27" s="8" t="inlineStr">
        <is>
          <t>S Dixon reaches on error by SS S Hamilton; Z Bowman scores (B2). ELNR E=5.</t>
        </is>
      </c>
    </row>
    <row r="28" ht="15.75" customHeight="1" s="35">
      <c r="A28" s="8" t="inlineStr">
        <is>
          <t>2026-03-07_ELNR_at_NRTH</t>
        </is>
      </c>
      <c r="B28" s="3" t="n">
        <v>46088</v>
      </c>
      <c r="C28" s="8" t="inlineStr">
        <is>
          <t>North Point Varsity Eagles</t>
        </is>
      </c>
      <c r="D28" s="8" t="inlineStr">
        <is>
          <t>ELNR</t>
        </is>
      </c>
      <c r="E28" s="8" t="inlineStr">
        <is>
          <t>J Maitland</t>
        </is>
      </c>
      <c r="F28" s="8" t="n">
        <v>3</v>
      </c>
      <c r="G28" s="8" t="n">
        <v>36</v>
      </c>
      <c r="H28" s="8" t="inlineStr">
        <is>
          <t>T Roy scores on error by C J Maitland; C Pettko also advances — embedded in A Espejo walk sequence (B3). ELNR E=6. See Flag #5.</t>
        </is>
      </c>
    </row>
    <row r="29" ht="15.75" customHeight="1" s="35">
      <c r="A29" s="8" t="inlineStr">
        <is>
          <t>2026-03-07_ELNR_at_NRTH</t>
        </is>
      </c>
      <c r="B29" s="3" t="n">
        <v>46088</v>
      </c>
      <c r="C29" s="8" t="inlineStr">
        <is>
          <t>North Point Varsity Eagles</t>
        </is>
      </c>
      <c r="D29" s="8" t="inlineStr">
        <is>
          <t>ELNR</t>
        </is>
      </c>
      <c r="E29" s="8" t="inlineStr">
        <is>
          <t>R Coxen</t>
        </is>
      </c>
      <c r="F29" s="8" t="n">
        <v>3</v>
      </c>
      <c r="G29" s="8" t="n">
        <v>39</v>
      </c>
      <c r="H29" s="8" t="inlineStr">
        <is>
          <t>Z Bowman advances to 2nd on error by 2B R Coxen on throw during FC play (B3). ELNR E=7. See Flag #8.</t>
        </is>
      </c>
    </row>
    <row r="30" ht="15.75" customHeight="1" s="35">
      <c r="A30" s="8" t="inlineStr">
        <is>
          <t>2026-03-07_ELNR_at_NRTH</t>
        </is>
      </c>
      <c r="B30" s="3" t="n">
        <v>46088</v>
      </c>
      <c r="C30" s="8" t="inlineStr">
        <is>
          <t>North Point Varsity Eagles</t>
        </is>
      </c>
      <c r="D30" s="8" t="inlineStr">
        <is>
          <t>ELNR</t>
        </is>
      </c>
      <c r="E30" s="8" t="inlineStr">
        <is>
          <t>S Hamilton</t>
        </is>
      </c>
      <c r="F30" s="8" t="n">
        <v>5</v>
      </c>
      <c r="G30" s="8" t="n">
        <v>58</v>
      </c>
      <c r="H30" s="8" t="inlineStr">
        <is>
          <t>W Kwisnek reaches on error by SS S Hamilton (B5). ELNR E=8.</t>
        </is>
      </c>
    </row>
    <row r="31" ht="15.75" customHeight="1" s="35">
      <c r="A31" s="8" t="inlineStr">
        <is>
          <t>2026-03-07_ELNR_at_NRTH</t>
        </is>
      </c>
      <c r="B31" s="3" t="n">
        <v>46088</v>
      </c>
      <c r="C31" s="8" t="inlineStr">
        <is>
          <t>North Point Varsity Eagles</t>
        </is>
      </c>
      <c r="D31" s="8" t="inlineStr">
        <is>
          <t>NRTH</t>
        </is>
      </c>
      <c r="E31" s="8" t="inlineStr">
        <is>
          <t>Z Bowman</t>
        </is>
      </c>
      <c r="F31" s="8" t="n">
        <v>2</v>
      </c>
      <c r="G31" s="8" t="n">
        <v>19</v>
      </c>
      <c r="H31" s="8" t="inlineStr">
        <is>
          <t>A Kennell reaches on error by 3B Z Bowman (T2). NRTH E=1.</t>
        </is>
      </c>
    </row>
    <row r="32" ht="15.75" customHeight="1" s="35">
      <c r="A32" s="8" t="inlineStr">
        <is>
          <t>2026-03-07_ELNR_at_NRTH</t>
        </is>
      </c>
      <c r="B32" s="3" t="n">
        <v>46088</v>
      </c>
      <c r="C32" s="8" t="inlineStr">
        <is>
          <t>North Point Varsity Eagles</t>
        </is>
      </c>
      <c r="D32" s="8" t="inlineStr">
        <is>
          <t>NRTH</t>
        </is>
      </c>
      <c r="E32" s="8" t="inlineStr">
        <is>
          <t>Z Bowman</t>
        </is>
      </c>
      <c r="F32" s="8" t="n">
        <v>3</v>
      </c>
      <c r="G32" s="8" t="n">
        <v>32</v>
      </c>
      <c r="H32" s="8" t="inlineStr">
        <is>
          <t>K Watkins-Fleisher reaches; C Knight advances to 3rd on same error by 3B Z Bowman (T3). NRTH E=2.</t>
        </is>
      </c>
    </row>
    <row r="33" ht="15.75" customHeight="1" s="35">
      <c r="A33" s="8" t="inlineStr">
        <is>
          <t>2026-03-07_ELNR_at_NRTH</t>
        </is>
      </c>
      <c r="B33" s="3" t="n">
        <v>46088</v>
      </c>
      <c r="C33" s="8" t="inlineStr">
        <is>
          <t>North Point Varsity Eagles</t>
        </is>
      </c>
      <c r="D33" s="8" t="inlineStr">
        <is>
          <t>NRTH</t>
        </is>
      </c>
      <c r="E33" s="8" t="inlineStr">
        <is>
          <t>C Pettko</t>
        </is>
      </c>
      <c r="F33" s="8" t="n">
        <v>5</v>
      </c>
      <c r="G33" s="8" t="n">
        <v>53</v>
      </c>
      <c r="H33" s="8" t="inlineStr">
        <is>
          <t>J Maitland reaches on error by SS C Pettko (T5). NRTH E=3.</t>
        </is>
      </c>
    </row>
    <row r="34" ht="15.75" customHeight="1" s="35">
      <c r="A34" s="8" t="inlineStr">
        <is>
          <t>2026-03-14_NRTH_at_ARND</t>
        </is>
      </c>
      <c r="B34" s="8" t="inlineStr">
        <is>
          <t>2026-03-14</t>
        </is>
      </c>
      <c r="C34" s="8" t="inlineStr">
        <is>
          <t>ARND</t>
        </is>
      </c>
      <c r="D34" s="8" t="inlineStr">
        <is>
          <t>NRTH</t>
        </is>
      </c>
      <c r="E34" s="8" t="inlineStr">
        <is>
          <t>W Kwisnek</t>
        </is>
      </c>
      <c r="F34" s="8" t="n">
        <v>1</v>
      </c>
      <c r="G34" s="8" t="inlineStr">
        <is>
          <t>play#6</t>
        </is>
      </c>
      <c r="H34" s="8" t="inlineStr">
        <is>
          <t>E at 1B; J Bailey reaches on error; see Flag#3</t>
        </is>
      </c>
    </row>
    <row r="35" ht="15.75" customHeight="1" s="35">
      <c r="A35" s="8" t="inlineStr">
        <is>
          <t>2026-03-14_NRTH_at_ARND</t>
        </is>
      </c>
      <c r="B35" s="8" t="inlineStr">
        <is>
          <t>2026-03-14</t>
        </is>
      </c>
      <c r="C35" s="8" t="inlineStr">
        <is>
          <t>ARND</t>
        </is>
      </c>
      <c r="D35" s="8" t="inlineStr">
        <is>
          <t>NRTH</t>
        </is>
      </c>
      <c r="E35" s="8" t="inlineStr">
        <is>
          <t>A Harding</t>
        </is>
      </c>
      <c r="F35" s="8" t="n">
        <v>1</v>
      </c>
      <c r="G35" s="8" t="inlineStr">
        <is>
          <t>play#8</t>
        </is>
      </c>
      <c r="H35" s="8" t="inlineStr">
        <is>
          <t>E at SS; B Gardner reaches on error</t>
        </is>
      </c>
    </row>
    <row r="36" ht="15.75" customHeight="1" s="35">
      <c r="A36" s="8" t="inlineStr">
        <is>
          <t>2026-03-14_NRTH_at_ARND</t>
        </is>
      </c>
      <c r="B36" s="8" t="inlineStr">
        <is>
          <t>2026-03-14</t>
        </is>
      </c>
      <c r="C36" s="8" t="inlineStr">
        <is>
          <t>ARND</t>
        </is>
      </c>
      <c r="D36" s="8" t="inlineStr">
        <is>
          <t>NRTH</t>
        </is>
      </c>
      <c r="E36" s="8" t="inlineStr">
        <is>
          <t>A Williams</t>
        </is>
      </c>
      <c r="F36" s="8" t="n">
        <v>4</v>
      </c>
      <c r="G36" s="8" t="inlineStr">
        <is>
          <t>play#41</t>
        </is>
      </c>
      <c r="H36" s="8" t="inlineStr">
        <is>
          <t>E at C; B Gardner scores on error; see Flag#5</t>
        </is>
      </c>
    </row>
    <row r="37" ht="15.75" customHeight="1" s="35">
      <c r="A37" s="8" t="inlineStr">
        <is>
          <t>2026-03-14_NRTH_at_ARND</t>
        </is>
      </c>
      <c r="B37" s="8" t="inlineStr">
        <is>
          <t>2026-03-14</t>
        </is>
      </c>
      <c r="C37" s="8" t="inlineStr">
        <is>
          <t>ARND</t>
        </is>
      </c>
      <c r="D37" s="8" t="inlineStr">
        <is>
          <t>NRTH</t>
        </is>
      </c>
      <c r="E37" s="8" t="inlineStr">
        <is>
          <t>A Harding</t>
        </is>
      </c>
      <c r="F37" s="8" t="n">
        <v>4</v>
      </c>
      <c r="G37" s="8" t="inlineStr">
        <is>
          <t>play#43</t>
        </is>
      </c>
      <c r="H37" s="8" t="inlineStr">
        <is>
          <t>E at SS; J Bailey reaches on error; see Flag#6</t>
        </is>
      </c>
    </row>
    <row r="38" ht="15.75" customHeight="1" s="35">
      <c r="A38" s="8" t="inlineStr">
        <is>
          <t>2026-03-14_NRTH_at_ARND</t>
        </is>
      </c>
      <c r="B38" s="8" t="inlineStr">
        <is>
          <t>2026-03-14</t>
        </is>
      </c>
      <c r="C38" s="8" t="inlineStr">
        <is>
          <t>ARND</t>
        </is>
      </c>
      <c r="D38" s="8" t="inlineStr">
        <is>
          <t>NRTH</t>
        </is>
      </c>
      <c r="E38" s="8" t="inlineStr">
        <is>
          <t>A Harding</t>
        </is>
      </c>
      <c r="F38" s="8" t="n">
        <v>5</v>
      </c>
      <c r="G38" s="8" t="inlineStr">
        <is>
          <t>play#54</t>
        </is>
      </c>
      <c r="H38" s="8" t="inlineStr">
        <is>
          <t>E at SS; J Verdier reaches on error</t>
        </is>
      </c>
    </row>
    <row r="39" ht="15.75" customHeight="1" s="35">
      <c r="A39" s="8" t="inlineStr">
        <is>
          <t>2026-03-14_NRTH_at_ARND</t>
        </is>
      </c>
      <c r="B39" s="8" t="inlineStr">
        <is>
          <t>2026-03-14</t>
        </is>
      </c>
      <c r="C39" s="8" t="inlineStr">
        <is>
          <t>ARND</t>
        </is>
      </c>
      <c r="D39" s="8" t="inlineStr">
        <is>
          <t>NRTH</t>
        </is>
      </c>
      <c r="E39" s="8" t="inlineStr">
        <is>
          <t>Z Bowman</t>
        </is>
      </c>
      <c r="F39" s="8" t="n">
        <v>5</v>
      </c>
      <c r="G39" s="8" t="inlineStr">
        <is>
          <t>play#58</t>
        </is>
      </c>
      <c r="H39" s="8" t="inlineStr">
        <is>
          <t>E at 3B; J Niles reaches on error</t>
        </is>
      </c>
    </row>
    <row r="40" ht="15.75" customHeight="1" s="35">
      <c r="A40" s="8" t="inlineStr">
        <is>
          <t>2026-03-14_NRTH_at_ARND</t>
        </is>
      </c>
      <c r="B40" s="8" t="inlineStr">
        <is>
          <t>2026-03-14</t>
        </is>
      </c>
      <c r="C40" s="8" t="inlineStr">
        <is>
          <t>ARND</t>
        </is>
      </c>
      <c r="D40" s="8" t="inlineStr">
        <is>
          <t>NRTH</t>
        </is>
      </c>
      <c r="E40" s="8" t="inlineStr">
        <is>
          <t>A Thomas</t>
        </is>
      </c>
      <c r="F40" s="8" t="n">
        <v>5</v>
      </c>
      <c r="G40" s="8" t="inlineStr">
        <is>
          <t>play#62</t>
        </is>
      </c>
      <c r="H40" s="8" t="inlineStr">
        <is>
          <t>E at 2B; J Verdier reaches on error</t>
        </is>
      </c>
    </row>
    <row r="41" ht="15.75" customHeight="1" s="35">
      <c r="A41" s="8" t="inlineStr">
        <is>
          <t>2026-03-14_NRTH_at_MRRT</t>
        </is>
      </c>
      <c r="B41" s="8" t="inlineStr">
        <is>
          <t>2026-03-14</t>
        </is>
      </c>
      <c r="C41" s="8" t="inlineStr">
        <is>
          <t>MRRT</t>
        </is>
      </c>
      <c r="D41" s="8" t="inlineStr">
        <is>
          <t>NRTH</t>
        </is>
      </c>
      <c r="E41" s="8" t="inlineStr">
        <is>
          <t>A Thomas</t>
        </is>
      </c>
      <c r="F41" s="8" t="n">
        <v>1</v>
      </c>
      <c r="G41" s="8" t="inlineStr">
        <is>
          <t>play#9</t>
        </is>
      </c>
      <c r="H41" s="8" t="inlineStr">
        <is>
          <t>E at 2B embedded in A Devito AB; Z Magee advances to 2nd on E</t>
        </is>
      </c>
    </row>
    <row r="42" ht="15.75" customHeight="1" s="35">
      <c r="A42" s="8" t="inlineStr">
        <is>
          <t>2026-03-14_NRTH_at_MRRT</t>
        </is>
      </c>
      <c r="B42" s="8" t="inlineStr">
        <is>
          <t>2026-03-14</t>
        </is>
      </c>
      <c r="C42" s="8" t="inlineStr">
        <is>
          <t>MRRT</t>
        </is>
      </c>
      <c r="D42" s="8" t="inlineStr">
        <is>
          <t>NRTH</t>
        </is>
      </c>
      <c r="E42" s="8" t="inlineStr">
        <is>
          <t>A Williams</t>
        </is>
      </c>
      <c r="F42" s="8" t="n">
        <v>2</v>
      </c>
      <c r="G42" s="8" t="inlineStr">
        <is>
          <t>play#21</t>
        </is>
      </c>
      <c r="H42" s="8" t="inlineStr">
        <is>
          <t>E at C embedded in N Brown AB; O Snow scores on E (steals 3rd then scores)</t>
        </is>
      </c>
    </row>
    <row r="43" ht="15.75" customHeight="1" s="35">
      <c r="A43" s="8" t="inlineStr">
        <is>
          <t>2026-03-14_NRTH_at_MRRT</t>
        </is>
      </c>
      <c r="B43" s="8" t="inlineStr">
        <is>
          <t>2026-03-14</t>
        </is>
      </c>
      <c r="C43" s="8" t="inlineStr">
        <is>
          <t>MRRT</t>
        </is>
      </c>
      <c r="D43" s="8" t="inlineStr">
        <is>
          <t>NRTH</t>
        </is>
      </c>
      <c r="E43" s="8" t="inlineStr">
        <is>
          <t>Z Bowman</t>
        </is>
      </c>
      <c r="F43" s="8" t="n">
        <v>3</v>
      </c>
      <c r="G43" s="8" t="inlineStr">
        <is>
          <t>play#30</t>
        </is>
      </c>
      <c r="H43" s="8" t="inlineStr">
        <is>
          <t>E at 3B; J Devito reaches on error</t>
        </is>
      </c>
    </row>
    <row r="44" ht="15.75" customHeight="1" s="35">
      <c r="A44" s="8" t="inlineStr">
        <is>
          <t>2026-03-14_NRTH_at_MRRT</t>
        </is>
      </c>
      <c r="B44" s="8" t="inlineStr">
        <is>
          <t>2026-03-14</t>
        </is>
      </c>
      <c r="C44" s="8" t="inlineStr">
        <is>
          <t>MRRT</t>
        </is>
      </c>
      <c r="D44" s="8" t="inlineStr">
        <is>
          <t>NRTH</t>
        </is>
      </c>
      <c r="E44" s="8" t="inlineStr">
        <is>
          <t>Z Bowman</t>
        </is>
      </c>
      <c r="F44" s="8" t="n">
        <v>3</v>
      </c>
      <c r="G44" s="8" t="inlineStr">
        <is>
          <t>play#34</t>
        </is>
      </c>
      <c r="H44" s="8" t="inlineStr">
        <is>
          <t>E at 3B; A Hlavaty reaches on error; J Devito scores on same error</t>
        </is>
      </c>
    </row>
    <row r="45" ht="15.75" customHeight="1" s="35">
      <c r="A45" s="8" t="inlineStr">
        <is>
          <t>2026-03-14_NRTH_at_MRRT</t>
        </is>
      </c>
      <c r="B45" s="8" t="inlineStr">
        <is>
          <t>2026-03-14</t>
        </is>
      </c>
      <c r="C45" s="8" t="inlineStr">
        <is>
          <t>MRRT</t>
        </is>
      </c>
      <c r="D45" s="8" t="inlineStr">
        <is>
          <t>NRTH</t>
        </is>
      </c>
      <c r="E45" s="8" t="inlineStr">
        <is>
          <t>S Dixon</t>
        </is>
      </c>
      <c r="F45" s="8" t="n">
        <v>5</v>
      </c>
      <c r="G45" s="8" t="inlineStr">
        <is>
          <t>play#51</t>
        </is>
      </c>
      <c r="H45" s="8" t="inlineStr">
        <is>
          <t>E at LF embedded in #6 AB; A Montgomery (CR for T Rauscher) scores on E; see Flag#13</t>
        </is>
      </c>
    </row>
    <row r="46" ht="15.75" customHeight="1" s="35">
      <c r="A46" s="8" t="inlineStr">
        <is>
          <t>2026-03-14_NRTH_at_MRRT</t>
        </is>
      </c>
      <c r="B46" s="8" t="inlineStr">
        <is>
          <t>2026-03-14</t>
        </is>
      </c>
      <c r="C46" s="8" t="inlineStr">
        <is>
          <t>MRRT</t>
        </is>
      </c>
      <c r="D46" s="8" t="inlineStr">
        <is>
          <t>NRTH</t>
        </is>
      </c>
      <c r="E46" s="8" t="inlineStr">
        <is>
          <t>A Williams</t>
        </is>
      </c>
      <c r="F46" s="8" t="n">
        <v>5</v>
      </c>
      <c r="G46" s="8" t="inlineStr">
        <is>
          <t>play#54</t>
        </is>
      </c>
      <c r="H46" s="8" t="inlineStr">
        <is>
          <t>E at C embedded in K Yarema 2B AB (before batted ball, Seq#54); #6 scores on E; see Flag#12</t>
        </is>
      </c>
    </row>
    <row r="47" ht="15.75" customHeight="1" s="35">
      <c r="A47" s="8" t="inlineStr">
        <is>
          <t>2026-03-14_NRTH_at_MRRT</t>
        </is>
      </c>
      <c r="B47" s="8" t="inlineStr">
        <is>
          <t>2026-03-14</t>
        </is>
      </c>
      <c r="C47" s="8" t="inlineStr">
        <is>
          <t>MRRT</t>
        </is>
      </c>
      <c r="D47" s="8" t="inlineStr">
        <is>
          <t>NRTH</t>
        </is>
      </c>
      <c r="E47" s="8" t="inlineStr">
        <is>
          <t>Z Bowman</t>
        </is>
      </c>
      <c r="F47" s="8" t="n">
        <v>5</v>
      </c>
      <c r="G47" s="8" t="inlineStr">
        <is>
          <t>play#56</t>
        </is>
      </c>
      <c r="H47" s="8" t="inlineStr">
        <is>
          <t>E as P (pitcher) embedded in B Balighian K Seq#56; J Ketterer advances to 2nd; K Yarema scores on same E</t>
        </is>
      </c>
    </row>
    <row r="48" ht="15.75" customHeight="1" s="35">
      <c r="A48" s="8" t="inlineStr">
        <is>
          <t>2026-03-20_PTXN_at_NRTH</t>
        </is>
      </c>
      <c r="B48" s="8" t="inlineStr">
        <is>
          <t>2026-03-20</t>
        </is>
      </c>
      <c r="C48" s="8" t="inlineStr">
        <is>
          <t>PTXN</t>
        </is>
      </c>
      <c r="D48" s="8" t="inlineStr">
        <is>
          <t>NRTH</t>
        </is>
      </c>
      <c r="E48" s="8" t="inlineStr">
        <is>
          <t>A Harding</t>
        </is>
      </c>
      <c r="F48" s="8" t="n">
        <v>2</v>
      </c>
      <c r="G48" s="8" t="inlineStr">
        <is>
          <t>play#16</t>
        </is>
      </c>
      <c r="H48" s="8" t="inlineStr">
        <is>
          <t>E at SS; B Cowan reaches on error; N Sands and C White score on same error</t>
        </is>
      </c>
    </row>
    <row r="49" ht="15.75" customHeight="1" s="35">
      <c r="A49" s="8" t="inlineStr">
        <is>
          <t>2026-03-20_PTXN_at_NRTH</t>
        </is>
      </c>
      <c r="B49" s="8" t="inlineStr">
        <is>
          <t>2026-03-20</t>
        </is>
      </c>
      <c r="C49" s="8" t="inlineStr">
        <is>
          <t>PTXN</t>
        </is>
      </c>
      <c r="D49" s="8" t="inlineStr">
        <is>
          <t>NRTH</t>
        </is>
      </c>
      <c r="E49" s="8" t="inlineStr">
        <is>
          <t>A Williams</t>
        </is>
      </c>
      <c r="F49" s="8" t="n">
        <v>6</v>
      </c>
      <c r="G49" s="8" t="inlineStr">
        <is>
          <t>play#50</t>
        </is>
      </c>
      <c r="H49" s="8" t="inlineStr">
        <is>
          <t>E at C embedded in D Bradley GO AB (Seq#50); N Sands scores on E (adv 1st to 3rd on PB then scored on E); see Flag#7</t>
        </is>
      </c>
    </row>
    <row r="50" ht="15.75" customHeight="1" s="35">
      <c r="A50" s="8" t="inlineStr">
        <is>
          <t>2026-03-20_PTXN_at_NRTH</t>
        </is>
      </c>
      <c r="B50" s="8" t="inlineStr">
        <is>
          <t>2026-03-20</t>
        </is>
      </c>
      <c r="C50" s="8" t="inlineStr">
        <is>
          <t>NRTH</t>
        </is>
      </c>
      <c r="D50" s="8" t="inlineStr">
        <is>
          <t>PTXN</t>
        </is>
      </c>
      <c r="E50" s="8" t="inlineStr">
        <is>
          <t>R Whitney</t>
        </is>
      </c>
      <c r="F50" s="8" t="n">
        <v>1</v>
      </c>
      <c r="G50" s="8" t="inlineStr">
        <is>
          <t>play#9</t>
        </is>
      </c>
      <c r="H50" s="8" t="inlineStr">
        <is>
          <t>E at SS; Z Bowman reaches on error; A Harding scores on same error</t>
        </is>
      </c>
    </row>
    <row r="51" ht="15.75" customHeight="1" s="35">
      <c r="A51" s="8" t="inlineStr">
        <is>
          <t>2026-03-20_PTXN_at_NRTH</t>
        </is>
      </c>
      <c r="B51" s="8" t="inlineStr">
        <is>
          <t>2026-03-20</t>
        </is>
      </c>
      <c r="C51" s="8" t="inlineStr">
        <is>
          <t>NRTH</t>
        </is>
      </c>
      <c r="D51" s="8" t="inlineStr">
        <is>
          <t>PTXN</t>
        </is>
      </c>
      <c r="E51" s="8" t="inlineStr">
        <is>
          <t>D Bradley</t>
        </is>
      </c>
      <c r="F51" s="8" t="n">
        <v>2</v>
      </c>
      <c r="G51" s="8" t="inlineStr">
        <is>
          <t>play#19</t>
        </is>
      </c>
      <c r="H51" s="8" t="inlineStr">
        <is>
          <t>E at 3B; S Dixon reaches on error</t>
        </is>
      </c>
    </row>
    <row r="52" ht="15.75" customHeight="1" s="35">
      <c r="A52" s="8" t="inlineStr">
        <is>
          <t>2026-03-20_PTXN_at_NRTH</t>
        </is>
      </c>
      <c r="B52" s="8" t="inlineStr">
        <is>
          <t>2026-03-20</t>
        </is>
      </c>
      <c r="C52" s="8" t="inlineStr">
        <is>
          <t>NRTH</t>
        </is>
      </c>
      <c r="D52" s="8" t="inlineStr">
        <is>
          <t>PTXN</t>
        </is>
      </c>
      <c r="E52" s="8" t="inlineStr">
        <is>
          <t>R Whitney</t>
        </is>
      </c>
      <c r="F52" s="8" t="n">
        <v>5</v>
      </c>
      <c r="G52" s="8" t="inlineStr">
        <is>
          <t>play#46</t>
        </is>
      </c>
      <c r="H52" s="8" t="inlineStr">
        <is>
          <t>E at SS; Z Bowman reaches on error; A Harding advances to 2nd on same error; see Flag#6</t>
        </is>
      </c>
    </row>
    <row r="53" ht="15.75" customHeight="1" s="35">
      <c r="A53" s="8" t="inlineStr">
        <is>
          <t>2026-03-20_PTXN_at_NRTH</t>
        </is>
      </c>
      <c r="B53" s="8" t="inlineStr">
        <is>
          <t>2026-03-20</t>
        </is>
      </c>
      <c r="C53" s="8" t="inlineStr">
        <is>
          <t>NRTH</t>
        </is>
      </c>
      <c r="D53" s="8" t="inlineStr">
        <is>
          <t>PTXN</t>
        </is>
      </c>
      <c r="E53" s="8" t="inlineStr">
        <is>
          <t>N Kelly</t>
        </is>
      </c>
      <c r="F53" s="8" t="n">
        <v>6</v>
      </c>
      <c r="G53" s="8" t="inlineStr">
        <is>
          <t>play#57</t>
        </is>
      </c>
      <c r="H53" s="8" t="inlineStr">
        <is>
          <t>E at LF; S Dixon reaches on error; CR J Smith (for E Zimmerman) held up at 2nd</t>
        </is>
      </c>
    </row>
    <row r="54" ht="15.75" customHeight="1" s="35">
      <c r="A54" s="8" t="inlineStr">
        <is>
          <t>2026-03-23_NRTH_at_ST.C</t>
        </is>
      </c>
      <c r="B54" s="8" t="inlineStr">
        <is>
          <t>2026-03-23</t>
        </is>
      </c>
      <c r="C54" s="8" t="inlineStr">
        <is>
          <t>NRTH</t>
        </is>
      </c>
      <c r="D54" s="8" t="inlineStr">
        <is>
          <t>ST.C</t>
        </is>
      </c>
      <c r="E54" s="8" t="inlineStr">
        <is>
          <t>R Generette</t>
        </is>
      </c>
      <c r="F54" s="8" t="n">
        <v>1</v>
      </c>
      <c r="G54" s="8" t="inlineStr">
        <is>
          <t>play#4</t>
        </is>
      </c>
      <c r="H54" s="8" t="inlineStr">
        <is>
          <t>E at 1B; Z Bowman reaches on fly ball error; A Thomas scores on same error</t>
        </is>
      </c>
    </row>
    <row r="55" ht="15.75" customHeight="1" s="35">
      <c r="A55" s="8" t="inlineStr">
        <is>
          <t>2026-03-25_NRTH_at_CHPT</t>
        </is>
      </c>
      <c r="B55" s="8" t="inlineStr">
        <is>
          <t>2026-03-25</t>
        </is>
      </c>
      <c r="C55" s="8" t="inlineStr">
        <is>
          <t>CHPT</t>
        </is>
      </c>
      <c r="D55" s="8" t="inlineStr">
        <is>
          <t>NRTH</t>
        </is>
      </c>
      <c r="E55" s="8" t="inlineStr">
        <is>
          <t>A Thomas</t>
        </is>
      </c>
      <c r="F55" s="8" t="n">
        <v>1</v>
      </c>
      <c r="G55" s="8" t="inlineStr">
        <is>
          <t>play#9</t>
        </is>
      </c>
      <c r="H55" s="8" t="inlineStr">
        <is>
          <t>E at 2B; T Haggard reaches on E; T Bailey scores (was at 3rd via balk); balk by C Pettko embedded before play</t>
        </is>
      </c>
    </row>
    <row r="56" ht="15.75" customHeight="1" s="35">
      <c r="A56" s="8" t="inlineStr">
        <is>
          <t>2026-03-25_NRTH_at_CHPT</t>
        </is>
      </c>
      <c r="B56" s="8" t="inlineStr">
        <is>
          <t>2026-03-25</t>
        </is>
      </c>
      <c r="C56" s="8" t="inlineStr">
        <is>
          <t>CHPT</t>
        </is>
      </c>
      <c r="D56" s="8" t="inlineStr">
        <is>
          <t>NRTH</t>
        </is>
      </c>
      <c r="E56" s="8" t="inlineStr">
        <is>
          <t>A Espejo</t>
        </is>
      </c>
      <c r="F56" s="8" t="n">
        <v>1</v>
      </c>
      <c r="G56" s="8" t="inlineStr">
        <is>
          <t>play#11</t>
        </is>
      </c>
      <c r="H56" s="8" t="inlineStr">
        <is>
          <t>E at 3B; A Norris reaches; H Headley (CR for T Haggard) + C Rabon + R Welch all score on same error; see Flag#4</t>
        </is>
      </c>
    </row>
    <row r="57" ht="15.75" customHeight="1" s="35">
      <c r="A57" s="8" t="inlineStr">
        <is>
          <t>2026-03-25_NRTH_at_CHPT</t>
        </is>
      </c>
      <c r="B57" s="8" t="inlineStr">
        <is>
          <t>2026-03-25</t>
        </is>
      </c>
      <c r="C57" s="8" t="inlineStr">
        <is>
          <t>CHPT</t>
        </is>
      </c>
      <c r="D57" s="8" t="inlineStr">
        <is>
          <t>NRTH</t>
        </is>
      </c>
      <c r="E57" s="8" t="inlineStr">
        <is>
          <t>A Espejo</t>
        </is>
      </c>
      <c r="F57" s="8" t="n">
        <v>1</v>
      </c>
      <c r="G57" s="8" t="inlineStr">
        <is>
          <t>play#13</t>
        </is>
      </c>
      <c r="H57" s="8" t="inlineStr">
        <is>
          <t>E at 3B; S Beach reaches and advances to 2nd on same error</t>
        </is>
      </c>
    </row>
    <row r="58" ht="15.75" customHeight="1" s="35">
      <c r="A58" s="8" t="inlineStr">
        <is>
          <t>2026-03-25_NRTH_at_CHPT</t>
        </is>
      </c>
      <c r="B58" s="8" t="inlineStr">
        <is>
          <t>2026-03-25</t>
        </is>
      </c>
      <c r="C58" s="8" t="inlineStr">
        <is>
          <t>CHPT</t>
        </is>
      </c>
      <c r="D58" s="8" t="inlineStr">
        <is>
          <t>NRTH</t>
        </is>
      </c>
      <c r="E58" s="8" t="inlineStr">
        <is>
          <t>S Dixon</t>
        </is>
      </c>
      <c r="F58" s="8" t="n">
        <v>2</v>
      </c>
      <c r="G58" s="8" t="inlineStr">
        <is>
          <t>play#20</t>
        </is>
      </c>
      <c r="H58" s="8" t="inlineStr">
        <is>
          <t>E at CF; R Welch reaches on line drive E; advances to 2nd on same error</t>
        </is>
      </c>
    </row>
    <row r="59" ht="15.75" customHeight="1" s="35">
      <c r="A59" s="8" t="inlineStr">
        <is>
          <t>2026-03-25_NRTH_at_CHPT</t>
        </is>
      </c>
      <c r="B59" s="8" t="inlineStr">
        <is>
          <t>2026-03-25</t>
        </is>
      </c>
      <c r="C59" s="8" t="inlineStr">
        <is>
          <t>CHPT</t>
        </is>
      </c>
      <c r="D59" s="8" t="inlineStr">
        <is>
          <t>NRTH</t>
        </is>
      </c>
      <c r="E59" s="8" t="inlineStr">
        <is>
          <t>A Harding</t>
        </is>
      </c>
      <c r="F59" s="8" t="n">
        <v>4</v>
      </c>
      <c r="G59" s="8" t="inlineStr">
        <is>
          <t>play#36</t>
        </is>
      </c>
      <c r="H59" s="8" t="inlineStr">
        <is>
          <t>E at SS; M McDermott reaches on E</t>
        </is>
      </c>
    </row>
    <row r="60" ht="15.75" customHeight="1" s="35">
      <c r="A60" s="8" t="inlineStr">
        <is>
          <t>2026-03-25_NRTH_at_CHPT</t>
        </is>
      </c>
      <c r="B60" s="8" t="inlineStr">
        <is>
          <t>2026-03-25</t>
        </is>
      </c>
      <c r="C60" s="8" t="inlineStr">
        <is>
          <t>CHPT</t>
        </is>
      </c>
      <c r="D60" s="8" t="inlineStr">
        <is>
          <t>NRTH</t>
        </is>
      </c>
      <c r="E60" s="8" t="inlineStr">
        <is>
          <t>A Harding</t>
        </is>
      </c>
      <c r="F60" s="8" t="n">
        <v>5</v>
      </c>
      <c r="G60" s="8" t="inlineStr">
        <is>
          <t>play#44</t>
        </is>
      </c>
      <c r="H60" s="8" t="inlineStr">
        <is>
          <t>E at SS; C Rabon reaches on E; H Headley (CR for T Haggard) advances to 3rd on same E</t>
        </is>
      </c>
    </row>
    <row r="61" ht="15.75" customHeight="1" s="35">
      <c r="A61" s="8" t="inlineStr">
        <is>
          <t>2026-03-25_NRTH_at_CHPT</t>
        </is>
      </c>
      <c r="B61" s="8" t="inlineStr">
        <is>
          <t>2026-03-25</t>
        </is>
      </c>
      <c r="C61" s="8" t="inlineStr">
        <is>
          <t>NRTH</t>
        </is>
      </c>
      <c r="D61" s="8" t="inlineStr">
        <is>
          <t>CHPT</t>
        </is>
      </c>
      <c r="E61" s="8" t="inlineStr">
        <is>
          <t>C Rabon</t>
        </is>
      </c>
      <c r="F61" s="8" t="n">
        <v>1</v>
      </c>
      <c r="G61" s="8" t="inlineStr">
        <is>
          <t>play#3</t>
        </is>
      </c>
      <c r="H61" s="8" t="inlineStr">
        <is>
          <t>E at LF; A Harding singles, advances to 2nd on same E</t>
        </is>
      </c>
    </row>
    <row r="62" ht="15.75" customHeight="1" s="35">
      <c r="A62" s="8" t="inlineStr">
        <is>
          <t>2026-03-25_NRTH_at_CHPT</t>
        </is>
      </c>
      <c r="B62" s="8" t="inlineStr">
        <is>
          <t>2026-03-25</t>
        </is>
      </c>
      <c r="C62" s="8" t="inlineStr">
        <is>
          <t>NRTH</t>
        </is>
      </c>
      <c r="D62" s="8" t="inlineStr">
        <is>
          <t>CHPT</t>
        </is>
      </c>
      <c r="E62" s="8" t="inlineStr">
        <is>
          <t>E Reynolds</t>
        </is>
      </c>
      <c r="F62" s="8" t="n">
        <v>7</v>
      </c>
      <c r="G62" s="8" t="inlineStr">
        <is>
          <t>play#56</t>
        </is>
      </c>
      <c r="H62" s="8" t="inlineStr">
        <is>
          <t>E at SS; C Pettko reaches on E; S Dixon advances to 2nd</t>
        </is>
      </c>
    </row>
    <row r="63" ht="15.75" customHeight="1" s="35">
      <c r="A63" s="8" t="inlineStr">
        <is>
          <t>2026-03-26_THMS_at_NRTH</t>
        </is>
      </c>
      <c r="B63" s="8" t="inlineStr">
        <is>
          <t>2026-03-26</t>
        </is>
      </c>
      <c r="C63" s="8" t="inlineStr">
        <is>
          <t>THMS</t>
        </is>
      </c>
      <c r="D63" s="8" t="inlineStr">
        <is>
          <t>NRTH</t>
        </is>
      </c>
      <c r="E63" s="8" t="inlineStr">
        <is>
          <t>C Pettko</t>
        </is>
      </c>
      <c r="F63" s="8" t="n">
        <v>1</v>
      </c>
      <c r="G63" s="8" t="inlineStr">
        <is>
          <t>play#1</t>
        </is>
      </c>
      <c r="H63" s="8" t="inlineStr">
        <is>
          <t>E at 3B; #4 reaches on hard ground ball error</t>
        </is>
      </c>
    </row>
    <row r="64" ht="15.75" customHeight="1" s="35">
      <c r="A64" s="8" t="inlineStr">
        <is>
          <t>2026-03-26_THMS_at_NRTH</t>
        </is>
      </c>
      <c r="B64" s="8" t="inlineStr">
        <is>
          <t>2026-03-26</t>
        </is>
      </c>
      <c r="C64" s="8" t="inlineStr">
        <is>
          <t>THMS</t>
        </is>
      </c>
      <c r="D64" s="8" t="inlineStr">
        <is>
          <t>NRTH</t>
        </is>
      </c>
      <c r="E64" s="8" t="inlineStr">
        <is>
          <t>A Harding</t>
        </is>
      </c>
      <c r="F64" s="8" t="n">
        <v>1</v>
      </c>
      <c r="G64" s="8" t="inlineStr">
        <is>
          <t>play#5</t>
        </is>
      </c>
      <c r="H64" s="8" t="inlineStr">
        <is>
          <t>E at SS; #21 reaches; #2 scores on same error</t>
        </is>
      </c>
    </row>
    <row r="65" ht="15.75" customHeight="1" s="35">
      <c r="A65" s="8" t="inlineStr">
        <is>
          <t>2026-03-26_THMS_at_NRTH</t>
        </is>
      </c>
      <c r="B65" s="8" t="inlineStr">
        <is>
          <t>2026-03-26</t>
        </is>
      </c>
      <c r="C65" s="8" t="inlineStr">
        <is>
          <t>THMS</t>
        </is>
      </c>
      <c r="D65" s="8" t="inlineStr">
        <is>
          <t>NRTH</t>
        </is>
      </c>
      <c r="E65" s="8" t="inlineStr">
        <is>
          <t>E Zimmerman</t>
        </is>
      </c>
      <c r="F65" s="8" t="n">
        <v>2</v>
      </c>
      <c r="G65" s="8" t="inlineStr">
        <is>
          <t>play#33</t>
        </is>
      </c>
      <c r="H65" s="8" t="inlineStr">
        <is>
          <t>E at 1B; #21 reaches; #17 scores on same error; #21 advances to 2nd on same error</t>
        </is>
      </c>
    </row>
    <row r="66" ht="15.75" customHeight="1" s="35">
      <c r="A66" s="8" t="inlineStr">
        <is>
          <t>2026-03-07_DMSC_at_GLNL</t>
        </is>
      </c>
      <c r="B66" s="8" t="inlineStr">
        <is>
          <t>2026-03-07</t>
        </is>
      </c>
      <c r="C66" s="8" t="inlineStr">
        <is>
          <t>DMSC</t>
        </is>
      </c>
      <c r="D66" s="8" t="inlineStr">
        <is>
          <t>GLNL</t>
        </is>
      </c>
      <c r="E66" s="8" t="inlineStr">
        <is>
          <t>A Baker</t>
        </is>
      </c>
      <c r="F66" s="8" t="n">
        <v>2</v>
      </c>
      <c r="G66" s="8" t="inlineStr">
        <is>
          <t>play#10</t>
        </is>
      </c>
      <c r="H66" s="8" t="inlineStr">
        <is>
          <t>E at 3B (GLNL); L Curtin (DMSC) reaches; AB charged, no H</t>
        </is>
      </c>
    </row>
    <row r="67" ht="15.75" customHeight="1" s="35">
      <c r="A67" s="8" t="inlineStr">
        <is>
          <t>2026-03-07_DMSC_at_GLNL</t>
        </is>
      </c>
      <c r="B67" s="8" t="inlineStr">
        <is>
          <t>2026-03-07</t>
        </is>
      </c>
      <c r="C67" s="8" t="inlineStr">
        <is>
          <t>DMSC</t>
        </is>
      </c>
      <c r="D67" s="8" t="inlineStr">
        <is>
          <t>GLNL</t>
        </is>
      </c>
      <c r="E67" s="8" t="inlineStr">
        <is>
          <t>G Melhuish</t>
        </is>
      </c>
      <c r="F67" s="8" t="n">
        <v>3</v>
      </c>
      <c r="G67" s="8" t="inlineStr">
        <is>
          <t>play#22</t>
        </is>
      </c>
      <c r="H67" s="8" t="inlineStr">
        <is>
          <t>E by catcher (GLNL); embedded in A Iorio (DMSC) AB pitch seq; K Childers (DMSC) advances to 2B; Flag #6 (embedded event)</t>
        </is>
      </c>
    </row>
    <row r="68" ht="15.75" customHeight="1" s="35">
      <c r="A68" s="8" t="inlineStr">
        <is>
          <t>2026-03-07_DMSC_at_GLNL</t>
        </is>
      </c>
      <c r="B68" s="8" t="inlineStr">
        <is>
          <t>2026-03-07</t>
        </is>
      </c>
      <c r="C68" s="8" t="inlineStr">
        <is>
          <t>GLNL</t>
        </is>
      </c>
      <c r="D68" s="8" t="inlineStr">
        <is>
          <t>DMSC</t>
        </is>
      </c>
      <c r="E68" s="8" t="inlineStr">
        <is>
          <t>DMSC_SS_unknown</t>
        </is>
      </c>
      <c r="F68" s="8" t="n">
        <v>6</v>
      </c>
      <c r="G68" s="8" t="inlineStr">
        <is>
          <t>play#64</t>
        </is>
      </c>
      <c r="H68" s="8" t="inlineStr">
        <is>
          <t>E by DMSC shortstop (fielder unnamed in log); S Tong (GLNL) reaches; C Lease adv to 3B, A Baker adv to 2B; player key uses DMSC_SS_unknown — no name or jersey number in log</t>
        </is>
      </c>
    </row>
    <row r="69" ht="15.75" customHeight="1" s="35">
      <c r="A69" s="8" t="inlineStr">
        <is>
          <t>2026-03-14_GLNL_at_OKDL</t>
        </is>
      </c>
      <c r="B69" s="8" t="inlineStr">
        <is>
          <t>2026-03-14</t>
        </is>
      </c>
      <c r="C69" s="8" t="inlineStr">
        <is>
          <t>GLNL</t>
        </is>
      </c>
      <c r="D69" s="8" t="inlineStr">
        <is>
          <t>OKDL</t>
        </is>
      </c>
      <c r="E69" s="8" t="inlineStr">
        <is>
          <t>K Huynh</t>
        </is>
      </c>
      <c r="F69" s="8" t="n">
        <v>6</v>
      </c>
      <c r="G69" s="8" t="inlineStr">
        <is>
          <t>play#47</t>
        </is>
      </c>
      <c r="H69" s="8" t="inlineStr">
        <is>
          <t>E by catcher K Huynh (OKDL); embedded in S Tong (GLNL) AB, Top 6th; M Melhuish (GLNL) advances from 2B to 3B; OKDL E=1; occurs after P Moreau CS home on same play; Flags #5, #8</t>
        </is>
      </c>
    </row>
    <row r="70" ht="15.75" customHeight="1" s="35">
      <c r="A70" s="8" t="inlineStr">
        <is>
          <t>2026-03-14_LBRT_at_GLNL</t>
        </is>
      </c>
      <c r="B70" s="8" t="inlineStr">
        <is>
          <t>2026-03-14</t>
        </is>
      </c>
      <c r="C70" s="8" t="inlineStr">
        <is>
          <t>LBRT</t>
        </is>
      </c>
      <c r="D70" s="8" t="inlineStr">
        <is>
          <t>GLNL</t>
        </is>
      </c>
      <c r="E70" s="8" t="inlineStr">
        <is>
          <t>C Lease</t>
        </is>
      </c>
      <c r="F70" s="8" t="n">
        <v>3</v>
      </c>
      <c r="G70" s="8" t="inlineStr">
        <is>
          <t>play#24</t>
        </is>
      </c>
      <c r="H70" s="8" t="inlineStr">
        <is>
          <t>E by catcher C Lease (GLNL); embedded in C Hitzel (LBRT) AB, Top 3rd; C DiCerbo (LBRT) scores from 3B; GLNL E=1 of 2; Flags #7, #8</t>
        </is>
      </c>
    </row>
    <row r="71" ht="15.75" customHeight="1" s="35">
      <c r="A71" s="8" t="inlineStr">
        <is>
          <t>2026-03-14_LBRT_at_GLNL</t>
        </is>
      </c>
      <c r="B71" s="8" t="inlineStr">
        <is>
          <t>2026-03-14</t>
        </is>
      </c>
      <c r="C71" s="8" t="inlineStr">
        <is>
          <t>LBRT</t>
        </is>
      </c>
      <c r="D71" s="8" t="inlineStr">
        <is>
          <t>GLNL</t>
        </is>
      </c>
      <c r="E71" s="8" t="inlineStr">
        <is>
          <t>N Cohen</t>
        </is>
      </c>
      <c r="F71" s="8" t="n">
        <v>5</v>
      </c>
      <c r="G71" s="8" t="inlineStr">
        <is>
          <t>play#43</t>
        </is>
      </c>
      <c r="H71" s="8" t="inlineStr">
        <is>
          <t>E by pitcher N Cohen (GLNL); embedded in J Hebert (LBRT) AB, Top 5th; D McGarity (LBRT) advances from 1B to 2B; GLNL E=2 of 2; Flag#7</t>
        </is>
      </c>
    </row>
    <row r="72" ht="15.75" customHeight="1" s="35">
      <c r="A72" s="8" t="inlineStr">
        <is>
          <t>2026-03-14_LBRT_at_GLNL</t>
        </is>
      </c>
      <c r="B72" s="8" t="inlineStr">
        <is>
          <t>2026-03-14</t>
        </is>
      </c>
      <c r="C72" s="8" t="inlineStr">
        <is>
          <t>GLNL</t>
        </is>
      </c>
      <c r="D72" s="8" t="inlineStr">
        <is>
          <t>LBRT</t>
        </is>
      </c>
      <c r="E72" s="8" t="inlineStr">
        <is>
          <t>B Freiert</t>
        </is>
      </c>
      <c r="F72" s="8" t="n">
        <v>2</v>
      </c>
      <c r="G72" s="8" t="inlineStr">
        <is>
          <t>play#18</t>
        </is>
      </c>
      <c r="H72" s="8" t="inlineStr">
        <is>
          <t>E by SS B Freiert (LBRT); M Melhuish (GLNL) reaches on ground ball; G Knauss (GLNL) scores on the error; LBRT E=1 of 1</t>
        </is>
      </c>
    </row>
    <row r="73" ht="15.75" customHeight="1" s="35">
      <c r="A73" s="8" t="inlineStr">
        <is>
          <t>2026-03-21_GLNL_at_MRRT</t>
        </is>
      </c>
      <c r="B73" s="8" t="inlineStr">
        <is>
          <t>2026-03-21</t>
        </is>
      </c>
      <c r="C73" s="8" t="inlineStr">
        <is>
          <t>MRRT</t>
        </is>
      </c>
      <c r="D73" s="8" t="inlineStr">
        <is>
          <t>GLNL</t>
        </is>
      </c>
      <c r="E73" s="8" t="inlineStr">
        <is>
          <t>J Miles</t>
        </is>
      </c>
      <c r="F73" s="8" t="n">
        <v>3</v>
      </c>
      <c r="G73" s="8" t="inlineStr">
        <is>
          <t>play#23</t>
        </is>
      </c>
      <c r="H73" s="8" t="inlineStr">
        <is>
          <t>E by pitcher J Miles (GLNL); embedded in N Brown (MRRT) AB, Bottom 3rd; A Schwendeman adv 3B + M Parson adv 2B on same error; GLNL E=1 of 2; Flag#8</t>
        </is>
      </c>
    </row>
    <row r="74" ht="15.75" customHeight="1" s="35">
      <c r="A74" s="8" t="inlineStr">
        <is>
          <t>2026-03-21_GLNL_at_MRRT</t>
        </is>
      </c>
      <c r="B74" s="8" t="inlineStr">
        <is>
          <t>2026-03-21</t>
        </is>
      </c>
      <c r="C74" s="8" t="inlineStr">
        <is>
          <t>MRRT</t>
        </is>
      </c>
      <c r="D74" s="8" t="inlineStr">
        <is>
          <t>GLNL</t>
        </is>
      </c>
      <c r="E74" s="8" t="inlineStr">
        <is>
          <t>G Melhuish</t>
        </is>
      </c>
      <c r="F74" s="8" t="n">
        <v>4</v>
      </c>
      <c r="G74" s="8" t="inlineStr">
        <is>
          <t>play#33</t>
        </is>
      </c>
      <c r="H74" s="8" t="inlineStr">
        <is>
          <t>E by catcher G Melhuish (GLNL); embedded in O Snow (MRRT) AB, Bottom 4th; M Delmonte adv from 2B to 3B; GLNL E=2 of 2; Flags #5, #8</t>
        </is>
      </c>
    </row>
    <row r="75" ht="15.75" customHeight="1" s="35">
      <c r="A75" s="8" t="inlineStr">
        <is>
          <t>2026-03-21_GLNL_at_MRRT</t>
        </is>
      </c>
      <c r="B75" s="8" t="inlineStr">
        <is>
          <t>2026-03-21</t>
        </is>
      </c>
      <c r="C75" s="8" t="inlineStr">
        <is>
          <t>GLNL</t>
        </is>
      </c>
      <c r="D75" s="8" t="inlineStr">
        <is>
          <t>MRRT</t>
        </is>
      </c>
      <c r="E75" s="8" t="inlineStr">
        <is>
          <t>A Schwendeman</t>
        </is>
      </c>
      <c r="F75" s="8" t="n">
        <v>4</v>
      </c>
      <c r="G75" s="8" t="inlineStr">
        <is>
          <t>play#27</t>
        </is>
      </c>
      <c r="H75" s="8" t="inlineStr">
        <is>
          <t>E by SS A Schwendeman (MRRT); M Melhuish (GLNL) reaches on ground ball, Top 4th; MRRT E=1 of 1</t>
        </is>
      </c>
    </row>
    <row r="76" ht="15.75" customHeight="1" s="35">
      <c r="A76" s="8" t="inlineStr">
        <is>
          <t>2026-03-23_GLNL_at_HWRD</t>
        </is>
      </c>
      <c r="B76" s="8" t="inlineStr">
        <is>
          <t>2026-03-23</t>
        </is>
      </c>
      <c r="C76" s="8" t="inlineStr">
        <is>
          <t>HWRD</t>
        </is>
      </c>
      <c r="D76" s="8" t="inlineStr">
        <is>
          <t>GLNL</t>
        </is>
      </c>
      <c r="E76" s="8" t="inlineStr">
        <is>
          <t>C Gerber-Lombardi</t>
        </is>
      </c>
      <c r="F76" s="8" t="n">
        <v>1</v>
      </c>
      <c r="G76" s="8" t="inlineStr">
        <is>
          <t>play#2</t>
        </is>
      </c>
      <c r="H76" s="8" t="inlineStr">
        <is>
          <t>E by 2B C Gerber-Lombardi (HWRD); A Baker (GLNL) reaches on ground ball, Top 1st; HWRD E=1 of 3; Flag#5 (2 errors on 1 AB — this is the first)</t>
        </is>
      </c>
    </row>
    <row r="77" ht="15.75" customHeight="1" s="35">
      <c r="A77" s="8" t="inlineStr">
        <is>
          <t>2026-03-23_GLNL_at_HWRD</t>
        </is>
      </c>
      <c r="B77" s="8" t="inlineStr">
        <is>
          <t>2026-03-23</t>
        </is>
      </c>
      <c r="C77" s="8" t="inlineStr">
        <is>
          <t>HWRD</t>
        </is>
      </c>
      <c r="D77" s="8" t="inlineStr">
        <is>
          <t>GLNL</t>
        </is>
      </c>
      <c r="E77" s="8" t="inlineStr">
        <is>
          <t>D Heim</t>
        </is>
      </c>
      <c r="F77" s="8" t="n">
        <v>1</v>
      </c>
      <c r="G77" s="8" t="inlineStr">
        <is>
          <t>play#2</t>
        </is>
      </c>
      <c r="H77" s="8" t="inlineStr">
        <is>
          <t>E by pitcher D Heim (HWRD) on same AB; A Baker (GLNL) advances to 2B; M Melhuish scores on this advancement; HWRD E=2 of 3; Flags #5 and #7 (2 errors on 1 AB — this is the second)</t>
        </is>
      </c>
    </row>
    <row r="78" ht="15.75" customHeight="1" s="35">
      <c r="A78" s="8" t="inlineStr">
        <is>
          <t>2026-03-23_GLNL_at_HWRD</t>
        </is>
      </c>
      <c r="B78" s="8" t="inlineStr">
        <is>
          <t>2026-03-23</t>
        </is>
      </c>
      <c r="C78" s="8" t="inlineStr">
        <is>
          <t>HWRD</t>
        </is>
      </c>
      <c r="D78" s="8" t="inlineStr">
        <is>
          <t>GLNL</t>
        </is>
      </c>
      <c r="E78" s="8" t="inlineStr">
        <is>
          <t>C Gerber-Lombardi</t>
        </is>
      </c>
      <c r="F78" s="8" t="n">
        <v>3</v>
      </c>
      <c r="G78" s="8" t="inlineStr">
        <is>
          <t>play#20</t>
        </is>
      </c>
      <c r="H78" s="8" t="inlineStr">
        <is>
          <t>E by 2B C Gerber-Lombardi (HWRD); B Conlon (GLNL) reaches on ground ball, Top 3rd; HWRD E=3 of 3</t>
        </is>
      </c>
    </row>
    <row r="79" ht="15.75" customHeight="1" s="35">
      <c r="A79" s="8" t="inlineStr">
        <is>
          <t>2026-03-23_GLNL_at_HWRD</t>
        </is>
      </c>
      <c r="B79" s="8" t="inlineStr">
        <is>
          <t>2026-03-23</t>
        </is>
      </c>
      <c r="C79" s="8" t="inlineStr">
        <is>
          <t>GLNL</t>
        </is>
      </c>
      <c r="D79" s="8" t="inlineStr">
        <is>
          <t>HWRD</t>
        </is>
      </c>
      <c r="E79" s="8" t="inlineStr">
        <is>
          <t>B Burckhardt</t>
        </is>
      </c>
      <c r="F79" s="8" t="n">
        <v>5</v>
      </c>
      <c r="G79" s="8" t="inlineStr">
        <is>
          <t>play#52</t>
        </is>
      </c>
      <c r="H79" s="8" t="inlineStr">
        <is>
          <t>E by 1B B Burckhardt (GLNL); Z Blair (HWRD) reaches on ground ball, Bottom 5th (Z Blair entered mid-AB for A Proescher); GLNL E=1 of 1; Flags #14, #15</t>
        </is>
      </c>
    </row>
    <row r="80" ht="15.75" customHeight="1" s="35">
      <c r="A80" s="8" t="inlineStr">
        <is>
          <t>2026-03-30_SHRW_at_GLNL</t>
        </is>
      </c>
      <c r="B80" s="8" t="inlineStr">
        <is>
          <t>2026-03-30</t>
        </is>
      </c>
      <c r="C80" s="8" t="inlineStr">
        <is>
          <t>SHRW</t>
        </is>
      </c>
      <c r="D80" s="8" t="inlineStr">
        <is>
          <t>GLNL</t>
        </is>
      </c>
      <c r="E80" s="8" t="inlineStr">
        <is>
          <t>A Baker</t>
        </is>
      </c>
      <c r="F80" s="8" t="n">
        <v>1</v>
      </c>
      <c r="G80" s="8" t="inlineStr">
        <is>
          <t>play#3</t>
        </is>
      </c>
      <c r="H80" s="8" t="inlineStr">
        <is>
          <t>E by 3B A Baker (GLNL); J Sarita (SHRW) reaches on ground ball, Top 1st; GLNL E=1 of 1</t>
        </is>
      </c>
    </row>
    <row r="81" ht="15.75" customHeight="1" s="35">
      <c r="A81" s="8" t="inlineStr">
        <is>
          <t>2026-03-30_SHRW_at_GLNL</t>
        </is>
      </c>
      <c r="B81" s="8" t="inlineStr">
        <is>
          <t>2026-03-30</t>
        </is>
      </c>
      <c r="C81" s="8" t="inlineStr">
        <is>
          <t>GLNL</t>
        </is>
      </c>
      <c r="D81" s="8" t="inlineStr">
        <is>
          <t>SHRW</t>
        </is>
      </c>
      <c r="E81" s="8" t="inlineStr">
        <is>
          <t>J Bender</t>
        </is>
      </c>
      <c r="F81" s="8" t="n">
        <v>2</v>
      </c>
      <c r="G81" s="8" t="inlineStr">
        <is>
          <t>play#13</t>
        </is>
      </c>
      <c r="H81" s="8" t="inlineStr">
        <is>
          <t>E by SS J Bender (SHRW); S Tong (GLNL) reaches on ground ball, Bottom 2nd; SHRW E=1 of 2</t>
        </is>
      </c>
    </row>
    <row r="82" ht="15.75" customHeight="1" s="35">
      <c r="A82" s="8" t="inlineStr">
        <is>
          <t>2026-03-30_SHRW_at_GLNL</t>
        </is>
      </c>
      <c r="B82" s="8" t="inlineStr">
        <is>
          <t>2026-03-30</t>
        </is>
      </c>
      <c r="C82" s="8" t="inlineStr">
        <is>
          <t>GLNL</t>
        </is>
      </c>
      <c r="D82" s="8" t="inlineStr">
        <is>
          <t>SHRW</t>
        </is>
      </c>
      <c r="E82" s="8" t="inlineStr">
        <is>
          <t>J Berger</t>
        </is>
      </c>
      <c r="F82" s="8" t="n">
        <v>7</v>
      </c>
      <c r="G82" s="8" t="inlineStr">
        <is>
          <t>play#53</t>
        </is>
      </c>
      <c r="H82" s="8" t="inlineStr">
        <is>
          <t>E by 2B J Berger (SHRW); M Melhuish (GLNL) reaches on fly ball, Bottom 7th; SHRW E=2 of 2</t>
        </is>
      </c>
    </row>
    <row r="83" ht="15.75" customHeight="1" s="35">
      <c r="A83" s="8" t="inlineStr">
        <is>
          <t>2026-03-31_GLNL_at_ATHL</t>
        </is>
      </c>
      <c r="B83" s="8" t="inlineStr">
        <is>
          <t>2026-03-31</t>
        </is>
      </c>
      <c r="C83" s="8" t="inlineStr">
        <is>
          <t>GLNL</t>
        </is>
      </c>
      <c r="D83" s="8" t="inlineStr">
        <is>
          <t>ATHL</t>
        </is>
      </c>
      <c r="E83" s="8" t="inlineStr">
        <is>
          <t>W Martin</t>
        </is>
      </c>
      <c r="F83" s="8" t="n">
        <v>3</v>
      </c>
      <c r="G83" s="8" t="inlineStr">
        <is>
          <t>play#21</t>
        </is>
      </c>
      <c r="H83" s="8" t="inlineStr">
        <is>
          <t>E by 2B W Martin (ATHL); B Conlon (GLNL) reaches on ground ball, Top 3rd; ATHL E=1 of 3</t>
        </is>
      </c>
    </row>
    <row r="84" ht="15.75" customHeight="1" s="35">
      <c r="A84" s="8" t="inlineStr">
        <is>
          <t>2026-03-31_GLNL_at_ATHL</t>
        </is>
      </c>
      <c r="B84" s="8" t="inlineStr">
        <is>
          <t>2026-03-31</t>
        </is>
      </c>
      <c r="C84" s="8" t="inlineStr">
        <is>
          <t>GLNL</t>
        </is>
      </c>
      <c r="D84" s="8" t="inlineStr">
        <is>
          <t>ATHL</t>
        </is>
      </c>
      <c r="E84" s="8" t="inlineStr">
        <is>
          <t>J Martin</t>
        </is>
      </c>
      <c r="F84" s="8" t="n">
        <v>5</v>
      </c>
      <c r="G84" s="8" t="inlineStr">
        <is>
          <t>play#37</t>
        </is>
      </c>
      <c r="H84" s="8" t="inlineStr">
        <is>
          <t>E by 3B J Martin (ATHL); embedded in A Baker (GLNL) FC, Top 5th; B Conlon scores + A Baker advances to 2B on same error; S Tong also scores; ATHL E=2 of 3; Flag#11</t>
        </is>
      </c>
    </row>
    <row r="85" ht="15.75" customHeight="1" s="35">
      <c r="A85" s="8" t="inlineStr">
        <is>
          <t>2026-03-31_GLNL_at_ATHL</t>
        </is>
      </c>
      <c r="B85" s="8" t="inlineStr">
        <is>
          <t>2026-03-31</t>
        </is>
      </c>
      <c r="C85" s="8" t="inlineStr">
        <is>
          <t>GLNL</t>
        </is>
      </c>
      <c r="D85" s="8" t="inlineStr">
        <is>
          <t>ATHL</t>
        </is>
      </c>
      <c r="E85" s="8" t="inlineStr">
        <is>
          <t>J Whiting</t>
        </is>
      </c>
      <c r="F85" s="8" t="n">
        <v>5</v>
      </c>
      <c r="G85" s="8" t="inlineStr">
        <is>
          <t>play#38</t>
        </is>
      </c>
      <c r="H85" s="8" t="inlineStr">
        <is>
          <t>E by SS J Whiting (ATHL); A Nazelrod (GLNL) reaches on ground ball, Top 5th; A Baker scores on this error (mid-AB J Bott entry); ATHL E=3 of 3</t>
        </is>
      </c>
    </row>
    <row r="86" ht="15.75" customHeight="1" s="35">
      <c r="A86" s="8" t="inlineStr">
        <is>
          <t>2026-03-07_HNTN_at_LNGR</t>
        </is>
      </c>
      <c r="B86" s="3" t="n">
        <v>46088</v>
      </c>
      <c r="C86" s="8" t="inlineStr">
        <is>
          <t>Long Reach HS</t>
        </is>
      </c>
      <c r="D86" s="8" t="inlineStr">
        <is>
          <t>HNTN</t>
        </is>
      </c>
      <c r="E86" s="8" t="inlineStr">
        <is>
          <t>J Cadden</t>
        </is>
      </c>
      <c r="F86" s="8" t="n">
        <v>2</v>
      </c>
      <c r="G86" s="8" t="n">
        <v>23</v>
      </c>
      <c r="H86" s="8" t="inlineStr">
        <is>
          <t>Pickoff attempt at 2nd — #15 advances to 3rd on error by SS J Cadden, #23 advances to 2nd on same error (play #23, Bot 2nd). HNTN E running tally: 1.</t>
        </is>
      </c>
    </row>
    <row r="87" ht="15.75" customHeight="1" s="35">
      <c r="A87" s="8" t="inlineStr">
        <is>
          <t>2026-03-07_HNTN_at_LNGR</t>
        </is>
      </c>
      <c r="B87" s="3" t="n">
        <v>46088</v>
      </c>
      <c r="C87" s="8" t="inlineStr">
        <is>
          <t>Huntingtown Varsity Hurricanes</t>
        </is>
      </c>
      <c r="D87" s="8" t="inlineStr">
        <is>
          <t>LNGR</t>
        </is>
      </c>
      <c r="E87" s="8" t="inlineStr">
        <is>
          <t>LNGR_#23</t>
        </is>
      </c>
      <c r="F87" s="8" t="n">
        <v>4</v>
      </c>
      <c r="G87" s="8" t="n">
        <v>40</v>
      </c>
      <c r="H87" s="8" t="inlineStr">
        <is>
          <t>C Wargo hits a hard ground ball and reaches on an error by 1B LNGR_#23 (play #40, Top 4th). LNGR E=1.</t>
        </is>
      </c>
    </row>
    <row r="88" ht="15.75" customHeight="1" s="35">
      <c r="A88" s="8" t="inlineStr">
        <is>
          <t>2026-03-07_HNTN_at_LNGR</t>
        </is>
      </c>
      <c r="B88" s="3" t="n">
        <v>46088</v>
      </c>
      <c r="C88" s="8" t="inlineStr">
        <is>
          <t>Long Reach HS</t>
        </is>
      </c>
      <c r="D88" s="8" t="inlineStr">
        <is>
          <t>HNTN</t>
        </is>
      </c>
      <c r="E88" s="8" t="inlineStr">
        <is>
          <t>J Cadden</t>
        </is>
      </c>
      <c r="F88" s="8" t="n">
        <v>4</v>
      </c>
      <c r="G88" s="8" t="n">
        <v>48</v>
      </c>
      <c r="H88" s="8" t="inlineStr">
        <is>
          <t>#17 hits a ground ball and reaches on an error by SS J Cadden (play #48, Bot 4th). HNTN E running tally: 2.</t>
        </is>
      </c>
    </row>
    <row r="89" ht="15.75" customHeight="1" s="35">
      <c r="A89" s="8" t="inlineStr">
        <is>
          <t>2026-03-14_KNTS_at_HNTN</t>
        </is>
      </c>
      <c r="B89" s="3" t="n">
        <v>46095</v>
      </c>
      <c r="C89" s="8" t="inlineStr">
        <is>
          <t>Huntingtown Varsity Hurricanes</t>
        </is>
      </c>
      <c r="D89" s="8" t="inlineStr">
        <is>
          <t>KNTS</t>
        </is>
      </c>
      <c r="E89" s="8" t="inlineStr">
        <is>
          <t>KNTS_#9</t>
        </is>
      </c>
      <c r="F89" s="8" t="n">
        <v>1</v>
      </c>
      <c r="G89" s="8" t="n">
        <v>9</v>
      </c>
      <c r="H89" s="8" t="inlineStr">
        <is>
          <t>T Burghard singles to RF KNTS_#9; T Burghard advances to 2nd on error by RF KNTS_#9 (play #9, Bot 1st). KNTS E running tally: 1.</t>
        </is>
      </c>
    </row>
    <row r="90" ht="15.75" customHeight="1" s="35">
      <c r="A90" s="8" t="inlineStr">
        <is>
          <t>2026-03-14_KNTS_at_HNTN</t>
        </is>
      </c>
      <c r="B90" s="3" t="n">
        <v>46095</v>
      </c>
      <c r="C90" s="8" t="inlineStr">
        <is>
          <t>Huntingtown Varsity Hurricanes</t>
        </is>
      </c>
      <c r="D90" s="8" t="inlineStr">
        <is>
          <t>KNTS</t>
        </is>
      </c>
      <c r="E90" s="8" t="inlineStr">
        <is>
          <t>KNTS_#3</t>
        </is>
      </c>
      <c r="F90" s="8" t="n">
        <v>2</v>
      </c>
      <c r="G90" s="8" t="n">
        <v>18</v>
      </c>
      <c r="H90" s="8" t="inlineStr">
        <is>
          <t>J Hann singles on pop fly, LF #11 to 2B KNTS_#3; J Hann advances to 3rd and N McMurray scores on error by 2B KNTS_#3 (play #18, Bot 2nd, Flag #13). KNTS E running tally: 2.</t>
        </is>
      </c>
    </row>
    <row r="91" ht="15.75" customHeight="1" s="35">
      <c r="A91" s="8" t="inlineStr">
        <is>
          <t>2026-03-14_KNTS_at_HNTN</t>
        </is>
      </c>
      <c r="B91" s="3" t="n">
        <v>46095</v>
      </c>
      <c r="C91" s="8" t="inlineStr">
        <is>
          <t>Huntingtown Varsity Hurricanes</t>
        </is>
      </c>
      <c r="D91" s="8" t="inlineStr">
        <is>
          <t>KNTS</t>
        </is>
      </c>
      <c r="E91" s="8" t="inlineStr">
        <is>
          <t>KNTS_#7</t>
        </is>
      </c>
      <c r="F91" s="8" t="n">
        <v>3</v>
      </c>
      <c r="G91" s="8" t="n">
        <v>31</v>
      </c>
      <c r="H91" s="8" t="inlineStr">
        <is>
          <t>L Montgomery advances to 3rd on embedded error by SS KNTS_#7 during G Grimes strikeout pitch sequence (play #31, Bot 3rd, Flag #14). KNTS E running tally: 3.</t>
        </is>
      </c>
    </row>
    <row r="92" ht="15.75" customHeight="1" s="35">
      <c r="A92" s="8" t="inlineStr">
        <is>
          <t>2026-03-14_KNTS_at_HNTN</t>
        </is>
      </c>
      <c r="B92" s="3" t="n">
        <v>46095</v>
      </c>
      <c r="C92" s="8" t="inlineStr">
        <is>
          <t>Kent Island HS</t>
        </is>
      </c>
      <c r="D92" s="8" t="inlineStr">
        <is>
          <t>HNTN</t>
        </is>
      </c>
      <c r="E92" s="8" t="inlineStr">
        <is>
          <t>L Montgomery</t>
        </is>
      </c>
      <c r="F92" s="8" t="n">
        <v>4</v>
      </c>
      <c r="G92" s="8" t="n">
        <v>35</v>
      </c>
      <c r="H92" s="8" t="inlineStr">
        <is>
          <t>#9 hits a hard ground ball and reaches on error by 3B L Montgomery (play #35, Top 4th). HNTN E=1.</t>
        </is>
      </c>
    </row>
    <row r="93" ht="15.75" customHeight="1" s="35">
      <c r="A93" s="8" t="inlineStr">
        <is>
          <t>2026-03-14_HNTN_at_SRVR</t>
        </is>
      </c>
      <c r="B93" s="3" t="n">
        <v>46095</v>
      </c>
      <c r="C93" s="8" t="inlineStr">
        <is>
          <t>South River Varsity Seahawks</t>
        </is>
      </c>
      <c r="D93" s="8" t="inlineStr">
        <is>
          <t>HNTN</t>
        </is>
      </c>
      <c r="E93" s="8" t="inlineStr">
        <is>
          <t>R Kessler</t>
        </is>
      </c>
      <c r="F93" s="8" t="n">
        <v>5</v>
      </c>
      <c r="G93" s="8" t="n">
        <v>46</v>
      </c>
      <c r="H93" s="8" t="inlineStr">
        <is>
          <t>#1 hits a ground ball and reaches on error by SS R Kessler (play #46, Bot 5th). HNTN E=1.</t>
        </is>
      </c>
    </row>
    <row r="94" ht="15.75" customHeight="1" s="35">
      <c r="A94" s="8" t="inlineStr">
        <is>
          <t>2026-03-14_HNTN_at_SRVR</t>
        </is>
      </c>
      <c r="B94" s="3" t="n">
        <v>46095</v>
      </c>
      <c r="C94" s="8" t="inlineStr">
        <is>
          <t>Huntingtown Varsity Hurricanes</t>
        </is>
      </c>
      <c r="D94" s="8" t="inlineStr">
        <is>
          <t>SRVR</t>
        </is>
      </c>
      <c r="E94" s="8" t="inlineStr">
        <is>
          <t>SRVR_3B_Unknown</t>
        </is>
      </c>
      <c r="F94" s="8" t="n">
        <v>4</v>
      </c>
      <c r="G94" s="8" t="n">
        <v>30</v>
      </c>
      <c r="H94" s="8" t="inlineStr">
        <is>
          <t>C Wargo reaches on error by SRVR 3B (jersey number not given — Flag #9) (play #30, Top 4th). SRVR E running tally: 1.</t>
        </is>
      </c>
    </row>
    <row r="95" ht="15.75" customHeight="1" s="35">
      <c r="A95" s="8" t="inlineStr">
        <is>
          <t>2026-03-14_HNTN_at_SRVR</t>
        </is>
      </c>
      <c r="B95" s="3" t="n">
        <v>46095</v>
      </c>
      <c r="C95" s="8" t="inlineStr">
        <is>
          <t>Huntingtown Varsity Hurricanes</t>
        </is>
      </c>
      <c r="D95" s="8" t="inlineStr">
        <is>
          <t>SRVR</t>
        </is>
      </c>
      <c r="E95" s="8" t="inlineStr">
        <is>
          <t>SRVR_SS_Unknown</t>
        </is>
      </c>
      <c r="F95" s="8" t="n">
        <v>4</v>
      </c>
      <c r="G95" s="8" t="n">
        <v>31</v>
      </c>
      <c r="H95" s="8" t="inlineStr">
        <is>
          <t>J Walter scores on SRVR SS error, C Wargo advances to 3rd on same error — embedded in R Kessler walk (play #31, Top 4th, Flag #9). SRVR E running tally: 2.</t>
        </is>
      </c>
    </row>
    <row r="96" ht="15.75" customHeight="1" s="35">
      <c r="A96" s="8" t="inlineStr">
        <is>
          <t>2026-03-14_HNTN_at_SRVR</t>
        </is>
      </c>
      <c r="B96" s="3" t="n">
        <v>46095</v>
      </c>
      <c r="C96" s="8" t="inlineStr">
        <is>
          <t>Huntingtown Varsity Hurricanes</t>
        </is>
      </c>
      <c r="D96" s="8" t="inlineStr">
        <is>
          <t>SRVR</t>
        </is>
      </c>
      <c r="E96" s="8" t="inlineStr">
        <is>
          <t>SRVR_SS_Unknown</t>
        </is>
      </c>
      <c r="F96" s="8" t="n">
        <v>6</v>
      </c>
      <c r="G96" s="8" t="n">
        <v>51</v>
      </c>
      <c r="H96" s="8" t="inlineStr">
        <is>
          <t>R Bolger reaches on SRVR SS error; J Laur scores (play #51, Top 6th, Flag #9). SRVR E running tally: 3.</t>
        </is>
      </c>
    </row>
    <row r="97" ht="15.75" customHeight="1" s="35">
      <c r="A97" s="8" t="inlineStr">
        <is>
          <t>2026-03-14_HNTN_at_SRVR</t>
        </is>
      </c>
      <c r="B97" s="3" t="n">
        <v>46095</v>
      </c>
      <c r="C97" s="8" t="inlineStr">
        <is>
          <t>Huntingtown Varsity Hurricanes</t>
        </is>
      </c>
      <c r="D97" s="8" t="inlineStr">
        <is>
          <t>SRVR</t>
        </is>
      </c>
      <c r="E97" s="8" t="inlineStr">
        <is>
          <t>SRVR_C_Unknown</t>
        </is>
      </c>
      <c r="F97" s="8" t="n">
        <v>6</v>
      </c>
      <c r="G97" s="8" t="n">
        <v>55</v>
      </c>
      <c r="H97" s="8" t="inlineStr">
        <is>
          <t>N McMurray advances to 2nd on SRVR catcher error; J Hann's run ambiguous (single vs. error — Flag #13) (play #55, Top 6th, Flag #9). SRVR E running tally: 4.</t>
        </is>
      </c>
    </row>
    <row r="98" ht="15.75" customHeight="1" s="35">
      <c r="A98" s="8" t="inlineStr">
        <is>
          <t>2026-03-14_HNTN_at_SRVR</t>
        </is>
      </c>
      <c r="B98" s="3" t="n">
        <v>46095</v>
      </c>
      <c r="C98" s="8" t="inlineStr">
        <is>
          <t>Huntingtown Varsity Hurricanes</t>
        </is>
      </c>
      <c r="D98" s="8" t="inlineStr">
        <is>
          <t>SRVR</t>
        </is>
      </c>
      <c r="E98" s="8" t="inlineStr">
        <is>
          <t>SRVR_SS_Unknown</t>
        </is>
      </c>
      <c r="F98" s="8" t="n">
        <v>7</v>
      </c>
      <c r="G98" s="8" t="n">
        <v>65</v>
      </c>
      <c r="H98" s="8" t="inlineStr">
        <is>
          <t>R Bolger reaches on SRVR SS error; J Laur scores (play #65, Top 7th, Flag #9). SRVR E running tally: 5.</t>
        </is>
      </c>
    </row>
    <row r="99" ht="15.75" customHeight="1" s="35">
      <c r="A99" s="8" t="inlineStr">
        <is>
          <t>2026-03-18_NRTH_at_HNTN</t>
        </is>
      </c>
      <c r="B99" s="3" t="n">
        <v>46099</v>
      </c>
      <c r="C99" s="8" t="inlineStr">
        <is>
          <t>Huntingtown Varsity Hurricanes</t>
        </is>
      </c>
      <c r="D99" s="8" t="inlineStr">
        <is>
          <t>NRTH</t>
        </is>
      </c>
      <c r="E99" s="8" t="inlineStr">
        <is>
          <t>NRTH_3B_Unknown</t>
        </is>
      </c>
      <c r="F99" s="8" t="n">
        <v>1</v>
      </c>
      <c r="G99" s="8" t="n">
        <v>5</v>
      </c>
      <c r="H99" s="8" t="inlineStr">
        <is>
          <t>J Hann reaches on error by NRTH 3B (jersey number not given — Flag #9) (play #5, Bot 1st). NRTH E running tally: 1.</t>
        </is>
      </c>
    </row>
    <row r="100" ht="15.75" customHeight="1" s="35">
      <c r="A100" s="8" t="inlineStr">
        <is>
          <t>2026-03-18_NRTH_at_HNTN</t>
        </is>
      </c>
      <c r="B100" s="3" t="n">
        <v>46099</v>
      </c>
      <c r="C100" s="8" t="inlineStr">
        <is>
          <t>Huntingtown Varsity Hurricanes</t>
        </is>
      </c>
      <c r="D100" s="8" t="inlineStr">
        <is>
          <t>NRTH</t>
        </is>
      </c>
      <c r="E100" s="8" t="inlineStr">
        <is>
          <t>NRTH_#10</t>
        </is>
      </c>
      <c r="F100" s="8" t="n">
        <v>6</v>
      </c>
      <c r="G100" s="8" t="n">
        <v>57</v>
      </c>
      <c r="H100" s="8" t="inlineStr">
        <is>
          <t>C Wargo (CR for J Cadden) scores on error by catcher NRTH_#10 on SAC fly relay throw (play #57, Bot 6th, Flag #15). NRTH E running tally: 2.</t>
        </is>
      </c>
    </row>
    <row r="101" ht="15.75" customHeight="1" s="35">
      <c r="A101" s="8" t="inlineStr">
        <is>
          <t>2026-03-18_NRTH_at_HNTN</t>
        </is>
      </c>
      <c r="B101" s="3" t="n">
        <v>46099</v>
      </c>
      <c r="C101" s="8" t="inlineStr">
        <is>
          <t>North County</t>
        </is>
      </c>
      <c r="D101" s="8" t="inlineStr">
        <is>
          <t>HNTN</t>
        </is>
      </c>
      <c r="E101" s="8" t="inlineStr">
        <is>
          <t>R Kessler</t>
        </is>
      </c>
      <c r="F101" s="8" t="n">
        <v>3</v>
      </c>
      <c r="G101" s="8" t="n">
        <v>23</v>
      </c>
      <c r="H101" s="8" t="inlineStr">
        <is>
          <t>#20 reaches on error by 3B R Kessler; #20 advances to 2nd on same error (play #23, Top 3rd). HNTN E running tally: 1.</t>
        </is>
      </c>
    </row>
    <row r="102" ht="15.75" customHeight="1" s="35">
      <c r="A102" s="8" t="inlineStr">
        <is>
          <t>2026-03-18_NRTH_at_HNTN</t>
        </is>
      </c>
      <c r="B102" s="3" t="n">
        <v>46099</v>
      </c>
      <c r="C102" s="8" t="inlineStr">
        <is>
          <t>North County</t>
        </is>
      </c>
      <c r="D102" s="8" t="inlineStr">
        <is>
          <t>HNTN</t>
        </is>
      </c>
      <c r="E102" s="8" t="inlineStr">
        <is>
          <t>J Cadden</t>
        </is>
      </c>
      <c r="F102" s="8" t="n">
        <v>6</v>
      </c>
      <c r="G102" s="8" t="n">
        <v>51</v>
      </c>
      <c r="H102" s="8" t="inlineStr">
        <is>
          <t>#9 reaches on error by SS J Cadden; #13 scores (play #51, Top 6th). HNTN E running tally: 2.</t>
        </is>
      </c>
    </row>
    <row r="103" ht="15.75" customHeight="1" s="35">
      <c r="A103" s="8" t="inlineStr">
        <is>
          <t>2026-03-18_NRTH_at_HNTN</t>
        </is>
      </c>
      <c r="B103" s="3" t="n">
        <v>46099</v>
      </c>
      <c r="C103" s="8" t="inlineStr">
        <is>
          <t>North County</t>
        </is>
      </c>
      <c r="D103" s="8" t="inlineStr">
        <is>
          <t>HNTN</t>
        </is>
      </c>
      <c r="E103" s="8" t="inlineStr">
        <is>
          <t>L Montgomery</t>
        </is>
      </c>
      <c r="F103" s="8" t="n">
        <v>7</v>
      </c>
      <c r="G103" s="8" t="n">
        <v>63</v>
      </c>
      <c r="H103" s="8" t="inlineStr">
        <is>
          <t>#1 reaches on error by 3B L Montgomery; #11 advances to 2nd (play #63, Top 7th). HNTN E running tally: 3.</t>
        </is>
      </c>
    </row>
    <row r="104" ht="15.75" customHeight="1" s="35">
      <c r="A104" s="8" t="inlineStr">
        <is>
          <t>2026-03-18_NRTH_at_HNTN</t>
        </is>
      </c>
      <c r="B104" s="3" t="n">
        <v>46099</v>
      </c>
      <c r="C104" s="8" t="inlineStr">
        <is>
          <t>North County</t>
        </is>
      </c>
      <c r="D104" s="8" t="inlineStr">
        <is>
          <t>HNTN</t>
        </is>
      </c>
      <c r="E104" s="8" t="inlineStr">
        <is>
          <t>R Kessler</t>
        </is>
      </c>
      <c r="F104" s="8" t="n">
        <v>7</v>
      </c>
      <c r="G104" s="8" t="n">
        <v>66</v>
      </c>
      <c r="H104" s="8" t="inlineStr">
        <is>
          <t>#5 reaches on error by SS R Kessler; #1 advances to 3rd, #6 advances to 2nd (play #66, Top 7th). HNTN E running tally: 4.</t>
        </is>
      </c>
    </row>
    <row r="105" ht="15.75" customHeight="1" s="35">
      <c r="A105" s="8" t="inlineStr">
        <is>
          <t>2026-03-20_CLVR_at_HNTN</t>
        </is>
      </c>
      <c r="B105" s="3" t="n">
        <v>46101</v>
      </c>
      <c r="C105" s="8" t="inlineStr">
        <is>
          <t>Calvert HS</t>
        </is>
      </c>
      <c r="D105" s="8" t="inlineStr">
        <is>
          <t>HNTN</t>
        </is>
      </c>
      <c r="E105" s="8" t="inlineStr">
        <is>
          <t>J Laur</t>
        </is>
      </c>
      <c r="F105" s="8" t="n">
        <v>1</v>
      </c>
      <c r="G105" s="8" t="n">
        <v>2</v>
      </c>
      <c r="H105" s="8" t="inlineStr">
        <is>
          <t>J Rodenhaver reaches on error by 3B J Laur (play #2, Top 1st). HNTN E=1.</t>
        </is>
      </c>
    </row>
    <row r="106" ht="15.75" customHeight="1" s="35">
      <c r="A106" s="8" t="inlineStr">
        <is>
          <t>2026-03-20_CLVR_at_HNTN</t>
        </is>
      </c>
      <c r="B106" s="3" t="n">
        <v>46101</v>
      </c>
      <c r="C106" s="8" t="inlineStr">
        <is>
          <t>Huntingtown Varsity Hurricanes</t>
        </is>
      </c>
      <c r="D106" s="8" t="inlineStr">
        <is>
          <t>CLVR</t>
        </is>
      </c>
      <c r="E106" s="8" t="inlineStr">
        <is>
          <t>C Sacker</t>
        </is>
      </c>
      <c r="F106" s="8" t="n">
        <v>6</v>
      </c>
      <c r="G106" s="8" t="n">
        <v>46</v>
      </c>
      <c r="H106" s="8" t="inlineStr">
        <is>
          <t>R Gaetano scores on error by catcher C Sacker embedded in B Marlowe walk (play #46, Bot 6th, Flag #14). CLVR E running tally: 1.</t>
        </is>
      </c>
    </row>
    <row r="107" ht="15.75" customHeight="1" s="35">
      <c r="A107" s="8" t="inlineStr">
        <is>
          <t>2026-03-20_CLVR_at_HNTN</t>
        </is>
      </c>
      <c r="B107" s="3" t="n">
        <v>46101</v>
      </c>
      <c r="C107" s="8" t="inlineStr">
        <is>
          <t>Huntingtown Varsity Hurricanes</t>
        </is>
      </c>
      <c r="D107" s="8" t="inlineStr">
        <is>
          <t>CLVR</t>
        </is>
      </c>
      <c r="E107" s="8" t="inlineStr">
        <is>
          <t>C Sacker</t>
        </is>
      </c>
      <c r="F107" s="8" t="n">
        <v>6</v>
      </c>
      <c r="G107" s="8" t="n">
        <v>47</v>
      </c>
      <c r="H107" s="8" t="inlineStr">
        <is>
          <t>B Marlowe advances to 2nd on error by catcher C Sacker embedded in J Laur pop out (play #47, Bot 6th, Flag #15). CLVR E running tally: 2.</t>
        </is>
      </c>
    </row>
    <row r="108" ht="15.75" customHeight="1" s="35">
      <c r="A108" s="8" t="inlineStr">
        <is>
          <t>2026-03-23_PTXN_at_HNTN</t>
        </is>
      </c>
      <c r="B108" s="3" t="n">
        <v>46104</v>
      </c>
      <c r="C108" s="8" t="inlineStr">
        <is>
          <t>Patuxent</t>
        </is>
      </c>
      <c r="D108" s="8" t="inlineStr">
        <is>
          <t>HNTN</t>
        </is>
      </c>
      <c r="E108" s="8" t="inlineStr">
        <is>
          <t>C Wargo</t>
        </is>
      </c>
      <c r="F108" s="8" t="n">
        <v>1</v>
      </c>
      <c r="G108" s="8" t="n">
        <v>1</v>
      </c>
      <c r="H108" s="8" t="inlineStr">
        <is>
          <t>B Cowan reaches on error by LF C Wargo; B Cowan advances to 2nd on same error (play #1, Top 1st). HNTN E=1.</t>
        </is>
      </c>
    </row>
    <row r="109" ht="15.75" customHeight="1" s="35">
      <c r="A109" s="8" t="inlineStr">
        <is>
          <t>2026-03-23_PTXN_at_HNTN</t>
        </is>
      </c>
      <c r="B109" s="3" t="n">
        <v>46104</v>
      </c>
      <c r="C109" s="8" t="inlineStr">
        <is>
          <t>Huntingtown Varsity Hurricanes</t>
        </is>
      </c>
      <c r="D109" s="8" t="inlineStr">
        <is>
          <t>PTXN</t>
        </is>
      </c>
      <c r="E109" s="8" t="inlineStr">
        <is>
          <t>PTXN_3B_Unknown</t>
        </is>
      </c>
      <c r="F109" s="8" t="n">
        <v>1</v>
      </c>
      <c r="G109" s="8" t="n">
        <v>5</v>
      </c>
      <c r="H109" s="8" t="inlineStr">
        <is>
          <t>N McMurray reaches on error by PTXN 3B (name not given — Flag #9); N McMurray advances to 2nd on same error (play #5, Bot 1st). PTXN E running tally: 1.</t>
        </is>
      </c>
    </row>
    <row r="110" ht="15.75" customHeight="1" s="35">
      <c r="A110" s="8" t="inlineStr">
        <is>
          <t>2026-03-23_PTXN_at_HNTN</t>
        </is>
      </c>
      <c r="B110" s="3" t="n">
        <v>46104</v>
      </c>
      <c r="C110" s="8" t="inlineStr">
        <is>
          <t>Huntingtown Varsity Hurricanes</t>
        </is>
      </c>
      <c r="D110" s="8" t="inlineStr">
        <is>
          <t>PTXN</t>
        </is>
      </c>
      <c r="E110" s="8" t="inlineStr">
        <is>
          <t>T Lakey</t>
        </is>
      </c>
      <c r="F110" s="8" t="n">
        <v>2</v>
      </c>
      <c r="G110" s="8" t="n">
        <v>18</v>
      </c>
      <c r="H110" s="8" t="inlineStr">
        <is>
          <t>N McMurray advances to 3rd on error by CF T Lakey during N McMurray 1B (play #18, Bot 2nd). PTXN E running tally: 2.</t>
        </is>
      </c>
    </row>
    <row r="111" ht="15.75" customHeight="1" s="35">
      <c r="A111" s="8" t="inlineStr">
        <is>
          <t>2026-03-25_MCDN_at_HNTN</t>
        </is>
      </c>
      <c r="B111" s="3" t="n">
        <v>46106</v>
      </c>
      <c r="C111" s="8" t="inlineStr">
        <is>
          <t>Huntingtown Varsity Hurricanes</t>
        </is>
      </c>
      <c r="D111" s="8" t="inlineStr">
        <is>
          <t>MCDN</t>
        </is>
      </c>
      <c r="E111" s="8" t="inlineStr">
        <is>
          <t>MCDN_#3</t>
        </is>
      </c>
      <c r="F111" s="8" t="n">
        <v>3</v>
      </c>
      <c r="G111" s="8" t="n">
        <v>38</v>
      </c>
      <c r="H111" s="8" t="inlineStr">
        <is>
          <t>J Cadden reaches on error by SS MCDN_#3; N McMurray advances to 3rd, R Bolger advances to 2nd (play #38, Bot 3rd). MCDN E running tally: 1.</t>
        </is>
      </c>
    </row>
    <row r="112" ht="15.75" customHeight="1" s="35">
      <c r="A112" s="8" t="inlineStr">
        <is>
          <t>2026-03-25_MCDN_at_HNTN</t>
        </is>
      </c>
      <c r="B112" s="3" t="n">
        <v>46106</v>
      </c>
      <c r="C112" s="8" t="inlineStr">
        <is>
          <t>Huntingtown Varsity Hurricanes</t>
        </is>
      </c>
      <c r="D112" s="8" t="inlineStr">
        <is>
          <t>MCDN</t>
        </is>
      </c>
      <c r="E112" s="8" t="inlineStr">
        <is>
          <t>MCDN_#5</t>
        </is>
      </c>
      <c r="F112" s="8" t="n">
        <v>4</v>
      </c>
      <c r="G112" s="8" t="n">
        <v>49</v>
      </c>
      <c r="H112" s="8" t="inlineStr">
        <is>
          <t>N McMurray reaches on error by 3B MCDN_#5; C Wargo scores (play #49, Bot 4th, Flag #13). MCDN E running tally: 2.</t>
        </is>
      </c>
    </row>
    <row r="113" ht="15.75" customHeight="1" s="35">
      <c r="A113" s="8" t="inlineStr">
        <is>
          <t>2026-03-25_MCDN_at_HNTN</t>
        </is>
      </c>
      <c r="B113" s="3" t="n">
        <v>46106</v>
      </c>
      <c r="C113" s="8" t="inlineStr">
        <is>
          <t>Huntingtown Varsity Hurricanes</t>
        </is>
      </c>
      <c r="D113" s="8" t="inlineStr">
        <is>
          <t>MCDN</t>
        </is>
      </c>
      <c r="E113" s="8" t="inlineStr">
        <is>
          <t>MCDN_#5</t>
        </is>
      </c>
      <c r="F113" s="8" t="n">
        <v>5</v>
      </c>
      <c r="G113" s="8" t="n">
        <v>56</v>
      </c>
      <c r="H113" s="8" t="inlineStr">
        <is>
          <t>R Gaetano reaches on error by 3B MCDN_#5 (second error for #5 — Flag #13) (play #56, Bot 5th). MCDN E running tally: 3.</t>
        </is>
      </c>
    </row>
    <row r="114" ht="15.75" customHeight="1" s="35">
      <c r="A114" s="8" t="inlineStr">
        <is>
          <t>2026-03-30_CHPT_at_HNTN</t>
        </is>
      </c>
      <c r="B114" s="3" t="n">
        <v>46111</v>
      </c>
      <c r="C114" s="8" t="inlineStr">
        <is>
          <t>Huntingtown Varsity Hurricanes</t>
        </is>
      </c>
      <c r="D114" s="8" t="inlineStr">
        <is>
          <t>CHPT</t>
        </is>
      </c>
      <c r="E114" s="8" t="inlineStr">
        <is>
          <t>CHPT_RF_Unknown</t>
        </is>
      </c>
      <c r="F114" s="8" t="n">
        <v>1</v>
      </c>
      <c r="G114" s="8" t="n">
        <v>6</v>
      </c>
      <c r="H114" s="8" t="inlineStr">
        <is>
          <t>J Hann advances to 2nd on error by CHPT RF (jersey number not given — Flag #9); play #6, Bot 1st. CHPT E running tally: 1.</t>
        </is>
      </c>
    </row>
    <row r="115" ht="15.75" customHeight="1" s="35">
      <c r="A115" s="8" t="inlineStr">
        <is>
          <t>2026-03-30_CHPT_at_HNTN</t>
        </is>
      </c>
      <c r="B115" s="3" t="n">
        <v>46111</v>
      </c>
      <c r="C115" s="8" t="inlineStr">
        <is>
          <t>Huntingtown Varsity Hurricanes</t>
        </is>
      </c>
      <c r="D115" s="8" t="inlineStr">
        <is>
          <t>CHPT</t>
        </is>
      </c>
      <c r="E115" s="8" t="inlineStr">
        <is>
          <t>CHPT_CF_Unknown</t>
        </is>
      </c>
      <c r="F115" s="8" t="n">
        <v>1</v>
      </c>
      <c r="G115" s="8" t="n">
        <v>8</v>
      </c>
      <c r="H115" s="8" t="inlineStr">
        <is>
          <t>N McMurray reaches on error by CHPT CF and advances to 2nd on same error (jersey number not given — Flag #9); play #8, Bot 1st. CHPT E running tally: 2.</t>
        </is>
      </c>
    </row>
    <row r="116" ht="15.75" customHeight="1" s="35">
      <c r="A116" s="8" t="inlineStr">
        <is>
          <t>2026-03-30_CHPT_at_HNTN</t>
        </is>
      </c>
      <c r="B116" s="3" t="n">
        <v>46111</v>
      </c>
      <c r="C116" s="8" t="inlineStr">
        <is>
          <t>Huntingtown Varsity Hurricanes</t>
        </is>
      </c>
      <c r="D116" s="8" t="inlineStr">
        <is>
          <t>CHPT</t>
        </is>
      </c>
      <c r="E116" s="8" t="inlineStr">
        <is>
          <t>CHPT_#6</t>
        </is>
      </c>
      <c r="F116" s="8" t="n">
        <v>6</v>
      </c>
      <c r="G116" s="8" t="n">
        <v>63</v>
      </c>
      <c r="H116" s="8" t="inlineStr">
        <is>
          <t>J Laur scores on error by SS CHPT_#6 (embedded in T Burghard HBP pitch sequence, play #63, Bot 6th). CHPT E running tally: 3.</t>
        </is>
      </c>
    </row>
    <row r="117" ht="15.75" customHeight="1" s="35">
      <c r="A117" s="8" t="inlineStr">
        <is>
          <t>2026-04-01_RVRH_at_NRTH</t>
        </is>
      </c>
      <c r="B117" s="3" t="n">
        <v>46113</v>
      </c>
      <c r="C117" s="8" t="inlineStr">
        <is>
          <t>North Point Varsity Eagles</t>
        </is>
      </c>
      <c r="D117" s="8" t="inlineStr">
        <is>
          <t>NRTH</t>
        </is>
      </c>
      <c r="E117" s="8" t="inlineStr">
        <is>
          <t>Z Bowman</t>
        </is>
      </c>
      <c r="F117" s="8" t="n">
        <v>2</v>
      </c>
      <c r="G117" s="8" t="n">
        <v>15</v>
      </c>
      <c r="H117" s="8" t="inlineStr">
        <is>
          <t>A Contreras advances to 2nd on error by 1B Z Bowman during pickoff attempt at 1st (play #15, T2; embedded in pitch sequence). NRTH E=1 running tally.</t>
        </is>
      </c>
    </row>
    <row r="118" ht="15.75" customHeight="1" s="35">
      <c r="A118" s="8" t="inlineStr">
        <is>
          <t>2026-04-01_RVRH_at_NRTH</t>
        </is>
      </c>
      <c r="B118" s="3" t="n">
        <v>46113</v>
      </c>
      <c r="C118" s="8" t="inlineStr">
        <is>
          <t>North Point Varsity Eagles</t>
        </is>
      </c>
      <c r="D118" s="8" t="inlineStr">
        <is>
          <t>RVRH</t>
        </is>
      </c>
      <c r="E118" s="8" t="inlineStr">
        <is>
          <t>C Nichols</t>
        </is>
      </c>
      <c r="F118" s="8" t="n">
        <v>4</v>
      </c>
      <c r="G118" s="8" t="n">
        <v>38</v>
      </c>
      <c r="H118" s="8" t="inlineStr">
        <is>
          <t>S Dixon hits hard ground ball and reaches on error by SS C Nichols (play #38, B4). RVRH E=1 per Section 2 totals.</t>
        </is>
      </c>
    </row>
    <row r="119" ht="15.75" customHeight="1" s="35">
      <c r="A119" s="8" t="inlineStr">
        <is>
          <t>2026-04-01_RVRH_at_NRTH</t>
        </is>
      </c>
      <c r="B119" s="3" t="n">
        <v>46113</v>
      </c>
      <c r="C119" s="8" t="inlineStr">
        <is>
          <t>North Point Varsity Eagles</t>
        </is>
      </c>
      <c r="D119" s="8" t="inlineStr">
        <is>
          <t>NRTH</t>
        </is>
      </c>
      <c r="E119" s="8" t="inlineStr">
        <is>
          <t>A Harding</t>
        </is>
      </c>
      <c r="F119" s="8" t="n">
        <v>5</v>
      </c>
      <c r="G119" s="8" t="n">
        <v>41</v>
      </c>
      <c r="H119" s="8" t="inlineStr">
        <is>
          <t>J Norwood hits ground ball and reaches on error by SS A Harding (play #41, T5). NRTH E=2 running tally.</t>
        </is>
      </c>
    </row>
    <row r="120" ht="15.75" customHeight="1" s="35">
      <c r="A120" s="8" t="inlineStr">
        <is>
          <t>2026-04-01_OLDM_at_RVRH</t>
        </is>
      </c>
      <c r="B120" s="3" t="n">
        <v>46113</v>
      </c>
      <c r="C120" s="8" t="inlineStr">
        <is>
          <t>Old Mill Varsity Patriots</t>
        </is>
      </c>
      <c r="D120" s="8" t="inlineStr">
        <is>
          <t>RVRH</t>
        </is>
      </c>
      <c r="E120" s="8" t="inlineStr">
        <is>
          <t>C Nichols</t>
        </is>
      </c>
      <c r="F120" s="8" t="n">
        <v>1</v>
      </c>
      <c r="G120" s="8" t="n">
        <v>3</v>
      </c>
      <c r="H120" s="8" t="inlineStr">
        <is>
          <t>B Rzepkoski hits ground ball and reaches on error by SS C Nichols (play #3, T1). RVRH E=1 running tally.</t>
        </is>
      </c>
    </row>
    <row r="121" ht="15.75" customHeight="1" s="35">
      <c r="A121" s="8" t="inlineStr">
        <is>
          <t>2026-04-01_OLDM_at_RVRH</t>
        </is>
      </c>
      <c r="B121" s="3" t="n">
        <v>46113</v>
      </c>
      <c r="C121" s="8" t="inlineStr">
        <is>
          <t>Old Mill Varsity Patriots</t>
        </is>
      </c>
      <c r="D121" s="8" t="inlineStr">
        <is>
          <t>OLDM</t>
        </is>
      </c>
      <c r="E121" s="8" t="inlineStr">
        <is>
          <t>C Koreck</t>
        </is>
      </c>
      <c r="F121" s="8" t="n">
        <v>3</v>
      </c>
      <c r="G121" s="8" t="n">
        <v>22</v>
      </c>
      <c r="H121" s="8" t="inlineStr">
        <is>
          <t>C McClellan hits hard ground ball and reaches on error by 2B C Koreck (play #22, B3). OLDM E=1 per Section 2 totals.</t>
        </is>
      </c>
    </row>
    <row r="122" ht="15.75" customHeight="1" s="35">
      <c r="A122" s="8" t="inlineStr">
        <is>
          <t>2026-04-01_OLDM_at_RVRH</t>
        </is>
      </c>
      <c r="B122" s="3" t="n">
        <v>46113</v>
      </c>
      <c r="C122" s="8" t="inlineStr">
        <is>
          <t>Old Mill Varsity Patriots</t>
        </is>
      </c>
      <c r="D122" s="8" t="inlineStr">
        <is>
          <t>RVRH</t>
        </is>
      </c>
      <c r="E122" s="8" t="inlineStr">
        <is>
          <t>A Contreras</t>
        </is>
      </c>
      <c r="F122" s="8" t="n">
        <v>6</v>
      </c>
      <c r="G122" s="8" t="n">
        <v>51</v>
      </c>
      <c r="H122" s="8" t="inlineStr">
        <is>
          <t>C Hairston hits fly ball and reaches on error by LF A Contreras (play #51, T6). RVRH E=2 running tally.</t>
        </is>
      </c>
    </row>
    <row r="123" ht="15.75" customHeight="1" s="35">
      <c r="A123" s="8" t="inlineStr">
        <is>
          <t>2026-03-31_DMSC_at_HWRD</t>
        </is>
      </c>
      <c r="B123" s="8" t="inlineStr">
        <is>
          <t>2026-03-31</t>
        </is>
      </c>
      <c r="C123" s="8" t="inlineStr">
        <is>
          <t>Howard Varsity Lions</t>
        </is>
      </c>
      <c r="D123" s="8" t="inlineStr">
        <is>
          <t>DMSC</t>
        </is>
      </c>
      <c r="E123" s="8" t="inlineStr">
        <is>
          <t>G Iorio</t>
        </is>
      </c>
      <c r="H123" s="8" t="inlineStr">
        <is>
          <t>DMSC error — source: box score E line; inning and play reference not available in Tier 2 source.</t>
        </is>
      </c>
    </row>
    <row r="124" ht="15.75" customHeight="1" s="35">
      <c r="A124" s="8" t="inlineStr">
        <is>
          <t>2026-03-31_DMSC_at_HWRD</t>
        </is>
      </c>
      <c r="B124" s="8" t="inlineStr">
        <is>
          <t>2026-03-31</t>
        </is>
      </c>
      <c r="C124" s="8" t="inlineStr">
        <is>
          <t>Damascus Varsity Hornets</t>
        </is>
      </c>
      <c r="D124" s="8" t="inlineStr">
        <is>
          <t>HWRD</t>
        </is>
      </c>
      <c r="E124" s="8" t="inlineStr">
        <is>
          <t>D Alves</t>
        </is>
      </c>
      <c r="H124" s="8" t="inlineStr">
        <is>
          <t>HWRD error (1 of 2 attributed to this player) — source: box score E line; inning and play reference not available in Tier 2 source.</t>
        </is>
      </c>
    </row>
    <row r="125" ht="15.75" customHeight="1" s="35">
      <c r="A125" s="8" t="inlineStr">
        <is>
          <t>2026-03-31_DMSC_at_HWRD</t>
        </is>
      </c>
      <c r="B125" s="8" t="inlineStr">
        <is>
          <t>2026-03-31</t>
        </is>
      </c>
      <c r="C125" s="8" t="inlineStr">
        <is>
          <t>Damascus Varsity Hornets</t>
        </is>
      </c>
      <c r="D125" s="8" t="inlineStr">
        <is>
          <t>HWRD</t>
        </is>
      </c>
      <c r="E125" s="8" t="inlineStr">
        <is>
          <t>D Alves</t>
        </is>
      </c>
      <c r="H125" s="8" t="inlineStr">
        <is>
          <t>HWRD error (2 of 2 attributed to this player) — source: box score E line; inning and play reference not available in Tier 2 source.</t>
        </is>
      </c>
    </row>
    <row r="126" ht="15.75" customHeight="1" s="35">
      <c r="A126" s="8" t="inlineStr">
        <is>
          <t>2026-03-31_DMSC_at_HWRD</t>
        </is>
      </c>
      <c r="B126" s="8" t="inlineStr">
        <is>
          <t>2026-03-31</t>
        </is>
      </c>
      <c r="C126" s="8" t="inlineStr">
        <is>
          <t>Damascus Varsity Hornets</t>
        </is>
      </c>
      <c r="D126" s="8" t="inlineStr">
        <is>
          <t>HWRD</t>
        </is>
      </c>
      <c r="E126" s="8" t="inlineStr">
        <is>
          <t>C Hudson</t>
        </is>
      </c>
      <c r="H126" s="8" t="inlineStr">
        <is>
          <t>HWRD error — source: box score E line; inning and play reference not available in Tier 2 source.</t>
        </is>
      </c>
    </row>
    <row r="127" ht="15.75" customHeight="1" s="35">
      <c r="A127" s="8" t="inlineStr">
        <is>
          <t>2026-03-31_DMSC_at_HWRD</t>
        </is>
      </c>
      <c r="B127" s="8" t="inlineStr">
        <is>
          <t>2026-03-31</t>
        </is>
      </c>
      <c r="C127" s="8" t="inlineStr">
        <is>
          <t>Damascus Varsity Hornets</t>
        </is>
      </c>
      <c r="D127" s="8" t="inlineStr">
        <is>
          <t>HWRD</t>
        </is>
      </c>
      <c r="E127" s="8" t="inlineStr">
        <is>
          <t>Max Parise</t>
        </is>
      </c>
      <c r="H127" s="8" t="inlineStr">
        <is>
          <t>HWRD error — source: box score E line; inning and play reference not available in Tier 2 source.</t>
        </is>
      </c>
    </row>
    <row r="128" ht="15.75" customHeight="1" s="35">
      <c r="A128" s="8" t="inlineStr">
        <is>
          <t>2026-03-31_DMSC_at_HWRD</t>
        </is>
      </c>
      <c r="B128" s="8" t="inlineStr">
        <is>
          <t>2026-03-31</t>
        </is>
      </c>
      <c r="C128" s="8" t="inlineStr">
        <is>
          <t>Damascus Varsity Hornets</t>
        </is>
      </c>
      <c r="D128" s="8" t="inlineStr">
        <is>
          <t>HWRD</t>
        </is>
      </c>
      <c r="E128" s="8" t="inlineStr">
        <is>
          <t>Thomas Estrada</t>
        </is>
      </c>
      <c r="H128" s="8" t="inlineStr">
        <is>
          <t>HWRD error — source: box score E line; inning and play reference not available in Tier 2 source.</t>
        </is>
      </c>
    </row>
    <row r="129" ht="15.75" customHeight="1" s="35">
      <c r="A129" s="8" t="inlineStr">
        <is>
          <t>2026-03-21_HWRD_at_HMMN</t>
        </is>
      </c>
      <c r="B129" s="8" t="inlineStr">
        <is>
          <t>2026-03-21</t>
        </is>
      </c>
      <c r="C129" s="8" t="inlineStr">
        <is>
          <t>Hammond Varsity Bears</t>
        </is>
      </c>
      <c r="D129" s="8" t="inlineStr">
        <is>
          <t>HWRD</t>
        </is>
      </c>
      <c r="E129" s="8" t="inlineStr">
        <is>
          <t>Creighton Lombardi-Gerber</t>
        </is>
      </c>
      <c r="H129" s="8" t="inlineStr">
        <is>
          <t>HWRD error (1 of 3 attributed to this player) — source: box score E line; inning and play reference not available in Tier 2 source.</t>
        </is>
      </c>
    </row>
    <row r="130" ht="15.75" customHeight="1" s="35">
      <c r="A130" s="8" t="inlineStr">
        <is>
          <t>2026-03-21_HWRD_at_HMMN</t>
        </is>
      </c>
      <c r="B130" s="8" t="inlineStr">
        <is>
          <t>2026-03-21</t>
        </is>
      </c>
      <c r="C130" s="8" t="inlineStr">
        <is>
          <t>Hammond Varsity Bears</t>
        </is>
      </c>
      <c r="D130" s="8" t="inlineStr">
        <is>
          <t>HWRD</t>
        </is>
      </c>
      <c r="E130" s="8" t="inlineStr">
        <is>
          <t>Creighton Lombardi-Gerber</t>
        </is>
      </c>
      <c r="H130" s="8" t="inlineStr">
        <is>
          <t>HWRD error (2 of 3 attributed to this player) — source: box score E line; inning and play reference not available in Tier 2 source.</t>
        </is>
      </c>
    </row>
    <row r="131" ht="15.75" customHeight="1" s="35">
      <c r="A131" s="8" t="inlineStr">
        <is>
          <t>2026-03-21_HWRD_at_HMMN</t>
        </is>
      </c>
      <c r="B131" s="8" t="inlineStr">
        <is>
          <t>2026-03-21</t>
        </is>
      </c>
      <c r="C131" s="8" t="inlineStr">
        <is>
          <t>Hammond Varsity Bears</t>
        </is>
      </c>
      <c r="D131" s="8" t="inlineStr">
        <is>
          <t>HWRD</t>
        </is>
      </c>
      <c r="E131" s="8" t="inlineStr">
        <is>
          <t>Creighton Lombardi-Gerber</t>
        </is>
      </c>
      <c r="H131" s="8" t="inlineStr">
        <is>
          <t>HWRD error (3 of 3 attributed to this player) — source: box score E line; inning and play reference not available in Tier 2 source.</t>
        </is>
      </c>
    </row>
    <row r="132" ht="15.75" customHeight="1" s="35">
      <c r="A132" s="8" t="inlineStr">
        <is>
          <t>2026-03-21_HWRD_at_HMMN</t>
        </is>
      </c>
      <c r="B132" s="8" t="inlineStr">
        <is>
          <t>2026-03-21</t>
        </is>
      </c>
      <c r="C132" s="8" t="inlineStr">
        <is>
          <t>Hammond Varsity Bears</t>
        </is>
      </c>
      <c r="D132" s="8" t="inlineStr">
        <is>
          <t>HWRD</t>
        </is>
      </c>
      <c r="E132" s="8" t="inlineStr">
        <is>
          <t>D Alves</t>
        </is>
      </c>
      <c r="H132" s="8" t="inlineStr">
        <is>
          <t>HWRD error — source: box score E line; inning and play reference not available in Tier 2 source.</t>
        </is>
      </c>
    </row>
    <row r="133" ht="15.75" customHeight="1" s="35">
      <c r="A133" s="8" t="inlineStr">
        <is>
          <t>2026-03-21_HWRD_at_HMMN</t>
        </is>
      </c>
      <c r="B133" s="8" t="inlineStr">
        <is>
          <t>2026-03-21</t>
        </is>
      </c>
      <c r="C133" s="8" t="inlineStr">
        <is>
          <t>Howard Varsity Lions</t>
        </is>
      </c>
      <c r="D133" s="8" t="inlineStr">
        <is>
          <t>HMMN</t>
        </is>
      </c>
      <c r="E133" s="8" t="inlineStr">
        <is>
          <t>Y Rivera</t>
        </is>
      </c>
      <c r="H133" s="8" t="inlineStr">
        <is>
          <t>HMMN error (1 of 3 attributed to this player) — source: box score E line; inning and play reference not available in Tier 2 source.</t>
        </is>
      </c>
    </row>
    <row r="134" ht="15.75" customHeight="1" s="35">
      <c r="A134" s="8" t="inlineStr">
        <is>
          <t>2026-03-21_HWRD_at_HMMN</t>
        </is>
      </c>
      <c r="B134" s="8" t="inlineStr">
        <is>
          <t>2026-03-21</t>
        </is>
      </c>
      <c r="C134" s="8" t="inlineStr">
        <is>
          <t>Howard Varsity Lions</t>
        </is>
      </c>
      <c r="D134" s="8" t="inlineStr">
        <is>
          <t>HMMN</t>
        </is>
      </c>
      <c r="E134" s="8" t="inlineStr">
        <is>
          <t>Y Rivera</t>
        </is>
      </c>
      <c r="H134" s="8" t="inlineStr">
        <is>
          <t>HMMN error (2 of 3 attributed to this player) — source: box score E line; inning and play reference not available in Tier 2 source.</t>
        </is>
      </c>
    </row>
    <row r="135" ht="15.75" customHeight="1" s="35">
      <c r="A135" s="8" t="inlineStr">
        <is>
          <t>2026-03-21_HWRD_at_HMMN</t>
        </is>
      </c>
      <c r="B135" s="8" t="inlineStr">
        <is>
          <t>2026-03-21</t>
        </is>
      </c>
      <c r="C135" s="8" t="inlineStr">
        <is>
          <t>Howard Varsity Lions</t>
        </is>
      </c>
      <c r="D135" s="8" t="inlineStr">
        <is>
          <t>HMMN</t>
        </is>
      </c>
      <c r="E135" s="8" t="inlineStr">
        <is>
          <t>Y Rivera</t>
        </is>
      </c>
      <c r="H135" s="8" t="inlineStr">
        <is>
          <t>HMMN error (3 of 3 attributed to this player) — source: box score E line; inning and play reference not available in Tier 2 source.</t>
        </is>
      </c>
    </row>
    <row r="136" ht="15.75" customHeight="1" s="35">
      <c r="A136" s="8" t="inlineStr">
        <is>
          <t>2026-03-21_HWRD_at_HMMN</t>
        </is>
      </c>
      <c r="B136" s="8" t="inlineStr">
        <is>
          <t>2026-03-21</t>
        </is>
      </c>
      <c r="C136" s="8" t="inlineStr">
        <is>
          <t>Howard Varsity Lions</t>
        </is>
      </c>
      <c r="D136" s="8" t="inlineStr">
        <is>
          <t>HMMN</t>
        </is>
      </c>
      <c r="E136" s="8" t="inlineStr">
        <is>
          <t>G Draminski</t>
        </is>
      </c>
      <c r="H136" s="8" t="inlineStr">
        <is>
          <t>HMMN error — source: box score E line; inning and play reference not available in Tier 2 source.</t>
        </is>
      </c>
    </row>
    <row r="137" ht="15.75" customHeight="1" s="35">
      <c r="A137" s="8" t="inlineStr">
        <is>
          <t>2026-03-21_HWRD_at_HMMN</t>
        </is>
      </c>
      <c r="B137" s="8" t="inlineStr">
        <is>
          <t>2026-03-21</t>
        </is>
      </c>
      <c r="C137" s="8" t="inlineStr">
        <is>
          <t>Howard Varsity Lions</t>
        </is>
      </c>
      <c r="D137" s="8" t="inlineStr">
        <is>
          <t>HMMN</t>
        </is>
      </c>
      <c r="E137" s="8" t="inlineStr">
        <is>
          <t>L Tordella</t>
        </is>
      </c>
      <c r="H137" s="8" t="inlineStr">
        <is>
          <t>HMMN error — source: box score E line; inning and play reference not available in Tier 2 source.</t>
        </is>
      </c>
    </row>
    <row r="138" ht="15.75" customHeight="1" s="35">
      <c r="A138" s="8" t="inlineStr">
        <is>
          <t>2026-03-31_HWRD_at_CRFT</t>
        </is>
      </c>
      <c r="B138" s="8" t="inlineStr">
        <is>
          <t>2026-03-31</t>
        </is>
      </c>
      <c r="C138" s="8" t="inlineStr">
        <is>
          <t>Crofton Varsity Cardinals</t>
        </is>
      </c>
      <c r="D138" s="8" t="inlineStr">
        <is>
          <t>HWRD</t>
        </is>
      </c>
      <c r="E138" s="8" t="inlineStr">
        <is>
          <t>A Proescher</t>
        </is>
      </c>
      <c r="H138" s="8" t="inlineStr">
        <is>
          <t>HWRD error — source: box score E line; inning and play reference not available in Tier 2 source.</t>
        </is>
      </c>
    </row>
    <row r="139" ht="15.75" customHeight="1" s="35">
      <c r="A139" s="8" t="inlineStr">
        <is>
          <t>2026-03-31_HWRD_at_CRFT</t>
        </is>
      </c>
      <c r="B139" s="8" t="inlineStr">
        <is>
          <t>2026-03-31</t>
        </is>
      </c>
      <c r="C139" s="8" t="inlineStr">
        <is>
          <t>Crofton Varsity Cardinals</t>
        </is>
      </c>
      <c r="D139" s="8" t="inlineStr">
        <is>
          <t>HWRD</t>
        </is>
      </c>
      <c r="E139" s="8" t="inlineStr">
        <is>
          <t>B Giangrasso</t>
        </is>
      </c>
      <c r="H139" s="8" t="inlineStr">
        <is>
          <t>HWRD error — source: box score E line; inning and play reference not available in Tier 2 source.</t>
        </is>
      </c>
    </row>
    <row r="140" ht="15.75" customHeight="1" s="35">
      <c r="A140" s="8" t="inlineStr">
        <is>
          <t>2026-03-31_HWRD_at_CRFT</t>
        </is>
      </c>
      <c r="B140" s="8" t="inlineStr">
        <is>
          <t>2026-03-31</t>
        </is>
      </c>
      <c r="C140" s="8" t="inlineStr">
        <is>
          <t>Crofton Varsity Cardinals</t>
        </is>
      </c>
      <c r="D140" s="8" t="inlineStr">
        <is>
          <t>HWRD</t>
        </is>
      </c>
      <c r="E140" s="8" t="inlineStr">
        <is>
          <t>Thomas Estrada</t>
        </is>
      </c>
      <c r="H140" s="8" t="inlineStr">
        <is>
          <t>HWRD error — source: box score E line; inning and play reference not available in Tier 2 source.</t>
        </is>
      </c>
    </row>
    <row r="141" ht="15.75" customHeight="1" s="35">
      <c r="A141" s="8" t="inlineStr">
        <is>
          <t>2026-03-31_HWRD_at_CRFT</t>
        </is>
      </c>
      <c r="B141" s="8" t="inlineStr">
        <is>
          <t>2026-03-31</t>
        </is>
      </c>
      <c r="C141" s="8" t="inlineStr">
        <is>
          <t>Howard Varsity Lions</t>
        </is>
      </c>
      <c r="D141" s="8" t="inlineStr">
        <is>
          <t>CRFT</t>
        </is>
      </c>
      <c r="E141" s="8" t="inlineStr">
        <is>
          <t>CRFT_E_unattributed</t>
        </is>
      </c>
      <c r="H141" s="8" t="inlineStr">
        <is>
          <t>CRFT 1 error not attributed to individual player(s) in box score. No E line present in CRFT batting notes; CRFT E=1 from Team Totals.</t>
        </is>
      </c>
    </row>
    <row r="142" ht="15.75" customHeight="1" s="35">
      <c r="A142" s="8" t="inlineStr">
        <is>
          <t>2026-03-30_HWRD_at_MRRT</t>
        </is>
      </c>
      <c r="B142" s="8" t="inlineStr">
        <is>
          <t>2026-03-30</t>
        </is>
      </c>
      <c r="C142" s="8" t="inlineStr">
        <is>
          <t>Marriotts Ridge Varsity Mustangs</t>
        </is>
      </c>
      <c r="D142" s="8" t="inlineStr">
        <is>
          <t>HWRD</t>
        </is>
      </c>
      <c r="E142" s="8" t="inlineStr">
        <is>
          <t>D Heim</t>
        </is>
      </c>
      <c r="H142" s="8" t="inlineStr">
        <is>
          <t>HWRD error (1 of 2 attributed to this player) — source: box score E line; inning and play reference not available in Tier 2 source.</t>
        </is>
      </c>
    </row>
    <row r="143" ht="15.75" customHeight="1" s="35">
      <c r="A143" s="8" t="inlineStr">
        <is>
          <t>2026-03-30_HWRD_at_MRRT</t>
        </is>
      </c>
      <c r="B143" s="8" t="inlineStr">
        <is>
          <t>2026-03-30</t>
        </is>
      </c>
      <c r="C143" s="8" t="inlineStr">
        <is>
          <t>Marriotts Ridge Varsity Mustangs</t>
        </is>
      </c>
      <c r="D143" s="8" t="inlineStr">
        <is>
          <t>HWRD</t>
        </is>
      </c>
      <c r="E143" s="8" t="inlineStr">
        <is>
          <t>D Heim</t>
        </is>
      </c>
      <c r="H143" s="8" t="inlineStr">
        <is>
          <t>HWRD error (2 of 2 attributed to this player) — source: box score E line; inning and play reference not available in Tier 2 source.</t>
        </is>
      </c>
    </row>
    <row r="144" ht="15.75" customHeight="1" s="35">
      <c r="A144" s="8" t="inlineStr">
        <is>
          <t>2026-03-30_HWRD_at_MRRT</t>
        </is>
      </c>
      <c r="B144" s="8" t="inlineStr">
        <is>
          <t>2026-03-30</t>
        </is>
      </c>
      <c r="C144" s="8" t="inlineStr">
        <is>
          <t>Marriotts Ridge Varsity Mustangs</t>
        </is>
      </c>
      <c r="D144" s="8" t="inlineStr">
        <is>
          <t>HWRD</t>
        </is>
      </c>
      <c r="E144" s="8" t="inlineStr">
        <is>
          <t>D Alves</t>
        </is>
      </c>
      <c r="H144" s="8" t="inlineStr">
        <is>
          <t>HWRD error (1 of 2 attributed to this player) — source: box score E line; inning and play reference not available in Tier 2 source.</t>
        </is>
      </c>
    </row>
    <row r="145" ht="15.75" customHeight="1" s="35">
      <c r="A145" s="8" t="inlineStr">
        <is>
          <t>2026-03-30_HWRD_at_MRRT</t>
        </is>
      </c>
      <c r="B145" s="8" t="inlineStr">
        <is>
          <t>2026-03-30</t>
        </is>
      </c>
      <c r="C145" s="8" t="inlineStr">
        <is>
          <t>Marriotts Ridge Varsity Mustangs</t>
        </is>
      </c>
      <c r="D145" s="8" t="inlineStr">
        <is>
          <t>HWRD</t>
        </is>
      </c>
      <c r="E145" s="8" t="inlineStr">
        <is>
          <t>D Alves</t>
        </is>
      </c>
      <c r="H145" s="8" t="inlineStr">
        <is>
          <t>HWRD error (2 of 2 attributed to this player) — source: box score E line; inning and play reference not available in Tier 2 source.</t>
        </is>
      </c>
    </row>
    <row r="146" ht="15.75" customHeight="1" s="35">
      <c r="A146" s="8" t="inlineStr">
        <is>
          <t>2026-03-30_HWRD_at_MRRT</t>
        </is>
      </c>
      <c r="B146" s="8" t="inlineStr">
        <is>
          <t>2026-03-30</t>
        </is>
      </c>
      <c r="C146" s="8" t="inlineStr">
        <is>
          <t>Marriotts Ridge Varsity Mustangs</t>
        </is>
      </c>
      <c r="D146" s="8" t="inlineStr">
        <is>
          <t>HWRD</t>
        </is>
      </c>
      <c r="E146" s="8" t="inlineStr">
        <is>
          <t>C Hudson</t>
        </is>
      </c>
      <c r="H146" s="8" t="inlineStr">
        <is>
          <t>HWRD error — source: box score E line; inning and play reference not available in Tier 2 source.</t>
        </is>
      </c>
    </row>
    <row r="147" ht="15.75" customHeight="1" s="35">
      <c r="A147" s="8" t="inlineStr">
        <is>
          <t>2026-03-30_HWRD_at_MRRT</t>
        </is>
      </c>
      <c r="B147" s="8" t="inlineStr">
        <is>
          <t>2026-03-30</t>
        </is>
      </c>
      <c r="C147" s="8" t="inlineStr">
        <is>
          <t>Howard Varsity Lions</t>
        </is>
      </c>
      <c r="D147" s="8" t="inlineStr">
        <is>
          <t>MRRT</t>
        </is>
      </c>
      <c r="E147" s="8" t="inlineStr">
        <is>
          <t>J Yeich</t>
        </is>
      </c>
      <c r="H147" s="8" t="inlineStr">
        <is>
          <t>MRRT error — source: box score E line; inning and play reference not available in Tier 2 source.</t>
        </is>
      </c>
    </row>
    <row r="148" ht="15.75" customHeight="1" s="35">
      <c r="A148" s="8" t="inlineStr">
        <is>
          <t>2026-03-30_HWRD_at_MRRT</t>
        </is>
      </c>
      <c r="B148" s="8" t="inlineStr">
        <is>
          <t>2026-03-30</t>
        </is>
      </c>
      <c r="C148" s="8" t="inlineStr">
        <is>
          <t>Howard Varsity Lions</t>
        </is>
      </c>
      <c r="D148" s="8" t="inlineStr">
        <is>
          <t>MRRT</t>
        </is>
      </c>
      <c r="E148" s="8" t="inlineStr">
        <is>
          <t>O Snow</t>
        </is>
      </c>
      <c r="H148" s="8" t="inlineStr">
        <is>
          <t>MRRT error — source: box score E line; inning and play reference not available in Tier 2 source.</t>
        </is>
      </c>
    </row>
    <row r="149" ht="15.75" customHeight="1" s="35">
      <c r="A149" s="8" t="inlineStr">
        <is>
          <t>2026-03-23_CPPN_at_PLYV</t>
        </is>
      </c>
      <c r="B149" s="8" t="inlineStr">
        <is>
          <t>2026-03-23</t>
        </is>
      </c>
      <c r="C149" s="8" t="inlineStr">
        <is>
          <t>Poly Varsity Engineers 2026</t>
        </is>
      </c>
      <c r="D149" s="8" t="inlineStr">
        <is>
          <t>CPPN</t>
        </is>
      </c>
      <c r="E149" s="8" t="inlineStr">
        <is>
          <t>A Sterrette</t>
        </is>
      </c>
      <c r="H149" s="8" t="inlineStr">
        <is>
          <t>CPPN error — source: box score E line; inning and play reference not available in Tier 2 source.</t>
        </is>
      </c>
    </row>
    <row r="150" ht="15.75" customHeight="1" s="35">
      <c r="A150" s="8" t="inlineStr">
        <is>
          <t>2026-03-23_CPPN_at_PLYV</t>
        </is>
      </c>
      <c r="B150" s="8" t="inlineStr">
        <is>
          <t>2026-03-23</t>
        </is>
      </c>
      <c r="C150" s="8" t="inlineStr">
        <is>
          <t>Poly Varsity Engineers 2026</t>
        </is>
      </c>
      <c r="D150" s="8" t="inlineStr">
        <is>
          <t>CPPN</t>
        </is>
      </c>
      <c r="E150" s="8" t="inlineStr">
        <is>
          <t>J Hardy</t>
        </is>
      </c>
      <c r="H150" s="8" t="inlineStr">
        <is>
          <t>CPPN error — source: box score E line; inning and play reference not available in Tier 2 source.</t>
        </is>
      </c>
    </row>
    <row r="151" ht="15.75" customHeight="1" s="35">
      <c r="A151" s="8" t="inlineStr">
        <is>
          <t>2026-03-23_CPPN_at_PLYV</t>
        </is>
      </c>
      <c r="B151" s="8" t="inlineStr">
        <is>
          <t>2026-03-23</t>
        </is>
      </c>
      <c r="C151" s="8" t="inlineStr">
        <is>
          <t>Poly Varsity Engineers 2026</t>
        </is>
      </c>
      <c r="D151" s="8" t="inlineStr">
        <is>
          <t>CPPN</t>
        </is>
      </c>
      <c r="E151" s="8" t="inlineStr">
        <is>
          <t>K Diggs</t>
        </is>
      </c>
      <c r="H151" s="8" t="inlineStr">
        <is>
          <t>CPPN error — source: box score E line; inning and play reference not available in Tier 2 source.</t>
        </is>
      </c>
    </row>
    <row r="152" ht="15.75" customHeight="1" s="35">
      <c r="A152" s="8" t="inlineStr">
        <is>
          <t>2026-03-23_CPPN_at_PLYV</t>
        </is>
      </c>
      <c r="B152" s="8" t="inlineStr">
        <is>
          <t>2026-03-23</t>
        </is>
      </c>
      <c r="C152" s="8" t="inlineStr">
        <is>
          <t>Coppin Academy</t>
        </is>
      </c>
      <c r="D152" s="8" t="inlineStr">
        <is>
          <t>PLYV</t>
        </is>
      </c>
      <c r="E152" s="8" t="inlineStr">
        <is>
          <t>Ikram Khan</t>
        </is>
      </c>
      <c r="H152" s="8" t="inlineStr">
        <is>
          <t>PLYV error — source: box score E line; inning and play reference not available in Tier 2 source.</t>
        </is>
      </c>
    </row>
    <row r="153" ht="15.75" customHeight="1" s="35">
      <c r="A153" s="8" t="inlineStr">
        <is>
          <t>2026-03-25_DGLS_at_PLYV</t>
        </is>
      </c>
      <c r="B153" s="8" t="inlineStr">
        <is>
          <t>2026-03-25</t>
        </is>
      </c>
      <c r="C153" s="8" t="inlineStr">
        <is>
          <t>Poly Varsity Engineers 2026</t>
        </is>
      </c>
      <c r="D153" s="8" t="inlineStr">
        <is>
          <t>DGLS</t>
        </is>
      </c>
      <c r="E153" s="8" t="inlineStr">
        <is>
          <t>Isaac Montufar Reyes</t>
        </is>
      </c>
      <c r="H153" s="8" t="inlineStr">
        <is>
          <t>DGLS error — source: box score E line; inning and play reference not available in Tier 2 source.</t>
        </is>
      </c>
    </row>
    <row r="154" ht="15.75" customHeight="1" s="35">
      <c r="A154" s="8" t="inlineStr">
        <is>
          <t>2026-03-25_DGLS_at_PLYV</t>
        </is>
      </c>
      <c r="B154" s="8" t="inlineStr">
        <is>
          <t>2026-03-25</t>
        </is>
      </c>
      <c r="C154" s="8" t="inlineStr">
        <is>
          <t>Poly Varsity Engineers 2026</t>
        </is>
      </c>
      <c r="D154" s="8" t="inlineStr">
        <is>
          <t>DGLS</t>
        </is>
      </c>
      <c r="E154" s="8" t="inlineStr">
        <is>
          <t>leonard jones</t>
        </is>
      </c>
      <c r="H154" s="8" t="inlineStr">
        <is>
          <t>DGLS error — source: box score E line; inning and play reference not available in Tier 2 source.</t>
        </is>
      </c>
    </row>
    <row r="155" ht="15.75" customHeight="1" s="35">
      <c r="A155" s="8" t="inlineStr">
        <is>
          <t>2026-03-25_DGLS_at_PLYV</t>
        </is>
      </c>
      <c r="B155" s="8" t="inlineStr">
        <is>
          <t>2026-03-25</t>
        </is>
      </c>
      <c r="C155" s="8" t="inlineStr">
        <is>
          <t>Poly Varsity Engineers 2026</t>
        </is>
      </c>
      <c r="D155" s="8" t="inlineStr">
        <is>
          <t>DGLS</t>
        </is>
      </c>
      <c r="E155" s="8" t="inlineStr">
        <is>
          <t>DGLS_E_unattributed</t>
        </is>
      </c>
      <c r="H155" s="8" t="inlineStr">
        <is>
          <t>DGLS 1 error not attributed to individual player(s) in box score. E line names 2 players (Isaac Montufar Reyes, leonard jones) vs. TEAM E=3.</t>
        </is>
      </c>
    </row>
    <row r="156" ht="15.75" customHeight="1" s="35">
      <c r="A156" s="8" t="inlineStr">
        <is>
          <t>2026-03-27_FRST_at_PLYV</t>
        </is>
      </c>
      <c r="B156" s="8" t="inlineStr">
        <is>
          <t>2026-03-27</t>
        </is>
      </c>
      <c r="C156" s="8" t="inlineStr">
        <is>
          <t>Poly Varsity Engineers 2026</t>
        </is>
      </c>
      <c r="D156" s="8" t="inlineStr">
        <is>
          <t>FRST</t>
        </is>
      </c>
      <c r="E156" s="8" t="inlineStr">
        <is>
          <t>Riddick</t>
        </is>
      </c>
      <c r="H156" s="8" t="inlineStr">
        <is>
          <t>FRST error (1 of 3 attributed to this player) — source: box score E line; inning and play reference not available in Tier 2 source.</t>
        </is>
      </c>
    </row>
    <row r="157" ht="15.75" customHeight="1" s="35">
      <c r="A157" s="8" t="inlineStr">
        <is>
          <t>2026-03-27_FRST_at_PLYV</t>
        </is>
      </c>
      <c r="B157" s="8" t="inlineStr">
        <is>
          <t>2026-03-27</t>
        </is>
      </c>
      <c r="C157" s="8" t="inlineStr">
        <is>
          <t>Poly Varsity Engineers 2026</t>
        </is>
      </c>
      <c r="D157" s="8" t="inlineStr">
        <is>
          <t>FRST</t>
        </is>
      </c>
      <c r="E157" s="8" t="inlineStr">
        <is>
          <t>Riddick</t>
        </is>
      </c>
      <c r="H157" s="8" t="inlineStr">
        <is>
          <t>FRST error (2 of 3 attributed to this player) — source: box score E line; inning and play reference not available in Tier 2 source.</t>
        </is>
      </c>
    </row>
    <row r="158" ht="15.75" customHeight="1" s="35">
      <c r="A158" s="8" t="inlineStr">
        <is>
          <t>2026-03-27_FRST_at_PLYV</t>
        </is>
      </c>
      <c r="B158" s="8" t="inlineStr">
        <is>
          <t>2026-03-27</t>
        </is>
      </c>
      <c r="C158" s="8" t="inlineStr">
        <is>
          <t>Poly Varsity Engineers 2026</t>
        </is>
      </c>
      <c r="D158" s="8" t="inlineStr">
        <is>
          <t>FRST</t>
        </is>
      </c>
      <c r="E158" s="8" t="inlineStr">
        <is>
          <t>Riddick</t>
        </is>
      </c>
      <c r="H158" s="8" t="inlineStr">
        <is>
          <t>FRST error (3 of 3 attributed to this player) — source: box score E line; inning and play reference not available in Tier 2 source.</t>
        </is>
      </c>
    </row>
    <row r="159" ht="15.75" customHeight="1" s="35">
      <c r="A159" s="8" t="inlineStr">
        <is>
          <t>2026-03-27_FRST_at_PLYV</t>
        </is>
      </c>
      <c r="B159" s="8" t="inlineStr">
        <is>
          <t>2026-03-27</t>
        </is>
      </c>
      <c r="C159" s="8" t="inlineStr">
        <is>
          <t>Poly Varsity Engineers 2026</t>
        </is>
      </c>
      <c r="D159" s="8" t="inlineStr">
        <is>
          <t>FRST</t>
        </is>
      </c>
      <c r="E159" s="8" t="inlineStr">
        <is>
          <t>Bostic</t>
        </is>
      </c>
      <c r="H159" s="8" t="inlineStr">
        <is>
          <t>FRST error (1 of 2 attributed to this player) — source: box score E line; inning and play reference not available in Tier 2 source.</t>
        </is>
      </c>
    </row>
    <row r="160" ht="15.75" customHeight="1" s="35">
      <c r="A160" s="8" t="inlineStr">
        <is>
          <t>2026-03-27_FRST_at_PLYV</t>
        </is>
      </c>
      <c r="B160" s="8" t="inlineStr">
        <is>
          <t>2026-03-27</t>
        </is>
      </c>
      <c r="C160" s="8" t="inlineStr">
        <is>
          <t>Poly Varsity Engineers 2026</t>
        </is>
      </c>
      <c r="D160" s="8" t="inlineStr">
        <is>
          <t>FRST</t>
        </is>
      </c>
      <c r="E160" s="8" t="inlineStr">
        <is>
          <t>Bostic</t>
        </is>
      </c>
      <c r="H160" s="8" t="inlineStr">
        <is>
          <t>FRST error (2 of 2 attributed to this player) — source: box score E line; inning and play reference not available in Tier 2 source.</t>
        </is>
      </c>
    </row>
    <row r="161" ht="15.75" customHeight="1" s="35">
      <c r="A161" s="8" t="inlineStr">
        <is>
          <t>2026-03-27_FRST_at_PLYV</t>
        </is>
      </c>
      <c r="B161" s="8" t="inlineStr">
        <is>
          <t>2026-03-27</t>
        </is>
      </c>
      <c r="C161" s="8" t="inlineStr">
        <is>
          <t>Poly Varsity Engineers 2026</t>
        </is>
      </c>
      <c r="D161" s="8" t="inlineStr">
        <is>
          <t>FRST</t>
        </is>
      </c>
      <c r="E161" s="8" t="inlineStr">
        <is>
          <t>Laboo</t>
        </is>
      </c>
      <c r="H161" s="8" t="inlineStr">
        <is>
          <t>FRST error (1 of 2 attributed to this player) — source: box score E line; inning and play reference not available in Tier 2 source.</t>
        </is>
      </c>
    </row>
    <row r="162" ht="15.75" customHeight="1" s="35">
      <c r="A162" s="8" t="inlineStr">
        <is>
          <t>2026-03-27_FRST_at_PLYV</t>
        </is>
      </c>
      <c r="B162" s="8" t="inlineStr">
        <is>
          <t>2026-03-27</t>
        </is>
      </c>
      <c r="C162" s="8" t="inlineStr">
        <is>
          <t>Poly Varsity Engineers 2026</t>
        </is>
      </c>
      <c r="D162" s="8" t="inlineStr">
        <is>
          <t>FRST</t>
        </is>
      </c>
      <c r="E162" s="8" t="inlineStr">
        <is>
          <t>Laboo</t>
        </is>
      </c>
      <c r="H162" s="8" t="inlineStr">
        <is>
          <t>FRST error (2 of 2 attributed to this player) — source: box score E line; inning and play reference not available in Tier 2 source.</t>
        </is>
      </c>
    </row>
    <row r="163" ht="15.75" customHeight="1" s="35">
      <c r="A163" s="8" t="inlineStr">
        <is>
          <t>2026-03-27_FRST_at_PLYV</t>
        </is>
      </c>
      <c r="B163" s="8" t="inlineStr">
        <is>
          <t>2026-03-27</t>
        </is>
      </c>
      <c r="C163" s="8" t="inlineStr">
        <is>
          <t>Poly Varsity Engineers 2026</t>
        </is>
      </c>
      <c r="D163" s="8" t="inlineStr">
        <is>
          <t>FRST</t>
        </is>
      </c>
      <c r="E163" s="8" t="inlineStr">
        <is>
          <t>Jones</t>
        </is>
      </c>
      <c r="H163" s="8" t="inlineStr">
        <is>
          <t>FRST error — source: box score E line; inning and play reference not available in Tier 2 source.</t>
        </is>
      </c>
    </row>
    <row r="164" ht="15.75" customHeight="1" s="35">
      <c r="A164" s="8" t="inlineStr">
        <is>
          <t>2026-03-27_FRST_at_PLYV</t>
        </is>
      </c>
      <c r="B164" s="8" t="inlineStr">
        <is>
          <t>2026-03-27</t>
        </is>
      </c>
      <c r="C164" s="8" t="inlineStr">
        <is>
          <t>Poly Varsity Engineers 2026</t>
        </is>
      </c>
      <c r="D164" s="8" t="inlineStr">
        <is>
          <t>FRST</t>
        </is>
      </c>
      <c r="E164" s="8" t="inlineStr">
        <is>
          <t>Moore</t>
        </is>
      </c>
      <c r="H164" s="8" t="inlineStr">
        <is>
          <t>FRST error — source: box score E line; inning and play reference not available in Tier 2 source.</t>
        </is>
      </c>
    </row>
    <row r="165" ht="15.75" customHeight="1" s="35">
      <c r="A165" s="8" t="inlineStr">
        <is>
          <t>2026-03-27_FRST_at_PLYV</t>
        </is>
      </c>
      <c r="B165" s="8" t="inlineStr">
        <is>
          <t>2026-03-27</t>
        </is>
      </c>
      <c r="C165" s="8" t="inlineStr">
        <is>
          <t>Poly Varsity Engineers 2026</t>
        </is>
      </c>
      <c r="D165" s="8" t="inlineStr">
        <is>
          <t>FRST</t>
        </is>
      </c>
      <c r="E165" s="8" t="inlineStr">
        <is>
          <t>FRST_E_unattributed</t>
        </is>
      </c>
      <c r="H165" s="8" t="inlineStr">
        <is>
          <t>FRST 1 error not attributed to individual player(s) in box score. E line names 5 players totaling 9 errors vs. TEAM E=10.</t>
        </is>
      </c>
    </row>
    <row r="166" ht="15.75" customHeight="1" s="35">
      <c r="A166" s="8" t="inlineStr">
        <is>
          <t>2026-04-04_PLYV_at_ESTR</t>
        </is>
      </c>
      <c r="B166" s="8" t="inlineStr">
        <is>
          <t>2026-04-04</t>
        </is>
      </c>
      <c r="C166" s="8" t="inlineStr">
        <is>
          <t>Poly Varsity Engineers 2026</t>
        </is>
      </c>
      <c r="D166" s="8" t="inlineStr">
        <is>
          <t>ESTR</t>
        </is>
      </c>
      <c r="E166" s="8" t="inlineStr">
        <is>
          <t>Landry Evans</t>
        </is>
      </c>
      <c r="H166" s="8" t="inlineStr">
        <is>
          <t>ESTR error (1 of 2 attributed to this player) — source: box score E line; inning and play reference not available in Tier 2 source.</t>
        </is>
      </c>
    </row>
    <row r="167" ht="15.75" customHeight="1" s="35">
      <c r="A167" s="8" t="inlineStr">
        <is>
          <t>2026-04-04_PLYV_at_ESTR</t>
        </is>
      </c>
      <c r="B167" s="8" t="inlineStr">
        <is>
          <t>2026-04-04</t>
        </is>
      </c>
      <c r="C167" s="8" t="inlineStr">
        <is>
          <t>Poly Varsity Engineers 2026</t>
        </is>
      </c>
      <c r="D167" s="8" t="inlineStr">
        <is>
          <t>ESTR</t>
        </is>
      </c>
      <c r="E167" s="8" t="inlineStr">
        <is>
          <t>Landry Evans</t>
        </is>
      </c>
      <c r="H167" s="8" t="inlineStr">
        <is>
          <t>ESTR error (2 of 2 attributed to this player) — source: box score E line; inning and play reference not available in Tier 2 source.</t>
        </is>
      </c>
    </row>
    <row r="168" ht="15.75" customHeight="1" s="35">
      <c r="A168" s="8" t="inlineStr">
        <is>
          <t>2026-04-04_PLYV_at_ESTR</t>
        </is>
      </c>
      <c r="B168" s="8" t="inlineStr">
        <is>
          <t>2026-04-04</t>
        </is>
      </c>
      <c r="C168" s="8" t="inlineStr">
        <is>
          <t>Poly Varsity Engineers 2026</t>
        </is>
      </c>
      <c r="D168" s="8" t="inlineStr">
        <is>
          <t>ESTR</t>
        </is>
      </c>
      <c r="E168" s="8" t="inlineStr">
        <is>
          <t>Nate Noyes</t>
        </is>
      </c>
      <c r="H168" s="8" t="inlineStr">
        <is>
          <t>ESTR error — source: box score E line; inning and play reference not available in Tier 2 source.</t>
        </is>
      </c>
    </row>
    <row r="169" ht="15.75" customHeight="1" s="35">
      <c r="A169" s="8" t="inlineStr">
        <is>
          <t>2026-04-04_PLYV_at_ESTR</t>
        </is>
      </c>
      <c r="B169" s="8" t="inlineStr">
        <is>
          <t>2026-04-04</t>
        </is>
      </c>
      <c r="C169" s="8" t="inlineStr">
        <is>
          <t>Eastern Tech Varsity Mavericks</t>
        </is>
      </c>
      <c r="D169" s="8" t="inlineStr">
        <is>
          <t>PLYV</t>
        </is>
      </c>
      <c r="E169" s="8" t="inlineStr">
        <is>
          <t>Ikram Khan</t>
        </is>
      </c>
      <c r="H169" s="8" t="inlineStr">
        <is>
          <t>PLYV error — source: box score E line; inning and play reference not available in Tier 2 source.</t>
        </is>
      </c>
    </row>
    <row r="170" ht="15.75" customHeight="1" s="35">
      <c r="A170" s="8" t="inlineStr">
        <is>
          <t>2026-04-04_PLYV_at_ESTR</t>
        </is>
      </c>
      <c r="B170" s="8" t="inlineStr">
        <is>
          <t>2026-04-04</t>
        </is>
      </c>
      <c r="C170" s="8" t="inlineStr">
        <is>
          <t>Eastern Tech Varsity Mavericks</t>
        </is>
      </c>
      <c r="D170" s="8" t="inlineStr">
        <is>
          <t>PLYV</t>
        </is>
      </c>
      <c r="E170" s="8" t="inlineStr">
        <is>
          <t>Jakeem Mcbride</t>
        </is>
      </c>
      <c r="H170" s="8" t="inlineStr">
        <is>
          <t>PLYV error — source: box score E line; inning and play reference not available in Tier 2 source.</t>
        </is>
      </c>
    </row>
    <row r="171" ht="15.75" customHeight="1" s="35">
      <c r="A171" s="8" t="inlineStr">
        <is>
          <t>2026-04-04_PLYV_at_ESTR</t>
        </is>
      </c>
      <c r="B171" s="8" t="inlineStr">
        <is>
          <t>2026-04-04</t>
        </is>
      </c>
      <c r="C171" s="8" t="inlineStr">
        <is>
          <t>Eastern Tech Varsity Mavericks</t>
        </is>
      </c>
      <c r="D171" s="8" t="inlineStr">
        <is>
          <t>PLYV</t>
        </is>
      </c>
      <c r="E171" s="8" t="inlineStr">
        <is>
          <t>Kingston Antonio</t>
        </is>
      </c>
      <c r="H171" s="8" t="inlineStr">
        <is>
          <t>PLYV error — source: box score E line; inning and play reference not available in Tier 2 source.</t>
        </is>
      </c>
    </row>
    <row r="172" ht="15.75" customHeight="1" s="35">
      <c r="A172" s="8" t="inlineStr">
        <is>
          <t>2026-04-04_PRKS_at_PLYV</t>
        </is>
      </c>
      <c r="B172" s="8" t="inlineStr">
        <is>
          <t>2026-04-04</t>
        </is>
      </c>
      <c r="C172" s="8" t="inlineStr">
        <is>
          <t>Park School Varsity Bruins</t>
        </is>
      </c>
      <c r="D172" s="8" t="inlineStr">
        <is>
          <t>PLYV</t>
        </is>
      </c>
      <c r="E172" s="8" t="inlineStr">
        <is>
          <t>Ashton Hill</t>
        </is>
      </c>
      <c r="H172" s="8" t="inlineStr">
        <is>
          <t>PLYV error — source: box score E line; inning and play reference not available in Tier 2 source.</t>
        </is>
      </c>
    </row>
    <row r="173" ht="15.75" customHeight="1" s="35">
      <c r="A173" s="8" t="inlineStr">
        <is>
          <t>2026-04-04_PRKS_at_PLYV</t>
        </is>
      </c>
      <c r="B173" s="8" t="inlineStr">
        <is>
          <t>2026-04-04</t>
        </is>
      </c>
      <c r="C173" s="8" t="inlineStr">
        <is>
          <t>Park School Varsity Bruins</t>
        </is>
      </c>
      <c r="D173" s="8" t="inlineStr">
        <is>
          <t>PLYV</t>
        </is>
      </c>
      <c r="E173" s="8" t="inlineStr">
        <is>
          <t>Ikram Khan</t>
        </is>
      </c>
      <c r="H173" s="8" t="inlineStr">
        <is>
          <t>PLYV error — source: box score E line; inning and play reference not available in Tier 2 source.</t>
        </is>
      </c>
    </row>
    <row r="174" ht="15.75" customHeight="1" s="35">
      <c r="A174" s="8" t="inlineStr">
        <is>
          <t>2026-04-04_PRKS_at_PLYV</t>
        </is>
      </c>
      <c r="B174" s="8" t="inlineStr">
        <is>
          <t>2026-04-04</t>
        </is>
      </c>
      <c r="C174" s="8" t="inlineStr">
        <is>
          <t>Park School Varsity Bruins</t>
        </is>
      </c>
      <c r="D174" s="8" t="inlineStr">
        <is>
          <t>PLYV</t>
        </is>
      </c>
      <c r="E174" s="8" t="inlineStr">
        <is>
          <t>Kaden Wooden</t>
        </is>
      </c>
      <c r="H174" s="8" t="inlineStr">
        <is>
          <t>PLYV error — source: box score E line; inning and play reference not available in Tier 2 source.</t>
        </is>
      </c>
    </row>
    <row r="175" ht="15.75" customHeight="1" s="35">
      <c r="A175" s="8" t="inlineStr">
        <is>
          <t>2026-04-04_PRKS_at_PLYV</t>
        </is>
      </c>
      <c r="B175" s="8" t="inlineStr">
        <is>
          <t>2026-04-04</t>
        </is>
      </c>
      <c r="C175" s="8" t="inlineStr">
        <is>
          <t>Poly Varsity Engineers 2026</t>
        </is>
      </c>
      <c r="D175" s="8" t="inlineStr">
        <is>
          <t>PRKS</t>
        </is>
      </c>
      <c r="E175" s="8" t="inlineStr">
        <is>
          <t>Luca Jordan</t>
        </is>
      </c>
      <c r="H175" s="8" t="inlineStr">
        <is>
          <t>PRKS error (1 of 3 attributed to this player) — source: box score E line; inning and play reference not available in Tier 2 source.</t>
        </is>
      </c>
    </row>
    <row r="176" ht="15.75" customHeight="1" s="35">
      <c r="A176" s="8" t="inlineStr">
        <is>
          <t>2026-04-04_PRKS_at_PLYV</t>
        </is>
      </c>
      <c r="B176" s="8" t="inlineStr">
        <is>
          <t>2026-04-04</t>
        </is>
      </c>
      <c r="C176" s="8" t="inlineStr">
        <is>
          <t>Poly Varsity Engineers 2026</t>
        </is>
      </c>
      <c r="D176" s="8" t="inlineStr">
        <is>
          <t>PRKS</t>
        </is>
      </c>
      <c r="E176" s="8" t="inlineStr">
        <is>
          <t>Luca Jordan</t>
        </is>
      </c>
      <c r="H176" s="8" t="inlineStr">
        <is>
          <t>PRKS error (2 of 3 attributed to this player) — source: box score E line; inning and play reference not available in Tier 2 source.</t>
        </is>
      </c>
    </row>
    <row r="177" ht="15.75" customHeight="1" s="35">
      <c r="A177" s="8" t="inlineStr">
        <is>
          <t>2026-04-04_PRKS_at_PLYV</t>
        </is>
      </c>
      <c r="B177" s="8" t="inlineStr">
        <is>
          <t>2026-04-04</t>
        </is>
      </c>
      <c r="C177" s="8" t="inlineStr">
        <is>
          <t>Poly Varsity Engineers 2026</t>
        </is>
      </c>
      <c r="D177" s="8" t="inlineStr">
        <is>
          <t>PRKS</t>
        </is>
      </c>
      <c r="E177" s="8" t="inlineStr">
        <is>
          <t>Luca Jordan</t>
        </is>
      </c>
      <c r="H177" s="8" t="inlineStr">
        <is>
          <t>PRKS error (3 of 3 attributed to this player) — source: box score E line; inning and play reference not available in Tier 2 source.</t>
        </is>
      </c>
    </row>
    <row r="178" ht="15.75" customHeight="1" s="35">
      <c r="A178" s="8" t="inlineStr">
        <is>
          <t>2026-04-04_PRKS_at_PLYV</t>
        </is>
      </c>
      <c r="B178" s="8" t="inlineStr">
        <is>
          <t>2026-04-04</t>
        </is>
      </c>
      <c r="C178" s="8" t="inlineStr">
        <is>
          <t>Poly Varsity Engineers 2026</t>
        </is>
      </c>
      <c r="D178" s="8" t="inlineStr">
        <is>
          <t>PRKS</t>
        </is>
      </c>
      <c r="E178" s="8" t="inlineStr">
        <is>
          <t>Dylan Katz</t>
        </is>
      </c>
      <c r="H178" s="8" t="inlineStr">
        <is>
          <t>PRKS error — source: box score E line; inning and play reference not available in Tier 2 source.</t>
        </is>
      </c>
    </row>
    <row r="179" ht="15.75" customHeight="1" s="35">
      <c r="A179" s="8" t="inlineStr">
        <is>
          <t>2026-03-14_CNTN_at_WSTM</t>
        </is>
      </c>
      <c r="B179" s="8" t="inlineStr">
        <is>
          <t>2026-03-14</t>
        </is>
      </c>
      <c r="C179" s="8" t="inlineStr">
        <is>
          <t>Westminster Varsity Owls</t>
        </is>
      </c>
      <c r="D179" s="8" t="inlineStr">
        <is>
          <t>CNTN</t>
        </is>
      </c>
      <c r="E179" s="8" t="inlineStr">
        <is>
          <t>B Harris</t>
        </is>
      </c>
      <c r="F179" s="8" t="n">
        <v>2</v>
      </c>
      <c r="G179" s="8" t="inlineStr">
        <is>
          <t>#14</t>
        </is>
      </c>
      <c r="H179" s="8" t="inlineStr">
        <is>
          <t>CNTN Error #1 — B Barrett scores on error by catcher B Harris (embedded in C Messier AB, B2, play #14 pitch seq). Flag #3 (embedded event).</t>
        </is>
      </c>
    </row>
    <row r="180" ht="15.75" customHeight="1" s="35">
      <c r="A180" s="8" t="inlineStr">
        <is>
          <t>2026-03-14_CNTN_at_WSTM</t>
        </is>
      </c>
      <c r="B180" s="8" t="inlineStr">
        <is>
          <t>2026-03-14</t>
        </is>
      </c>
      <c r="C180" s="8" t="inlineStr">
        <is>
          <t>Westminster Varsity Owls</t>
        </is>
      </c>
      <c r="D180" s="8" t="inlineStr">
        <is>
          <t>CNTN</t>
        </is>
      </c>
      <c r="E180" s="8" t="inlineStr">
        <is>
          <t>C Proescher</t>
        </is>
      </c>
      <c r="F180" s="8" t="n">
        <v>3</v>
      </c>
      <c r="G180" s="8" t="inlineStr">
        <is>
          <t>#21</t>
        </is>
      </c>
      <c r="H180" s="8" t="inlineStr">
        <is>
          <t>CNTN Error #2 — R Winebrunner advances to 3rd on error by pitcher C Proescher (embedded in C Stultz AB, B3, play #21 pitch seq). Same sequence includes balk by C Proescher — R Winebrunner then scores on balk (Flag #4).</t>
        </is>
      </c>
    </row>
    <row r="181" ht="15.75" customHeight="1" s="35">
      <c r="A181" s="8" t="inlineStr">
        <is>
          <t>2026-03-14_CNTN_at_WSTM</t>
        </is>
      </c>
      <c r="B181" s="8" t="inlineStr">
        <is>
          <t>2026-03-14</t>
        </is>
      </c>
      <c r="C181" s="8" t="inlineStr">
        <is>
          <t>Westminster Varsity Owls</t>
        </is>
      </c>
      <c r="D181" s="8" t="inlineStr">
        <is>
          <t>CNTN</t>
        </is>
      </c>
      <c r="E181" s="8" t="inlineStr">
        <is>
          <t>B Corrao</t>
        </is>
      </c>
      <c r="F181" s="8" t="n">
        <v>3</v>
      </c>
      <c r="G181" s="8" t="inlineStr">
        <is>
          <t>#23</t>
        </is>
      </c>
      <c r="H181" s="8" t="inlineStr">
        <is>
          <t>CNTN Error #3 — Paul hits a pop fly and reaches on an error by 2B B Corrao (play #23, B3).</t>
        </is>
      </c>
    </row>
    <row r="182" ht="15.75" customHeight="1" s="35">
      <c r="A182" s="8" t="inlineStr">
        <is>
          <t>2026-03-14_CNTN_at_WSTM</t>
        </is>
      </c>
      <c r="B182" s="8" t="inlineStr">
        <is>
          <t>2026-03-14</t>
        </is>
      </c>
      <c r="C182" s="8" t="inlineStr">
        <is>
          <t>Westminster Varsity Owls</t>
        </is>
      </c>
      <c r="D182" s="8" t="inlineStr">
        <is>
          <t>CNTN</t>
        </is>
      </c>
      <c r="E182" s="8" t="inlineStr">
        <is>
          <t>A Barrett</t>
        </is>
      </c>
      <c r="F182" s="8" t="n">
        <v>4</v>
      </c>
      <c r="G182" s="8" t="inlineStr">
        <is>
          <t>#35</t>
        </is>
      </c>
      <c r="H182" s="8" t="inlineStr">
        <is>
          <t>CNTN Error #4 — C Stultz advances to 3rd on error by pitcher A Barrett (embedded in J Cedeno AB, B4, play #35 pitch seq). C Stultz subsequently scores on WP in same sequence.</t>
        </is>
      </c>
    </row>
    <row r="183" ht="15.75" customHeight="1" s="35">
      <c r="A183" s="8" t="inlineStr">
        <is>
          <t>2026-03-21_CNTN_at_WLDL</t>
        </is>
      </c>
      <c r="B183" s="8" t="inlineStr">
        <is>
          <t>2026-03-21</t>
        </is>
      </c>
      <c r="C183" s="8" t="inlineStr">
        <is>
          <t>Centennial Varsity Eagles</t>
        </is>
      </c>
      <c r="D183" s="8" t="inlineStr">
        <is>
          <t>WLDL</t>
        </is>
      </c>
      <c r="E183" s="8" t="inlineStr">
        <is>
          <t>D Coleman</t>
        </is>
      </c>
      <c r="F183" s="8" t="n">
        <v>1</v>
      </c>
      <c r="G183" s="8" t="inlineStr">
        <is>
          <t>#5</t>
        </is>
      </c>
      <c r="H183" s="8" t="inlineStr">
        <is>
          <t>WLDL Error #1 — B Harris hits pop fly and reaches on error by 2B D Coleman (play #5, T1); A Banks scores on same error; B Harris advances to 2nd and 3rd on same error. Runs scored on error — no RBI for B Harris.</t>
        </is>
      </c>
    </row>
    <row r="184" ht="15.75" customHeight="1" s="35">
      <c r="A184" s="8" t="inlineStr">
        <is>
          <t>2026-03-21_CNTN_at_WLDL</t>
        </is>
      </c>
      <c r="B184" s="8" t="inlineStr">
        <is>
          <t>2026-03-21</t>
        </is>
      </c>
      <c r="C184" s="8" t="inlineStr">
        <is>
          <t>Centennial Varsity Eagles</t>
        </is>
      </c>
      <c r="D184" s="8" t="inlineStr">
        <is>
          <t>WLDL</t>
        </is>
      </c>
      <c r="E184" s="8" t="inlineStr">
        <is>
          <t>D Coleman</t>
        </is>
      </c>
      <c r="F184" s="8" t="n">
        <v>4</v>
      </c>
      <c r="G184" s="8" t="inlineStr">
        <is>
          <t>#28</t>
        </is>
      </c>
      <c r="H184" s="8" t="inlineStr">
        <is>
          <t>WLDL Error #2 — E Ortiz hits pop fly and reaches on error by 2B D Coleman (play #28, T4).</t>
        </is>
      </c>
    </row>
    <row r="185" ht="15.75" customHeight="1" s="35">
      <c r="A185" s="8" t="inlineStr">
        <is>
          <t>2026-03-21_CNTN_at_WLDL</t>
        </is>
      </c>
      <c r="B185" s="8" t="inlineStr">
        <is>
          <t>2026-03-21</t>
        </is>
      </c>
      <c r="C185" s="8" t="inlineStr">
        <is>
          <t>Centennial Varsity Eagles</t>
        </is>
      </c>
      <c r="D185" s="8" t="inlineStr">
        <is>
          <t>WLDL</t>
        </is>
      </c>
      <c r="E185" s="8" t="inlineStr">
        <is>
          <t>B Habershon</t>
        </is>
      </c>
      <c r="F185" s="8" t="n">
        <v>5</v>
      </c>
      <c r="G185" s="8" t="inlineStr">
        <is>
          <t>#38</t>
        </is>
      </c>
      <c r="H185" s="8" t="inlineStr">
        <is>
          <t>WLDL Error #3 — B Corrao advances to 2nd and 3rd on error by 1B B Habershon on pickoff throw (embedded in C Stachera AB play #38 pitch seq, T5). B Corrao subsequently scores on C Stachera 1B.</t>
        </is>
      </c>
    </row>
    <row r="186" ht="15.75" customHeight="1" s="35">
      <c r="A186" s="8" t="inlineStr">
        <is>
          <t>2026-03-23_HMMN_at_CNTN</t>
        </is>
      </c>
      <c r="B186" s="8" t="inlineStr">
        <is>
          <t>2026-03-23</t>
        </is>
      </c>
      <c r="C186" s="8" t="inlineStr">
        <is>
          <t>Hammond Varsity Bears</t>
        </is>
      </c>
      <c r="D186" s="8" t="inlineStr">
        <is>
          <t>CNTN</t>
        </is>
      </c>
      <c r="E186" s="8" t="inlineStr">
        <is>
          <t>B Harris</t>
        </is>
      </c>
      <c r="F186" s="8" t="n">
        <v>5</v>
      </c>
      <c r="G186" s="8" t="inlineStr">
        <is>
          <t>#39</t>
        </is>
      </c>
      <c r="H186" s="8" t="inlineStr">
        <is>
          <t>CNTN Error #1 — Y Rivera advances from 2nd to 3rd on error by catcher B Harris (embedded in J Willis AB pitch seq, T5, play #39). Immediately preceded by Y Rivera SB of 2nd in same sequence.</t>
        </is>
      </c>
    </row>
    <row r="187" ht="15.75" customHeight="1" s="35">
      <c r="A187" s="8" t="inlineStr">
        <is>
          <t>2026-03-23_HMMN_at_CNTN</t>
        </is>
      </c>
      <c r="B187" s="8" t="inlineStr">
        <is>
          <t>2026-03-23</t>
        </is>
      </c>
      <c r="C187" s="8" t="inlineStr">
        <is>
          <t>Hammond Varsity Bears</t>
        </is>
      </c>
      <c r="D187" s="8" t="inlineStr">
        <is>
          <t>CNTN</t>
        </is>
      </c>
      <c r="E187" s="8" t="inlineStr">
        <is>
          <t>C Bade</t>
        </is>
      </c>
      <c r="F187" s="8" t="n">
        <v>5</v>
      </c>
      <c r="G187" s="8" t="inlineStr">
        <is>
          <t>#39</t>
        </is>
      </c>
      <c r="H187" s="8" t="inlineStr">
        <is>
          <t>CNTN Error #2 — Y Rivera scores on error by center fielder C Bade (embedded in J Willis AB pitch seq, T5, play #39). Y Rivera advances from 3rd and scores; run charged to C Proescher (active pitcher).</t>
        </is>
      </c>
    </row>
    <row r="188" ht="15.75" customHeight="1" s="35">
      <c r="A188" s="8" t="inlineStr">
        <is>
          <t>2026-03-23_HMMN_at_CNTN</t>
        </is>
      </c>
      <c r="B188" s="8" t="inlineStr">
        <is>
          <t>2026-03-23</t>
        </is>
      </c>
      <c r="C188" s="8" t="inlineStr">
        <is>
          <t>Hammond Varsity Bears</t>
        </is>
      </c>
      <c r="D188" s="8" t="inlineStr">
        <is>
          <t>CNTN</t>
        </is>
      </c>
      <c r="E188" s="8" t="inlineStr">
        <is>
          <t>B Harris</t>
        </is>
      </c>
      <c r="F188" s="8" t="n">
        <v>7</v>
      </c>
      <c r="G188" s="8" t="inlineStr">
        <is>
          <t>#63</t>
        </is>
      </c>
      <c r="H188" s="8" t="inlineStr">
        <is>
          <t>CNTN Error #3 — T Thomas advances from 1st to 2nd on error by catcher B Harris after reaching on dropped 3rd strike (play #63, T7). Note: T Thomas reaches on PB (play description); Error #3 is the separate advancement on the wild throw. T Thomas does not score.</t>
        </is>
      </c>
    </row>
    <row r="189" ht="15.75" customHeight="1" s="35">
      <c r="A189" s="8" t="inlineStr">
        <is>
          <t>2026-03-26_MRRT_at_CNTN</t>
        </is>
      </c>
      <c r="B189" s="8" t="inlineStr">
        <is>
          <t>2026-03-26</t>
        </is>
      </c>
      <c r="C189" s="8" t="inlineStr">
        <is>
          <t>Centennial Varsity Eagles</t>
        </is>
      </c>
      <c r="D189" s="8" t="inlineStr">
        <is>
          <t>MRRT</t>
        </is>
      </c>
      <c r="E189" s="8" t="inlineStr">
        <is>
          <t>M Delmonte</t>
        </is>
      </c>
      <c r="F189" s="8" t="n">
        <v>1</v>
      </c>
      <c r="G189" s="8" t="n">
        <v>9</v>
      </c>
      <c r="H189" s="8" t="inlineStr">
        <is>
          <t>MRRT Error #1 — M Delmonte (LF) error on B Harris single (play #9, B1). A Banks advances to 3rd; B Harris advances to 2nd; C Bade scores (run on error — no RBI for B Harris per error rule). MRRT E=1 per Section 2 totals.</t>
        </is>
      </c>
    </row>
    <row r="190" ht="15.75" customHeight="1" s="35">
      <c r="A190" s="8" t="inlineStr">
        <is>
          <t>2026-03-26_MRRT_at_CNTN</t>
        </is>
      </c>
      <c r="B190" s="8" t="inlineStr">
        <is>
          <t>2026-03-26</t>
        </is>
      </c>
      <c r="C190" s="8" t="inlineStr">
        <is>
          <t>Marriotts Ridge Varsity Mustangs</t>
        </is>
      </c>
      <c r="D190" s="8" t="inlineStr">
        <is>
          <t>CNTN</t>
        </is>
      </c>
      <c r="E190" s="8" t="inlineStr">
        <is>
          <t>B Johnston</t>
        </is>
      </c>
      <c r="F190" s="8" t="n">
        <v>7</v>
      </c>
      <c r="G190" s="8" t="n">
        <v>60</v>
      </c>
      <c r="H190" s="8" t="inlineStr">
        <is>
          <t>CNTN Error #1 — B Johnston (P) error on pickoff throw embedded in O Snow HBP AB (play #60, T7). A Schwendeman advances to 2nd on error by pitcher B Johnston. CNTN E=1 per Section 2 totals.</t>
        </is>
      </c>
    </row>
    <row r="191" ht="15.75" customHeight="1" s="35">
      <c r="A191" s="8" t="inlineStr">
        <is>
          <t>2026-03-31_CRFT_at_CNTN</t>
        </is>
      </c>
      <c r="B191" s="8" t="inlineStr">
        <is>
          <t>2026-03-31</t>
        </is>
      </c>
      <c r="C191" s="8" t="inlineStr">
        <is>
          <t>Crofton Varsity Cardinals</t>
        </is>
      </c>
      <c r="D191" s="8" t="inlineStr">
        <is>
          <t>CNTN</t>
        </is>
      </c>
      <c r="E191" s="8" t="inlineStr">
        <is>
          <t>L Choe</t>
        </is>
      </c>
      <c r="F191" s="8" t="n">
        <v>5</v>
      </c>
      <c r="G191" s="8" t="n">
        <v>36</v>
      </c>
      <c r="H191" s="8" t="inlineStr">
        <is>
          <t>CNTN Error #1 — 3B L Choe error on M Brown-Mitchell ground ball; M Brown-Mitchell reaches (T5, play #36).</t>
        </is>
      </c>
    </row>
    <row r="192" ht="15.75" customHeight="1" s="35">
      <c r="A192" s="8" t="inlineStr">
        <is>
          <t>2026-03-31_CRFT_at_CNTN</t>
        </is>
      </c>
      <c r="B192" s="8" t="inlineStr">
        <is>
          <t>2026-03-31</t>
        </is>
      </c>
      <c r="C192" s="8" t="inlineStr">
        <is>
          <t>Crofton Varsity Cardinals</t>
        </is>
      </c>
      <c r="D192" s="8" t="inlineStr">
        <is>
          <t>CNTN</t>
        </is>
      </c>
      <c r="E192" s="8" t="inlineStr">
        <is>
          <t>E Rayne</t>
        </is>
      </c>
      <c r="F192" s="8" t="n">
        <v>7</v>
      </c>
      <c r="G192" s="8" t="n">
        <v>55</v>
      </c>
      <c r="H192" s="8" t="inlineStr">
        <is>
          <t>CNTN Error #2 — SS E Rayne error on B White ground ball; B White reaches (T7, play #55).</t>
        </is>
      </c>
    </row>
    <row r="193" ht="15.75" customHeight="1" s="35">
      <c r="A193" s="8" t="inlineStr">
        <is>
          <t>2026-03-31_CRFT_at_CNTN</t>
        </is>
      </c>
      <c r="B193" s="8" t="inlineStr">
        <is>
          <t>2026-03-31</t>
        </is>
      </c>
      <c r="C193" s="8" t="inlineStr">
        <is>
          <t>Crofton Varsity Cardinals</t>
        </is>
      </c>
      <c r="D193" s="8" t="inlineStr">
        <is>
          <t>CNTN</t>
        </is>
      </c>
      <c r="E193" s="8" t="inlineStr">
        <is>
          <t>C Stachera</t>
        </is>
      </c>
      <c r="F193" s="8" t="n">
        <v>7</v>
      </c>
      <c r="G193" s="8" t="n">
        <v>56</v>
      </c>
      <c r="H193" s="8" t="inlineStr">
        <is>
          <t>CNTN Error #3 — 1B C Stachera error on J Gifford pop fly; J Gifford reaches, B White advances to 2nd (T7, play #56).</t>
        </is>
      </c>
    </row>
    <row r="194" ht="15.75" customHeight="1" s="35">
      <c r="A194" s="8" t="inlineStr">
        <is>
          <t>2026-03-31_CRFT_at_CNTN</t>
        </is>
      </c>
      <c r="B194" s="8" t="inlineStr">
        <is>
          <t>2026-03-31</t>
        </is>
      </c>
      <c r="C194" s="8" t="inlineStr">
        <is>
          <t>Crofton Varsity Cardinals</t>
        </is>
      </c>
      <c r="D194" s="8" t="inlineStr">
        <is>
          <t>CNTN</t>
        </is>
      </c>
      <c r="E194" s="8" t="inlineStr">
        <is>
          <t>E Rayne</t>
        </is>
      </c>
      <c r="F194" s="8" t="n">
        <v>7</v>
      </c>
      <c r="G194" s="8" t="n">
        <v>58</v>
      </c>
      <c r="H194" s="8" t="inlineStr">
        <is>
          <t>CNTN Error #4 — SS E Rayne error on K Willis ground ball; K Willis reaches, N Kehs scores, J Gifford scores (T7, play #58).</t>
        </is>
      </c>
    </row>
    <row r="195" ht="15.75" customHeight="1" s="35">
      <c r="A195" s="8" t="inlineStr">
        <is>
          <t>2026-03-31_CRFT_at_CNTN</t>
        </is>
      </c>
      <c r="B195" s="8" t="inlineStr">
        <is>
          <t>2026-03-31</t>
        </is>
      </c>
      <c r="C195" s="8" t="inlineStr">
        <is>
          <t>Crofton Varsity Cardinals</t>
        </is>
      </c>
      <c r="D195" s="8" t="inlineStr">
        <is>
          <t>CNTN</t>
        </is>
      </c>
      <c r="E195" s="8" t="inlineStr">
        <is>
          <t>A Barrett</t>
        </is>
      </c>
      <c r="F195" s="8" t="n">
        <v>7</v>
      </c>
      <c r="G195" s="8" t="n">
        <v>60</v>
      </c>
      <c r="H195" s="8" t="inlineStr">
        <is>
          <t>CNTN Error #5 — P A Barrett error (embedded in G Gallow AB play #60, T7); X Bejar advances to 2nd on error by pitcher A Barrett.</t>
        </is>
      </c>
    </row>
    <row r="196" ht="15.75" customHeight="1" s="35">
      <c r="A196" s="8" t="inlineStr">
        <is>
          <t>2026-03-31_CNTN_at_WLTR</t>
        </is>
      </c>
      <c r="B196" s="8" t="inlineStr">
        <is>
          <t>2026-03-31</t>
        </is>
      </c>
      <c r="C196" s="8" t="inlineStr">
        <is>
          <t>Walter Johnson Varsity Wildcats</t>
        </is>
      </c>
      <c r="D196" s="8" t="inlineStr">
        <is>
          <t>CNTN</t>
        </is>
      </c>
      <c r="E196" s="8" t="inlineStr">
        <is>
          <t>C Stachera</t>
        </is>
      </c>
      <c r="F196" s="8" t="n">
        <v>2</v>
      </c>
      <c r="G196" s="8" t="n">
        <v>20</v>
      </c>
      <c r="H196" s="8" t="inlineStr">
        <is>
          <t>CNTN Error #1 — P C Stachera error on E Taylor ground ball; E Taylor reaches (B2, play #20).</t>
        </is>
      </c>
    </row>
    <row r="197" ht="15.75" customHeight="1" s="35">
      <c r="A197" s="8" t="inlineStr">
        <is>
          <t>2026-03-31_CNTN_at_WLTR</t>
        </is>
      </c>
      <c r="B197" s="8" t="inlineStr">
        <is>
          <t>2026-03-31</t>
        </is>
      </c>
      <c r="C197" s="8" t="inlineStr">
        <is>
          <t>Walter Johnson Varsity Wildcats</t>
        </is>
      </c>
      <c r="D197" s="8" t="inlineStr">
        <is>
          <t>CNTN</t>
        </is>
      </c>
      <c r="E197" s="8" t="inlineStr">
        <is>
          <t>B Harris</t>
        </is>
      </c>
      <c r="F197" s="8" t="n">
        <v>3</v>
      </c>
      <c r="G197" s="8" t="n">
        <v>31</v>
      </c>
      <c r="H197" s="8" t="inlineStr">
        <is>
          <t>CNTN Error #2 — C B Harris error (embedded in G Matalia D3S AB, play #31, B3); S Weston advances to 3rd on error by catcher B Harris.</t>
        </is>
      </c>
    </row>
    <row r="198" ht="15.75" customHeight="1" s="35">
      <c r="A198" s="8" t="inlineStr">
        <is>
          <t>2026-03-31_CNTN_at_WLTR</t>
        </is>
      </c>
      <c r="B198" s="8" t="inlineStr">
        <is>
          <t>2026-03-31</t>
        </is>
      </c>
      <c r="C198" s="8" t="inlineStr">
        <is>
          <t>Walter Johnson Varsity Wildcats</t>
        </is>
      </c>
      <c r="D198" s="8" t="inlineStr">
        <is>
          <t>CNTN</t>
        </is>
      </c>
      <c r="E198" s="8" t="inlineStr">
        <is>
          <t>C Stachera</t>
        </is>
      </c>
      <c r="F198" s="8" t="n">
        <v>3</v>
      </c>
      <c r="G198" s="8" t="n">
        <v>31</v>
      </c>
      <c r="H198" s="8" t="inlineStr">
        <is>
          <t>CNTN Error #3 — P C Stachera error (embedded in G Matalia D3S AB, play #31, B3); S Weston scores on error by pitcher C Stachera.</t>
        </is>
      </c>
    </row>
    <row r="199" ht="15.75" customHeight="1" s="35">
      <c r="A199" s="8" t="inlineStr">
        <is>
          <t>2026-03-31_CNTN_at_WLTR</t>
        </is>
      </c>
      <c r="B199" s="8" t="inlineStr">
        <is>
          <t>2026-03-31</t>
        </is>
      </c>
      <c r="C199" s="8" t="inlineStr">
        <is>
          <t>Walter Johnson Varsity Wildcats</t>
        </is>
      </c>
      <c r="D199" s="8" t="inlineStr">
        <is>
          <t>CNTN</t>
        </is>
      </c>
      <c r="E199" s="8" t="inlineStr">
        <is>
          <t>L Choe</t>
        </is>
      </c>
      <c r="F199" s="8" t="n">
        <v>5</v>
      </c>
      <c r="G199" s="8" t="n">
        <v>48</v>
      </c>
      <c r="H199" s="8" t="inlineStr">
        <is>
          <t>CNTN Error #4 — 3B L Choe error on L Rayment-Cruz ground ball; L Rayment-Cruz reaches (B5, play #48).</t>
        </is>
      </c>
    </row>
    <row r="200" ht="15.75" customHeight="1" s="35">
      <c r="A200" s="8" t="inlineStr">
        <is>
          <t>2026-03-31_CNTN_at_WLTR</t>
        </is>
      </c>
      <c r="B200" s="8" t="inlineStr">
        <is>
          <t>2026-03-31</t>
        </is>
      </c>
      <c r="C200" s="8" t="inlineStr">
        <is>
          <t>Walter Johnson Varsity Wildcats</t>
        </is>
      </c>
      <c r="D200" s="8" t="inlineStr">
        <is>
          <t>CNTN</t>
        </is>
      </c>
      <c r="E200" s="8" t="inlineStr">
        <is>
          <t>A Lee</t>
        </is>
      </c>
      <c r="F200" s="8" t="n">
        <v>6</v>
      </c>
      <c r="G200" s="8" t="n">
        <v>55</v>
      </c>
      <c r="H200" s="8" t="inlineStr">
        <is>
          <t>CNTN Error #5 — P A Lee error on H Bauer bunt; H Bauer reaches (B6, play #55).</t>
        </is>
      </c>
    </row>
    <row r="201" ht="15.75" customHeight="1" s="35">
      <c r="A201" s="8" t="inlineStr">
        <is>
          <t>2026-03-31_CNTN_at_WLTR</t>
        </is>
      </c>
      <c r="B201" s="8" t="inlineStr">
        <is>
          <t>2026-03-31</t>
        </is>
      </c>
      <c r="C201" s="8" t="inlineStr">
        <is>
          <t>Centennial Varsity Eagles</t>
        </is>
      </c>
      <c r="D201" s="8" t="inlineStr">
        <is>
          <t>WLTR</t>
        </is>
      </c>
      <c r="E201" s="8" t="inlineStr">
        <is>
          <t>WLTR_SS</t>
        </is>
      </c>
      <c r="F201" s="8" t="n">
        <v>1</v>
      </c>
      <c r="G201" s="8" t="n">
        <v>3</v>
      </c>
      <c r="H201" s="8" t="inlineStr">
        <is>
          <t>WLTR Error #1 — SS (unnamed in log) error on C Bade ground ball; C Bade reaches (T1, play #3). Fielder identified by position only.</t>
        </is>
      </c>
    </row>
    <row r="202" ht="15.75" customHeight="1" s="35">
      <c r="A202" s="8" t="inlineStr">
        <is>
          <t>2026-03-31_CNTN_at_WLTR</t>
        </is>
      </c>
      <c r="B202" s="8" t="inlineStr">
        <is>
          <t>2026-03-31</t>
        </is>
      </c>
      <c r="C202" s="8" t="inlineStr">
        <is>
          <t>Centennial Varsity Eagles</t>
        </is>
      </c>
      <c r="D202" s="8" t="inlineStr">
        <is>
          <t>WLTR</t>
        </is>
      </c>
      <c r="E202" s="8" t="inlineStr">
        <is>
          <t>WLTR_SS</t>
        </is>
      </c>
      <c r="F202" s="8" t="n">
        <v>3</v>
      </c>
      <c r="G202" s="8" t="n">
        <v>24</v>
      </c>
      <c r="H202" s="8" t="inlineStr">
        <is>
          <t>WLTR Error #2 — SS (unnamed in log) error after B Harris single; B Harris advances to 2nd on error (T3, play #24). Fielder identified by position only.</t>
        </is>
      </c>
    </row>
    <row r="203" ht="15.75" customHeight="1" s="35">
      <c r="A203" s="8" t="inlineStr">
        <is>
          <t>2026-03-31_CNTN_at_WLTR</t>
        </is>
      </c>
      <c r="B203" s="8" t="inlineStr">
        <is>
          <t>2026-03-31</t>
        </is>
      </c>
      <c r="C203" s="8" t="inlineStr">
        <is>
          <t>Centennial Varsity Eagles</t>
        </is>
      </c>
      <c r="D203" s="8" t="inlineStr">
        <is>
          <t>WLTR</t>
        </is>
      </c>
      <c r="E203" s="8" t="inlineStr">
        <is>
          <t>L Rayment-Cruz</t>
        </is>
      </c>
      <c r="F203" s="8" t="n">
        <v>3</v>
      </c>
      <c r="G203" s="8" t="n">
        <v>26</v>
      </c>
      <c r="H203" s="8" t="inlineStr">
        <is>
          <t>WLTR Error #3 — P L Rayment-Cruz error on C Stachera ground ball; C Stachera reaches and advances to 2nd on the same error; E Ogg (CR for B Harris) advances to 3rd (T3, play #26).</t>
        </is>
      </c>
    </row>
    <row r="204" ht="15.75" customHeight="1" s="35">
      <c r="A204" s="8" t="inlineStr">
        <is>
          <t>2026-03-31_CNTN_at_WLTR</t>
        </is>
      </c>
      <c r="B204" s="8" t="inlineStr">
        <is>
          <t>2026-03-31</t>
        </is>
      </c>
      <c r="C204" s="8" t="inlineStr">
        <is>
          <t>Centennial Varsity Eagles</t>
        </is>
      </c>
      <c r="D204" s="8" t="inlineStr">
        <is>
          <t>WLTR</t>
        </is>
      </c>
      <c r="E204" s="8" t="inlineStr">
        <is>
          <t>L Rayment-Cruz</t>
        </is>
      </c>
      <c r="F204" s="8" t="n">
        <v>6</v>
      </c>
      <c r="G204" s="8" t="n">
        <v>52</v>
      </c>
      <c r="H204" s="8" t="inlineStr">
        <is>
          <t>WLTR Error #4 — P L Rayment-Cruz error on L Choe pop fly; L Choe reaches; D Hill out advancing to 2nd (D Hill out = out #1 of T6) (T6, play #52).</t>
        </is>
      </c>
    </row>
    <row r="205" ht="15.75" customHeight="1" s="35">
      <c r="A205" s="8" t="inlineStr">
        <is>
          <t>2026-03-21_SVRN_at_STHR</t>
        </is>
      </c>
      <c r="B205" s="2" t="n">
        <v>46102</v>
      </c>
      <c r="C205" s="8" t="inlineStr">
        <is>
          <t>SVRN</t>
        </is>
      </c>
      <c r="D205" s="8" t="inlineStr">
        <is>
          <t>STHR</t>
        </is>
      </c>
      <c r="E205" s="8" t="inlineStr">
        <is>
          <t>G Godfrey</t>
        </is>
      </c>
      <c r="F205" s="8" t="n">
        <v>2</v>
      </c>
      <c r="G205" s="8" t="inlineStr">
        <is>
          <t>#8</t>
        </is>
      </c>
      <c r="H205" s="8" t="inlineStr">
        <is>
          <t>O Duffy reaches on error by 3B G Godfrey (STHR E=1).</t>
        </is>
      </c>
    </row>
    <row r="206" ht="15.75" customHeight="1" s="35">
      <c r="A206" s="8" t="inlineStr">
        <is>
          <t>2026-03-23_STHR_at_SRVR</t>
        </is>
      </c>
      <c r="B206" s="2" t="n">
        <v>46104</v>
      </c>
      <c r="C206" s="8" t="inlineStr">
        <is>
          <t>SRVR</t>
        </is>
      </c>
      <c r="D206" s="8" t="inlineStr">
        <is>
          <t>STHR</t>
        </is>
      </c>
      <c r="E206" s="8" t="inlineStr">
        <is>
          <t>N Youmans</t>
        </is>
      </c>
      <c r="F206" s="8" t="n">
        <v>2</v>
      </c>
      <c r="G206" s="8" t="inlineStr">
        <is>
          <t>#21</t>
        </is>
      </c>
      <c r="H206" s="8" t="inlineStr">
        <is>
          <t>Gunderson singles then advances to 2nd on throwing error by P N Youmans (STHR E=1).</t>
        </is>
      </c>
    </row>
    <row r="207" ht="15.75" customHeight="1" s="35">
      <c r="A207" s="8" t="inlineStr">
        <is>
          <t>2026-03-23_STHR_at_SRVR</t>
        </is>
      </c>
      <c r="B207" s="2" t="n">
        <v>46104</v>
      </c>
      <c r="C207" s="8" t="inlineStr">
        <is>
          <t>SRVR</t>
        </is>
      </c>
      <c r="D207" s="8" t="inlineStr">
        <is>
          <t>STHR</t>
        </is>
      </c>
      <c r="E207" s="8" t="inlineStr">
        <is>
          <t>G Bowen</t>
        </is>
      </c>
      <c r="F207" s="8" t="n">
        <v>4</v>
      </c>
      <c r="G207" s="8" t="inlineStr">
        <is>
          <t>#55</t>
        </is>
      </c>
      <c r="H207" s="8" t="inlineStr">
        <is>
          <t>Gunderson reaches on error by 2B G Bowen (STHR E=2).</t>
        </is>
      </c>
    </row>
    <row r="208" ht="15.75" customHeight="1" s="35">
      <c r="A208" s="8" t="inlineStr">
        <is>
          <t>2026-03-25_MDVR_at_STHR</t>
        </is>
      </c>
      <c r="B208" s="2" t="n">
        <v>46106</v>
      </c>
      <c r="C208" s="8" t="inlineStr">
        <is>
          <t>MDVR</t>
        </is>
      </c>
      <c r="D208" s="8" t="inlineStr">
        <is>
          <t>MDVR</t>
        </is>
      </c>
      <c r="E208" s="8" t="inlineStr">
        <is>
          <t>E Mundo</t>
        </is>
      </c>
      <c r="F208" s="8" t="n">
        <v>1</v>
      </c>
      <c r="G208" s="8" t="inlineStr">
        <is>
          <t>#7</t>
        </is>
      </c>
      <c r="H208" s="8" t="inlineStr">
        <is>
          <t>G Crandell reaches on error by 3B E Mundo; B Crandell advances to 2nd (MDVR E=1).</t>
        </is>
      </c>
    </row>
    <row r="209" ht="15.75" customHeight="1" s="35">
      <c r="A209" s="8" t="inlineStr">
        <is>
          <t>2026-03-25_MDVR_at_STHR</t>
        </is>
      </c>
      <c r="B209" s="2" t="n">
        <v>46106</v>
      </c>
      <c r="C209" s="8" t="inlineStr">
        <is>
          <t>MDVR</t>
        </is>
      </c>
      <c r="D209" s="8" t="inlineStr">
        <is>
          <t>MDVR</t>
        </is>
      </c>
      <c r="E209" s="8" t="inlineStr">
        <is>
          <t>K Chan</t>
        </is>
      </c>
      <c r="F209" s="8" t="n">
        <v>1</v>
      </c>
      <c r="G209" s="8" t="inlineStr">
        <is>
          <t>#10</t>
        </is>
      </c>
      <c r="H209" s="8" t="inlineStr">
        <is>
          <t>S Lopez hits pop fly, reaches on error by 2B K Chan; G Crandell scores, N Youmans advances to 3rd (MDVR E=2).</t>
        </is>
      </c>
    </row>
    <row r="210" ht="15.75" customHeight="1" s="35">
      <c r="A210" s="8" t="inlineStr">
        <is>
          <t>2026-03-25_MDVR_at_STHR</t>
        </is>
      </c>
      <c r="B210" s="2" t="n">
        <v>46106</v>
      </c>
      <c r="C210" s="8" t="inlineStr">
        <is>
          <t>MDVR</t>
        </is>
      </c>
      <c r="D210" s="8" t="inlineStr">
        <is>
          <t>MDVR</t>
        </is>
      </c>
      <c r="E210" s="8" t="inlineStr">
        <is>
          <t>A Kund</t>
        </is>
      </c>
      <c r="F210" s="8" t="n">
        <v>2</v>
      </c>
      <c r="G210" s="8" t="inlineStr">
        <is>
          <t>#23</t>
        </is>
      </c>
      <c r="H210" s="8" t="inlineStr">
        <is>
          <t>B Michaud scores on error by catcher A Kund (embedded in G Bowen AB; MDVR E=3).</t>
        </is>
      </c>
    </row>
    <row r="211" ht="15.75" customHeight="1" s="35">
      <c r="A211" s="8" t="inlineStr">
        <is>
          <t>2026-03-25_MDVR_at_STHR</t>
        </is>
      </c>
      <c r="B211" s="2" t="n">
        <v>46106</v>
      </c>
      <c r="C211" s="8" t="inlineStr">
        <is>
          <t>MDVR</t>
        </is>
      </c>
      <c r="D211" s="8" t="inlineStr">
        <is>
          <t>MDVR</t>
        </is>
      </c>
      <c r="E211" s="8" t="inlineStr">
        <is>
          <t>C Campbell</t>
        </is>
      </c>
      <c r="F211" s="8" t="n">
        <v>2</v>
      </c>
      <c r="G211" s="8" t="inlineStr">
        <is>
          <t>#27</t>
        </is>
      </c>
      <c r="H211" s="8" t="inlineStr">
        <is>
          <t>C Parks reaches on error by LF C Campbell; G Colhoun scores (MDVR E=4).</t>
        </is>
      </c>
    </row>
    <row r="212" ht="15.75" customHeight="1" s="35">
      <c r="A212" s="8" t="inlineStr">
        <is>
          <t>2026-03-25_MDVR_at_STHR</t>
        </is>
      </c>
      <c r="B212" s="2" t="n">
        <v>46106</v>
      </c>
      <c r="C212" s="8" t="inlineStr">
        <is>
          <t>MDVR</t>
        </is>
      </c>
      <c r="D212" s="8" t="inlineStr">
        <is>
          <t>MDVR</t>
        </is>
      </c>
      <c r="E212" s="8" t="inlineStr">
        <is>
          <t>MDVR_Fielder_Unknown</t>
        </is>
      </c>
      <c r="F212" s="8" t="n">
        <v>2</v>
      </c>
      <c r="G212" s="8" t="inlineStr">
        <is>
          <t>#36</t>
        </is>
      </c>
      <c r="H212" s="8" t="inlineStr">
        <is>
          <t>C Parks reaches on error by unknown fielder (Flag #7 — no fielder named in log; MDVR E=5).</t>
        </is>
      </c>
    </row>
    <row r="213" ht="15.75" customHeight="1" s="35">
      <c r="A213" s="8" t="inlineStr">
        <is>
          <t>2026-03-25_MDVR_at_STHR</t>
        </is>
      </c>
      <c r="B213" s="2" t="n">
        <v>46106</v>
      </c>
      <c r="C213" s="8" t="inlineStr">
        <is>
          <t>MDVR</t>
        </is>
      </c>
      <c r="D213" s="8" t="inlineStr">
        <is>
          <t>MDVR</t>
        </is>
      </c>
      <c r="E213" s="8" t="inlineStr">
        <is>
          <t>MDVR_Fielder_Unknown</t>
        </is>
      </c>
      <c r="F213" s="8" t="n">
        <v>4</v>
      </c>
      <c r="G213" s="8" t="inlineStr">
        <is>
          <t>#54</t>
        </is>
      </c>
      <c r="H213" s="8" t="inlineStr">
        <is>
          <t>C Parks reaches on error by unknown fielder (Flag #7 — no fielder named; G Perkins scores; MDVR E=6).</t>
        </is>
      </c>
    </row>
    <row r="214" ht="15.75" customHeight="1" s="35">
      <c r="A214" s="8" t="inlineStr">
        <is>
          <t>2026-03-25_MDVR_at_STHR</t>
        </is>
      </c>
      <c r="B214" s="2" t="n">
        <v>46106</v>
      </c>
      <c r="C214" s="8" t="inlineStr">
        <is>
          <t>MDVR</t>
        </is>
      </c>
      <c r="D214" s="8" t="inlineStr">
        <is>
          <t>MDVR</t>
        </is>
      </c>
      <c r="E214" s="8" t="inlineStr">
        <is>
          <t>E Mundo</t>
        </is>
      </c>
      <c r="F214" s="8" t="n">
        <v>4</v>
      </c>
      <c r="G214" s="8" t="inlineStr">
        <is>
          <t>#57</t>
        </is>
      </c>
      <c r="H214" s="8" t="inlineStr">
        <is>
          <t>T Veith reaches on error by pitcher E Mundo; C Parks+J Dunkerly score (MDVR E=7).</t>
        </is>
      </c>
    </row>
    <row r="215" ht="15.75" customHeight="1" s="35">
      <c r="A215" s="8" t="inlineStr">
        <is>
          <t>2026-03-25_MDVR_at_STHR</t>
        </is>
      </c>
      <c r="B215" s="2" t="n">
        <v>46106</v>
      </c>
      <c r="C215" s="8" t="inlineStr">
        <is>
          <t>MDVR</t>
        </is>
      </c>
      <c r="D215" s="8" t="inlineStr">
        <is>
          <t>MDVR</t>
        </is>
      </c>
      <c r="E215" s="8" t="inlineStr">
        <is>
          <t>MDVR_Fielder_Unknown</t>
        </is>
      </c>
      <c r="F215" s="8" t="n">
        <v>4</v>
      </c>
      <c r="G215" s="8" t="inlineStr">
        <is>
          <t>#62</t>
        </is>
      </c>
      <c r="H215" s="8" t="inlineStr">
        <is>
          <t>J Dunkerly advances to 2nd on error by unknown fielder (Flag #7 — no fielder named; MDVR E=8).</t>
        </is>
      </c>
    </row>
    <row r="216" ht="15.75" customHeight="1" s="35">
      <c r="A216" s="8" t="inlineStr">
        <is>
          <t>2026-03-25_MDVR_at_STHR</t>
        </is>
      </c>
      <c r="B216" s="2" t="n">
        <v>46106</v>
      </c>
      <c r="C216" s="8" t="inlineStr">
        <is>
          <t>MDVR</t>
        </is>
      </c>
      <c r="D216" s="8" t="inlineStr">
        <is>
          <t>MDVR</t>
        </is>
      </c>
      <c r="E216" s="8" t="inlineStr">
        <is>
          <t>K Chan</t>
        </is>
      </c>
      <c r="F216" s="8" t="n">
        <v>4</v>
      </c>
      <c r="G216" s="8" t="inlineStr">
        <is>
          <t>#64</t>
        </is>
      </c>
      <c r="H216" s="8" t="inlineStr">
        <is>
          <t>N Simmons reaches on error by SS K Chan (MDVR E=9). Balk by L Dejesus same play (C Parks adv 2nd).</t>
        </is>
      </c>
    </row>
    <row r="217" ht="15.75" customHeight="1" s="35">
      <c r="A217" s="8" t="inlineStr">
        <is>
          <t>2026-03-14_NRTH_at_STHR</t>
        </is>
      </c>
      <c r="B217" s="3" t="n">
        <v>46095</v>
      </c>
      <c r="C217" s="8" t="inlineStr">
        <is>
          <t>Northern Varsity Patriots</t>
        </is>
      </c>
      <c r="D217" s="8" t="inlineStr">
        <is>
          <t>STHR</t>
        </is>
      </c>
      <c r="E217" s="8" t="inlineStr">
        <is>
          <t>B Crandell</t>
        </is>
      </c>
      <c r="F217" s="8" t="n">
        <v>1</v>
      </c>
      <c r="G217" s="8" t="n">
        <v>3</v>
      </c>
      <c r="H217" s="8" t="inlineStr">
        <is>
          <t>C Renzi (NRTH) hits ground ball, reaches on error by SS B Crandell (play #3, T1). STHR E=1.</t>
        </is>
      </c>
    </row>
    <row r="218" ht="15.75" customHeight="1" s="35">
      <c r="A218" s="8" t="inlineStr">
        <is>
          <t>2026-03-14_NRTH_at_STHR</t>
        </is>
      </c>
      <c r="B218" s="3" t="n">
        <v>46095</v>
      </c>
      <c r="C218" s="8" t="inlineStr">
        <is>
          <t>Northern Varsity Patriots</t>
        </is>
      </c>
      <c r="D218" s="8" t="inlineStr">
        <is>
          <t>STHR</t>
        </is>
      </c>
      <c r="E218" s="8" t="inlineStr">
        <is>
          <t>J Dunkerly</t>
        </is>
      </c>
      <c r="F218" s="8" t="n">
        <v>2</v>
      </c>
      <c r="G218" s="8" t="n">
        <v>14</v>
      </c>
      <c r="H218" s="8" t="inlineStr">
        <is>
          <t>#3 (NRTH) hits pop fly, reaches on error by RF J Dunkerly (play #14, T2). STHR E=2.</t>
        </is>
      </c>
    </row>
    <row r="219" ht="15.75" customHeight="1" s="35">
      <c r="A219" s="8" t="inlineStr">
        <is>
          <t>2026-03-14_NRTH_at_STHR</t>
        </is>
      </c>
      <c r="B219" s="3" t="n">
        <v>46095</v>
      </c>
      <c r="C219" s="8" t="inlineStr">
        <is>
          <t>Northern Varsity Patriots</t>
        </is>
      </c>
      <c r="D219" s="8" t="inlineStr">
        <is>
          <t>STHR</t>
        </is>
      </c>
      <c r="E219" s="8" t="inlineStr">
        <is>
          <t>B Crandell</t>
        </is>
      </c>
      <c r="F219" s="8" t="n">
        <v>4</v>
      </c>
      <c r="G219" s="8" t="n">
        <v>36</v>
      </c>
      <c r="H219" s="8" t="inlineStr">
        <is>
          <t>C Renzi (NRTH) hits ground ball, reaches on error by SS B Crandell; T Holson scores on play (play #36, T4). STHR E=3.</t>
        </is>
      </c>
    </row>
    <row r="220" ht="15.75" customHeight="1" s="35">
      <c r="A220" s="8" t="inlineStr">
        <is>
          <t>2026-03-14_NRTH_at_STHR</t>
        </is>
      </c>
      <c r="B220" s="3" t="n">
        <v>46095</v>
      </c>
      <c r="C220" s="8" t="inlineStr">
        <is>
          <t>Northern Varsity Patriots</t>
        </is>
      </c>
      <c r="D220" s="8" t="inlineStr">
        <is>
          <t>STHR</t>
        </is>
      </c>
      <c r="E220" s="8" t="inlineStr">
        <is>
          <t>G Bowen</t>
        </is>
      </c>
      <c r="F220" s="8" t="n">
        <v>6</v>
      </c>
      <c r="G220" s="8" t="n">
        <v>55</v>
      </c>
      <c r="H220" s="8" t="inlineStr">
        <is>
          <t>T Holson (NRTH) hits ground ball, reaches on error by 2B G Bowen; T Holson advances to 2nd, D Rivera scores on same error (play #55, T6). STHR E=4.</t>
        </is>
      </c>
    </row>
    <row r="221" ht="15.75" customHeight="1" s="35">
      <c r="A221" s="8" t="inlineStr">
        <is>
          <t>2026-03-14_NRTH_at_STHR</t>
        </is>
      </c>
      <c r="B221" s="3" t="n">
        <v>46095</v>
      </c>
      <c r="C221" s="8" t="inlineStr">
        <is>
          <t>Southern Varsity Bulldogs</t>
        </is>
      </c>
      <c r="D221" s="8" t="inlineStr">
        <is>
          <t>NRTH</t>
        </is>
      </c>
      <c r="E221" s="8" t="inlineStr">
        <is>
          <t>D Rivera</t>
        </is>
      </c>
      <c r="F221" s="8" t="n">
        <v>1</v>
      </c>
      <c r="G221" s="8" t="n">
        <v>11</v>
      </c>
      <c r="H221" s="8" t="inlineStr">
        <is>
          <t>G Crandell (STHR) hits line drive, reaches on error by CF D Rivera; N Youmans advances to 3rd (play #11, B1). NRTH E=1.</t>
        </is>
      </c>
    </row>
    <row r="222" ht="15.75" customHeight="1" s="35">
      <c r="A222" s="8" t="inlineStr">
        <is>
          <t>2026-03-14_NRTH_at_STHR</t>
        </is>
      </c>
      <c r="B222" s="3" t="n">
        <v>46095</v>
      </c>
      <c r="C222" s="8" t="inlineStr">
        <is>
          <t>Southern Varsity Bulldogs</t>
        </is>
      </c>
      <c r="D222" s="8" t="inlineStr">
        <is>
          <t>NRTH</t>
        </is>
      </c>
      <c r="E222" s="8" t="inlineStr">
        <is>
          <t>NRTH_#13</t>
        </is>
      </c>
      <c r="F222" s="8" t="n">
        <v>6</v>
      </c>
      <c r="G222" s="8" t="n">
        <v>62</v>
      </c>
      <c r="H222" s="8" t="inlineStr">
        <is>
          <t>Error by C NRTH_#13 embedded in pitch seq play #62 (B6): G Crandell scores, C Parks advances to 3rd on same error. NRTH E=2.</t>
        </is>
      </c>
    </row>
    <row r="223" ht="15.75" customHeight="1" s="35">
      <c r="A223" s="8" t="inlineStr">
        <is>
          <t>2026-03-14_NRTH_at_STHR</t>
        </is>
      </c>
      <c r="B223" s="3" t="n">
        <v>46095</v>
      </c>
      <c r="C223" s="8" t="inlineStr">
        <is>
          <t>Southern Varsity Bulldogs</t>
        </is>
      </c>
      <c r="D223" s="8" t="inlineStr">
        <is>
          <t>NRTH</t>
        </is>
      </c>
      <c r="E223" s="8" t="inlineStr">
        <is>
          <t>T Holson</t>
        </is>
      </c>
      <c r="F223" s="8" t="n">
        <v>6</v>
      </c>
      <c r="G223" s="8" t="n">
        <v>63</v>
      </c>
      <c r="H223" s="8" t="inlineStr">
        <is>
          <t>G Bowen (STHR) hits ground ball, reaches on error by SS T Holson (play #63, B6). NRTH E=3.</t>
        </is>
      </c>
    </row>
    <row r="224" ht="15.75" customHeight="1" s="35">
      <c r="A224" s="8" t="inlineStr">
        <is>
          <t>2026-03-14_NRTH_at_STHR</t>
        </is>
      </c>
      <c r="B224" s="3" t="n">
        <v>46095</v>
      </c>
      <c r="C224" s="8" t="inlineStr">
        <is>
          <t>Southern Varsity Bulldogs</t>
        </is>
      </c>
      <c r="D224" s="8" t="inlineStr">
        <is>
          <t>NRTH</t>
        </is>
      </c>
      <c r="E224" s="8" t="inlineStr">
        <is>
          <t>T Holson</t>
        </is>
      </c>
      <c r="F224" s="8" t="n">
        <v>7</v>
      </c>
      <c r="G224" s="8" t="n">
        <v>78</v>
      </c>
      <c r="H224" s="8" t="inlineStr">
        <is>
          <t>Error by SS T Holson (NRTH) embedded in pitch seq play #78 (B7): W Thomas advances to 2nd. NRTH E=4.</t>
        </is>
      </c>
    </row>
    <row r="225" ht="15.75" customHeight="1" s="35">
      <c r="A225" s="8" t="inlineStr">
        <is>
          <t>2026-03-14_NRTH_at_STHR</t>
        </is>
      </c>
      <c r="B225" s="3" t="n">
        <v>46095</v>
      </c>
      <c r="C225" s="8" t="inlineStr">
        <is>
          <t>Southern Varsity Bulldogs</t>
        </is>
      </c>
      <c r="D225" s="8" t="inlineStr">
        <is>
          <t>NRTH</t>
        </is>
      </c>
      <c r="E225" s="8" t="inlineStr">
        <is>
          <t>P Magruder</t>
        </is>
      </c>
      <c r="F225" s="8" t="n">
        <v>7</v>
      </c>
      <c r="G225" s="8" t="n">
        <v>79</v>
      </c>
      <c r="H225" s="8" t="inlineStr">
        <is>
          <t>Jackson (STHR) reaches on error by 2B P Magruder (play #79, B7); W Thomas and G Crandell score. Jackson out advancing to 2B on same play (game-ending out). NRTH E=5.</t>
        </is>
      </c>
    </row>
    <row r="226" ht="15.75" customHeight="1" s="35">
      <c r="A226" s="8" t="inlineStr">
        <is>
          <t>2026-03-14_STHR_at_ATHL</t>
        </is>
      </c>
      <c r="B226" s="3" t="n">
        <v>46095</v>
      </c>
      <c r="C226" s="8" t="inlineStr">
        <is>
          <t>Atholton Varsity Raiders</t>
        </is>
      </c>
      <c r="D226" s="8" t="inlineStr">
        <is>
          <t>STHR</t>
        </is>
      </c>
      <c r="E226" s="8" t="inlineStr">
        <is>
          <t>J Colton</t>
        </is>
      </c>
      <c r="F226" s="8" t="n">
        <v>4</v>
      </c>
      <c r="G226" s="8" t="n">
        <v>42</v>
      </c>
      <c r="H226" s="8" t="inlineStr">
        <is>
          <t>Error by RF J Colton (play #42, B4): L Byrns hits pop fly, reaches on error; #23 scores on same error. STHR E=1.</t>
        </is>
      </c>
    </row>
    <row r="227" ht="15.75" customHeight="1" s="35">
      <c r="A227" s="8" t="inlineStr">
        <is>
          <t>2026-03-14_STHR_at_ATHL</t>
        </is>
      </c>
      <c r="B227" s="3" t="n">
        <v>46095</v>
      </c>
      <c r="C227" s="8" t="inlineStr">
        <is>
          <t>Atholton Varsity Raiders</t>
        </is>
      </c>
      <c r="D227" s="8" t="inlineStr">
        <is>
          <t>STHR</t>
        </is>
      </c>
      <c r="E227" s="8" t="inlineStr">
        <is>
          <t>G Godfrey</t>
        </is>
      </c>
      <c r="F227" s="8" t="n">
        <v>4</v>
      </c>
      <c r="G227" s="8" t="n">
        <v>45</v>
      </c>
      <c r="H227" s="8" t="inlineStr">
        <is>
          <t>Error by 3B G Godfrey (play #45, B4): #9 hits ground ball, reaches on error; W Martin+J Dailey advance. STHR E=2.</t>
        </is>
      </c>
    </row>
    <row r="228" ht="15.75" customHeight="1" s="35">
      <c r="A228" s="8" t="inlineStr">
        <is>
          <t>2026-03-14_STHR_at_ATHL</t>
        </is>
      </c>
      <c r="B228" s="3" t="n">
        <v>46095</v>
      </c>
      <c r="C228" s="8" t="inlineStr">
        <is>
          <t>Atholton Varsity Raiders</t>
        </is>
      </c>
      <c r="D228" s="8" t="inlineStr">
        <is>
          <t>STHR</t>
        </is>
      </c>
      <c r="E228" s="8" t="inlineStr">
        <is>
          <t>B Crandell</t>
        </is>
      </c>
      <c r="F228" s="8" t="n">
        <v>7</v>
      </c>
      <c r="G228" s="8" t="n">
        <v>75</v>
      </c>
      <c r="H228" s="8" t="inlineStr">
        <is>
          <t>Error by SS B Crandell (play #75, B7): #8 hits ground ball, reaches on error; N Weinig advances to 3rd, L Conroy to 2nd. STHR E=3.</t>
        </is>
      </c>
    </row>
    <row r="229" ht="15.75" customHeight="1" s="35">
      <c r="A229" s="8" t="inlineStr">
        <is>
          <t>2026-03-14_STHR_at_ATHL</t>
        </is>
      </c>
      <c r="B229" s="3" t="n">
        <v>46095</v>
      </c>
      <c r="C229" s="8" t="inlineStr">
        <is>
          <t>Southern Varsity Bulldogs</t>
        </is>
      </c>
      <c r="D229" s="8" t="inlineStr">
        <is>
          <t>ATHL</t>
        </is>
      </c>
      <c r="E229" s="8" t="inlineStr">
        <is>
          <t>ATHL_SS</t>
        </is>
      </c>
      <c r="F229" s="8" t="n">
        <v>3</v>
      </c>
      <c r="G229" s="8" t="n">
        <v>22</v>
      </c>
      <c r="H229" s="8" t="inlineStr">
        <is>
          <t>Error by ATHL shortstop (unnamed, play #22, T3): C Perkins hits ground ball, reaches on error. ATHL E=1.</t>
        </is>
      </c>
    </row>
    <row r="230" ht="15.75" customHeight="1" s="35">
      <c r="A230" s="8" t="inlineStr">
        <is>
          <t>2026-03-14_STHR_at_ATHL</t>
        </is>
      </c>
      <c r="B230" s="3" t="n">
        <v>46095</v>
      </c>
      <c r="C230" s="8" t="inlineStr">
        <is>
          <t>Southern Varsity Bulldogs</t>
        </is>
      </c>
      <c r="D230" s="8" t="inlineStr">
        <is>
          <t>ATHL</t>
        </is>
      </c>
      <c r="E230" s="8" t="inlineStr">
        <is>
          <t>ATHL_SS</t>
        </is>
      </c>
      <c r="F230" s="8" t="n">
        <v>6</v>
      </c>
      <c r="G230" s="8" t="n">
        <v>59</v>
      </c>
      <c r="H230" s="8" t="inlineStr">
        <is>
          <t>Error by ATHL shortstop (unnamed, play #59, T6): J Colton hits ground ball, reaches on error; G Crandell held at 2nd. ATHL E=2.</t>
        </is>
      </c>
    </row>
    <row r="231" ht="15.75" customHeight="1" s="35">
      <c r="A231" s="8" t="inlineStr">
        <is>
          <t>2026-03-18_PTXN_at_STHR</t>
        </is>
      </c>
      <c r="B231" s="3" t="n">
        <v>46099</v>
      </c>
      <c r="C231" s="8" t="inlineStr">
        <is>
          <t>Patuxent Varsity Panthers 26</t>
        </is>
      </c>
      <c r="D231" s="8" t="inlineStr">
        <is>
          <t>STHR</t>
        </is>
      </c>
      <c r="E231" s="8" t="inlineStr">
        <is>
          <t>G Bowen</t>
        </is>
      </c>
      <c r="F231" s="8" t="n">
        <v>4</v>
      </c>
      <c r="G231" s="8" t="n">
        <v>27</v>
      </c>
      <c r="H231" s="8" t="inlineStr">
        <is>
          <t>Error by 3B G Bowen (play #27, T4): C Jones hits ground ball, reaches on error; R Whitney advances to 3rd. STHR E=1.</t>
        </is>
      </c>
    </row>
    <row r="232" ht="15.75" customHeight="1" s="35">
      <c r="A232" s="8" t="inlineStr">
        <is>
          <t>2026-03-18_PTXN_at_STHR</t>
        </is>
      </c>
      <c r="B232" s="3" t="n">
        <v>46099</v>
      </c>
      <c r="C232" s="8" t="inlineStr">
        <is>
          <t>Patuxent Varsity Panthers 26</t>
        </is>
      </c>
      <c r="D232" s="8" t="inlineStr">
        <is>
          <t>STHR</t>
        </is>
      </c>
      <c r="E232" s="8" t="inlineStr">
        <is>
          <t>G Bowen</t>
        </is>
      </c>
      <c r="F232" s="8" t="n">
        <v>6</v>
      </c>
      <c r="G232" s="8" t="n">
        <v>49</v>
      </c>
      <c r="H232" s="8" t="inlineStr">
        <is>
          <t>Error by 3B G Bowen (play #49, T6): D Bradley hits ground ball, reaches and advances to 2nd on same error. STHR E=2.</t>
        </is>
      </c>
    </row>
    <row r="233" ht="15.75" customHeight="1" s="35">
      <c r="A233" s="8" t="inlineStr">
        <is>
          <t>2026-03-18_PTXN_at_STHR</t>
        </is>
      </c>
      <c r="B233" s="3" t="n">
        <v>46099</v>
      </c>
      <c r="C233" s="8" t="inlineStr">
        <is>
          <t>Patuxent Varsity Panthers 26</t>
        </is>
      </c>
      <c r="D233" s="8" t="inlineStr">
        <is>
          <t>STHR</t>
        </is>
      </c>
      <c r="E233" s="8" t="inlineStr">
        <is>
          <t>S Lopez</t>
        </is>
      </c>
      <c r="F233" s="8" t="n">
        <v>6</v>
      </c>
      <c r="G233" s="8" t="n">
        <v>53</v>
      </c>
      <c r="H233" s="8" t="inlineStr">
        <is>
          <t>Error by 1B S Lopez (play #53, T6): L Powell hits ground ball, reaches; D Bradley scores, B Cowan advances to 3rd. STHR E=3.</t>
        </is>
      </c>
    </row>
    <row r="234" ht="15.75" customHeight="1" s="35">
      <c r="A234" s="8" t="inlineStr">
        <is>
          <t>2026-03-18_PTXN_at_STHR</t>
        </is>
      </c>
      <c r="B234" s="3" t="n">
        <v>46099</v>
      </c>
      <c r="C234" s="8" t="inlineStr">
        <is>
          <t>Southern Varsity Bulldogs</t>
        </is>
      </c>
      <c r="D234" s="8" t="inlineStr">
        <is>
          <t>PTXN</t>
        </is>
      </c>
      <c r="E234" s="8" t="inlineStr">
        <is>
          <t>B Cowan</t>
        </is>
      </c>
      <c r="F234" s="8" t="n">
        <v>4</v>
      </c>
      <c r="G234" s="8" t="n">
        <v>35</v>
      </c>
      <c r="H234" s="8" t="inlineStr">
        <is>
          <t>Error by SS B Cowan (play #35, B4): C Parks hits fly ball, reaches on error. PTXN E=1.</t>
        </is>
      </c>
    </row>
    <row r="235" ht="15.75" customHeight="1" s="35">
      <c r="A235" s="8" t="inlineStr">
        <is>
          <t>2026-03-18_PTXN_at_STHR</t>
        </is>
      </c>
      <c r="B235" s="3" t="n">
        <v>46099</v>
      </c>
      <c r="C235" s="8" t="inlineStr">
        <is>
          <t>Southern Varsity Bulldogs</t>
        </is>
      </c>
      <c r="D235" s="8" t="inlineStr">
        <is>
          <t>PTXN</t>
        </is>
      </c>
      <c r="E235" s="8" t="inlineStr">
        <is>
          <t>B Cowan</t>
        </is>
      </c>
      <c r="F235" s="8" t="n">
        <v>7</v>
      </c>
      <c r="G235" s="8" t="n">
        <v>67</v>
      </c>
      <c r="H235" s="8" t="inlineStr">
        <is>
          <t>Error by 3B B Cowan (play #67, B7): W Thomas hits ground ball, reaches on error; N Simmons to 3rd, S Lopez to 2nd. PTXN E=2.</t>
        </is>
      </c>
    </row>
    <row r="236" ht="15.75" customHeight="1" s="35">
      <c r="A236" s="8" t="inlineStr">
        <is>
          <t>2026-03-26_ANNP_at_STHR</t>
        </is>
      </c>
      <c r="B236" s="3" t="inlineStr">
        <is>
          <t>2026-03-26</t>
        </is>
      </c>
      <c r="C236" s="8" t="inlineStr">
        <is>
          <t>Southern Varsity Bulldogs</t>
        </is>
      </c>
      <c r="D236" s="8" t="inlineStr">
        <is>
          <t>ANNP</t>
        </is>
      </c>
      <c r="E236" s="8" t="inlineStr">
        <is>
          <t>W Goulet</t>
        </is>
      </c>
      <c r="F236" s="8" t="n">
        <v>7</v>
      </c>
      <c r="G236" s="8" t="n">
        <v>70</v>
      </c>
      <c r="H236" s="8" t="inlineStr">
        <is>
          <t>Error by 3B W Goulet (play #70, Bottom 7): N Youmans hits ground ball, reaches and advances to 3rd on same error; G Crandell scores. ANNP E=1.</t>
        </is>
      </c>
    </row>
    <row r="237" ht="15.75" customHeight="1" s="35">
      <c r="A237" s="8" t="inlineStr">
        <is>
          <t>2026-03-26_ANNP_at_STHR</t>
        </is>
      </c>
      <c r="B237" s="3" t="inlineStr">
        <is>
          <t>2026-03-26</t>
        </is>
      </c>
      <c r="C237" s="8" t="inlineStr">
        <is>
          <t>Annapolis Varsity Panthers 2026</t>
        </is>
      </c>
      <c r="D237" s="8" t="inlineStr">
        <is>
          <t>STHR</t>
        </is>
      </c>
      <c r="E237" s="8" t="inlineStr">
        <is>
          <t>G Godfrey</t>
        </is>
      </c>
      <c r="F237" s="8" t="n">
        <v>5</v>
      </c>
      <c r="G237" s="8" t="n">
        <v>40</v>
      </c>
      <c r="H237" s="8" t="inlineStr">
        <is>
          <t>Error by 3B G Godfrey (play #40, Top 5): J Davis hits ground ball and reaches. STHR E=1.</t>
        </is>
      </c>
    </row>
    <row r="238" ht="15.75" customHeight="1" s="35">
      <c r="A238" s="8" t="inlineStr">
        <is>
          <t>2026-03-26_ANNP_at_STHR</t>
        </is>
      </c>
      <c r="B238" s="3" t="inlineStr">
        <is>
          <t>2026-03-26</t>
        </is>
      </c>
      <c r="C238" s="8" t="inlineStr">
        <is>
          <t>Annapolis Varsity Panthers 2026</t>
        </is>
      </c>
      <c r="D238" s="8" t="inlineStr">
        <is>
          <t>STHR</t>
        </is>
      </c>
      <c r="E238" s="8" t="inlineStr">
        <is>
          <t>N Youmans</t>
        </is>
      </c>
      <c r="F238" s="8" t="n">
        <v>6</v>
      </c>
      <c r="G238" s="8" t="n">
        <v>52</v>
      </c>
      <c r="H238" s="8" t="inlineStr">
        <is>
          <t>Error by SS N Youmans (play #52, Top 6): W Goulet hits hard ground ball and reaches; W Meyer and C LaRouche score. STHR E=2.</t>
        </is>
      </c>
    </row>
    <row r="239" ht="15.75" customHeight="1" s="35">
      <c r="A239" s="8" t="inlineStr">
        <is>
          <t>2026-03-28_PRKS_at_STHR</t>
        </is>
      </c>
      <c r="B239" s="3" t="inlineStr">
        <is>
          <t>2026-03-28</t>
        </is>
      </c>
      <c r="C239" s="8" t="inlineStr">
        <is>
          <t>Parkside Varsity Rams</t>
        </is>
      </c>
      <c r="D239" s="8" t="inlineStr">
        <is>
          <t>STHR</t>
        </is>
      </c>
      <c r="E239" s="8" t="inlineStr">
        <is>
          <t>N Youmans</t>
        </is>
      </c>
      <c r="F239" s="8" t="n">
        <v>2</v>
      </c>
      <c r="G239" s="8" t="n">
        <v>11</v>
      </c>
      <c r="H239" s="8" t="inlineStr">
        <is>
          <t>Error by pitcher N Youmans (play #11, Top 2): A Kinhart advances to 2nd on error during D Smith fly out. STHR E=1.</t>
        </is>
      </c>
    </row>
    <row r="240" ht="15.75" customHeight="1" s="35">
      <c r="A240" s="8" t="inlineStr">
        <is>
          <t>2026-03-28_PRKS_at_STHR</t>
        </is>
      </c>
      <c r="B240" s="3" t="inlineStr">
        <is>
          <t>2026-03-28</t>
        </is>
      </c>
      <c r="C240" s="8" t="inlineStr">
        <is>
          <t>Parkside Varsity Rams</t>
        </is>
      </c>
      <c r="D240" s="8" t="inlineStr">
        <is>
          <t>STHR</t>
        </is>
      </c>
      <c r="E240" s="8" t="inlineStr">
        <is>
          <t>G Godfrey</t>
        </is>
      </c>
      <c r="F240" s="8" t="n">
        <v>3</v>
      </c>
      <c r="G240" s="8" t="n">
        <v>20</v>
      </c>
      <c r="H240" s="8" t="inlineStr">
        <is>
          <t>Error by 3B G Godfrey (play #20, Top 3): G Jones hits ground ball and reaches; R Lewis scores. STHR E=2.</t>
        </is>
      </c>
    </row>
    <row r="241" ht="15.75" customHeight="1" s="35">
      <c r="A241" s="8" t="inlineStr">
        <is>
          <t>2026-03-28_PRKS_at_STHR</t>
        </is>
      </c>
      <c r="B241" s="3" t="inlineStr">
        <is>
          <t>2026-03-28</t>
        </is>
      </c>
      <c r="C241" s="8" t="inlineStr">
        <is>
          <t>Parkside Varsity Rams</t>
        </is>
      </c>
      <c r="D241" s="8" t="inlineStr">
        <is>
          <t>STHR</t>
        </is>
      </c>
      <c r="E241" s="8" t="inlineStr">
        <is>
          <t>C Parks</t>
        </is>
      </c>
      <c r="F241" s="8" t="n">
        <v>5</v>
      </c>
      <c r="G241" s="8" t="n">
        <v>38</v>
      </c>
      <c r="H241" s="8" t="inlineStr">
        <is>
          <t>Error by SS C Parks (play #38 embedded, Top 5): P Green scores on error during G Jones 2B; R Lewis advances to 3rd. STHR E=3.</t>
        </is>
      </c>
    </row>
    <row r="242" ht="15.75" customHeight="1" s="35">
      <c r="A242" s="8" t="inlineStr">
        <is>
          <t>2026-03-28_PRKS_at_STHR</t>
        </is>
      </c>
      <c r="B242" s="3" t="inlineStr">
        <is>
          <t>2026-03-28</t>
        </is>
      </c>
      <c r="C242" s="8" t="inlineStr">
        <is>
          <t>Parkside Varsity Rams</t>
        </is>
      </c>
      <c r="D242" s="8" t="inlineStr">
        <is>
          <t>STHR</t>
        </is>
      </c>
      <c r="E242" s="8" t="inlineStr">
        <is>
          <t>C Parks</t>
        </is>
      </c>
      <c r="F242" s="8" t="n">
        <v>5</v>
      </c>
      <c r="G242" s="8" t="n">
        <v>39</v>
      </c>
      <c r="H242" s="8" t="inlineStr">
        <is>
          <t>Error by SS C Parks (play #39, Top 5): T Gormley hits ground ball and reaches; G Jones advances to 3rd. STHR E=4.</t>
        </is>
      </c>
    </row>
    <row r="243" ht="15.75" customHeight="1" s="35">
      <c r="A243" s="8" t="inlineStr">
        <is>
          <t>2026-03-28_PRKS_at_STHR</t>
        </is>
      </c>
      <c r="B243" s="3" t="inlineStr">
        <is>
          <t>2026-03-28</t>
        </is>
      </c>
      <c r="C243" s="8" t="inlineStr">
        <is>
          <t>Parkside Varsity Rams</t>
        </is>
      </c>
      <c r="D243" s="8" t="inlineStr">
        <is>
          <t>STHR</t>
        </is>
      </c>
      <c r="E243" s="8" t="inlineStr">
        <is>
          <t>C Parks</t>
        </is>
      </c>
      <c r="F243" s="8" t="n">
        <v>6</v>
      </c>
      <c r="G243" s="8" t="n">
        <v>57</v>
      </c>
      <c r="H243" s="8" t="inlineStr">
        <is>
          <t>Error by SS C Parks (play #57 embedded, Top 6): G Jones scores and T Gormley scores on same error during A Kinhart LO; A Agoglia advances to 3rd. STHR E=5-6 (game log counts as 2 errors per Section 5).</t>
        </is>
      </c>
    </row>
    <row r="244" ht="15.75" customHeight="1" s="35">
      <c r="A244" s="8" t="inlineStr">
        <is>
          <t>2026-03-28_PRKS_at_STHR</t>
        </is>
      </c>
      <c r="B244" s="3" t="inlineStr">
        <is>
          <t>2026-03-28</t>
        </is>
      </c>
      <c r="C244" s="8" t="inlineStr">
        <is>
          <t>Southern Varsity Bulldogs</t>
        </is>
      </c>
      <c r="D244" s="8" t="inlineStr">
        <is>
          <t>PRKS</t>
        </is>
      </c>
      <c r="E244" s="8" t="inlineStr">
        <is>
          <t>A Agoglia</t>
        </is>
      </c>
      <c r="F244" s="8" t="n">
        <v>3</v>
      </c>
      <c r="G244" s="8" t="n">
        <v>24</v>
      </c>
      <c r="H244" s="8" t="inlineStr">
        <is>
          <t>Error by 1B A Agoglia (play #24, Bottom 3): C Parks hits ground ball and reaches; B Crandell scores from 3rd. PRKS E=1.</t>
        </is>
      </c>
    </row>
    <row r="245" ht="15.75" customHeight="1" s="35">
      <c r="A245" s="8" t="inlineStr">
        <is>
          <t>2026-03-28_PRKS_at_STHR</t>
        </is>
      </c>
      <c r="B245" s="3" t="inlineStr">
        <is>
          <t>2026-03-28</t>
        </is>
      </c>
      <c r="C245" s="8" t="inlineStr">
        <is>
          <t>Southern Varsity Bulldogs</t>
        </is>
      </c>
      <c r="D245" s="8" t="inlineStr">
        <is>
          <t>PRKS</t>
        </is>
      </c>
      <c r="E245" s="8" t="inlineStr">
        <is>
          <t>C Perkins</t>
        </is>
      </c>
      <c r="F245" s="8" t="n">
        <v>4</v>
      </c>
      <c r="G245" s="8" t="n">
        <v>29</v>
      </c>
      <c r="H245" s="8" t="inlineStr">
        <is>
          <t>Error by catcher C Perkins (play #29 embedded, Top 4): A Headley scores on error. PRKS E=2. Note: C Perkins bats for STHR; attributed to PRKS per game log scoring — recorded as logged (Flag #1).</t>
        </is>
      </c>
    </row>
    <row r="246" ht="15.75" customHeight="1" s="35">
      <c r="A246" s="8" t="inlineStr">
        <is>
          <t>2026-03-28_PRKS_at_STHR</t>
        </is>
      </c>
      <c r="B246" s="3" t="inlineStr">
        <is>
          <t>2026-03-28</t>
        </is>
      </c>
      <c r="C246" s="8" t="inlineStr">
        <is>
          <t>Southern Varsity Bulldogs</t>
        </is>
      </c>
      <c r="D246" s="8" t="inlineStr">
        <is>
          <t>PRKS</t>
        </is>
      </c>
      <c r="E246" s="8" t="inlineStr">
        <is>
          <t>A Kinhart</t>
        </is>
      </c>
      <c r="F246" s="8" t="n">
        <v>4</v>
      </c>
      <c r="G246" s="8" t="n">
        <v>34</v>
      </c>
      <c r="H246" s="8" t="inlineStr">
        <is>
          <t>Error by pitcher A Kinhart (play #34 embedded, Bottom 4): B Michaud advances to 2nd on error during G Godfrey fly out. PRKS E=3.</t>
        </is>
      </c>
    </row>
    <row r="247" ht="15.75" customHeight="1" s="35">
      <c r="A247" s="0" t="inlineStr">
        <is>
          <t>2026-04-08_GLNL_at_GLFR</t>
        </is>
      </c>
      <c r="B247" s="0" t="inlineStr">
        <is>
          <t>2026-04-08</t>
        </is>
      </c>
      <c r="C247" s="0" t="inlineStr">
        <is>
          <t>GLNL</t>
        </is>
      </c>
      <c r="D247" s="0" t="inlineStr">
        <is>
          <t>GLFR</t>
        </is>
      </c>
      <c r="E247" s="0" t="inlineStr">
        <is>
          <t>A C</t>
        </is>
      </c>
      <c r="F247" s="0" t="n">
        <v>2</v>
      </c>
      <c r="G247" s="0" t="n">
        <v>20</v>
      </c>
      <c r="H247" s="0" t="inlineStr">
        <is>
          <t>hits a line drive and reaches on an error by second baseman A C, A Baker advances to 3rd, T Blayman scores</t>
        </is>
      </c>
    </row>
    <row r="248" ht="15.75" customHeight="1" s="35">
      <c r="A248" s="0" t="inlineStr">
        <is>
          <t>2026-04-08_GLNL_at_GLFR</t>
        </is>
      </c>
      <c r="B248" s="0" t="inlineStr">
        <is>
          <t>2026-04-08</t>
        </is>
      </c>
      <c r="C248" s="0" t="inlineStr">
        <is>
          <t>GLFR</t>
        </is>
      </c>
      <c r="D248" s="0" t="inlineStr">
        <is>
          <t>GLNL</t>
        </is>
      </c>
      <c r="E248" s="0" t="inlineStr">
        <is>
          <t>P Moreau</t>
        </is>
      </c>
      <c r="F248" s="0" t="n">
        <v>2</v>
      </c>
      <c r="G248" s="0" t="n">
        <v>23</v>
      </c>
      <c r="H248" s="0" t="inlineStr">
        <is>
          <t>hits a fly ball and reaches on an error by second baseman P Moreau</t>
        </is>
      </c>
    </row>
    <row r="249" ht="15.75" customHeight="1" s="35">
      <c r="A249" s="0" t="inlineStr">
        <is>
          <t>2026-04-08_GLNL_at_GLFR</t>
        </is>
      </c>
      <c r="B249" s="0" t="inlineStr">
        <is>
          <t>2026-04-08</t>
        </is>
      </c>
      <c r="C249" s="0" t="inlineStr">
        <is>
          <t>GLNL</t>
        </is>
      </c>
      <c r="D249" s="0" t="inlineStr">
        <is>
          <t>GLFR</t>
        </is>
      </c>
      <c r="E249" s="0" t="inlineStr">
        <is>
          <t>GLFR_#Unknown</t>
        </is>
      </c>
      <c r="F249" s="0" t="n">
        <v>4</v>
      </c>
      <c r="G249" s="0" t="n">
        <v>49</v>
      </c>
      <c r="H249" s="0" t="inlineStr">
        <is>
          <t>hits a ground ball and reaches on an error by third baseman, A Baker advances to 3rd</t>
        </is>
      </c>
    </row>
    <row r="250" ht="15.75" customHeight="1" s="35">
      <c r="A250" s="0" t="inlineStr">
        <is>
          <t>2026-04-08_GLNL_at_GLFR</t>
        </is>
      </c>
      <c r="B250" s="0" t="inlineStr">
        <is>
          <t>2026-04-08</t>
        </is>
      </c>
      <c r="C250" s="0" t="inlineStr">
        <is>
          <t>GLNL</t>
        </is>
      </c>
      <c r="D250" s="0" t="inlineStr">
        <is>
          <t>GLFR</t>
        </is>
      </c>
      <c r="E250" s="0" t="inlineStr">
        <is>
          <t>A C</t>
        </is>
      </c>
      <c r="F250" s="0" t="n">
        <v>4</v>
      </c>
      <c r="G250" s="0" t="n">
        <v>53</v>
      </c>
      <c r="H250" s="0" t="inlineStr">
        <is>
          <t>hits a fly ball and reaches on an error by second baseman A C, A Nazelrod held up at 2nd</t>
        </is>
      </c>
    </row>
    <row r="251" ht="15.75" customHeight="1" s="35">
      <c r="A251" s="0" t="inlineStr">
        <is>
          <t>2026-04-08_GLNL_at_GLFR</t>
        </is>
      </c>
      <c r="B251" s="0" t="inlineStr">
        <is>
          <t>2026-04-08</t>
        </is>
      </c>
      <c r="C251" s="0" t="inlineStr">
        <is>
          <t>GLNL</t>
        </is>
      </c>
      <c r="D251" s="0" t="inlineStr">
        <is>
          <t>GLFR</t>
        </is>
      </c>
      <c r="E251" s="0" t="inlineStr">
        <is>
          <t>A A</t>
        </is>
      </c>
      <c r="F251" s="0" t="n">
        <v>5</v>
      </c>
      <c r="G251" s="0" t="n">
        <v>69</v>
      </c>
      <c r="H251" s="0" t="inlineStr">
        <is>
          <t>hits a ground ball and reaches on an error by shortstop A A, M Beares advances to 2nd</t>
        </is>
      </c>
    </row>
    <row r="252" ht="15.75" customHeight="1" s="35">
      <c r="A252" s="0" t="inlineStr">
        <is>
          <t>2026-04-08_GLNL_at_GLFR</t>
        </is>
      </c>
      <c r="B252" s="0" t="inlineStr">
        <is>
          <t>2026-04-08</t>
        </is>
      </c>
      <c r="C252" s="0" t="inlineStr">
        <is>
          <t>GLNL</t>
        </is>
      </c>
      <c r="D252" s="0" t="inlineStr">
        <is>
          <t>GLFR</t>
        </is>
      </c>
      <c r="E252" s="0" t="inlineStr">
        <is>
          <t>J H</t>
        </is>
      </c>
      <c r="F252" s="0" t="n">
        <v>5</v>
      </c>
      <c r="G252" s="0" t="n">
        <v>70</v>
      </c>
      <c r="H252" s="0" t="inlineStr">
        <is>
          <t>hits a fly ball and reaches on an error by left fielder J H, M Beares advances to 3rd, B Harms advances to 2nd</t>
        </is>
      </c>
    </row>
    <row r="253" ht="15.75" customHeight="1" s="35">
      <c r="A253" s="0" t="inlineStr">
        <is>
          <t>2026-04-09_RVRH_at_CNTN</t>
        </is>
      </c>
      <c r="B253" s="0" t="inlineStr">
        <is>
          <t>2026-04-09</t>
        </is>
      </c>
      <c r="C253" s="0" t="inlineStr">
        <is>
          <t>RVRH</t>
        </is>
      </c>
      <c r="D253" s="0" t="inlineStr">
        <is>
          <t>CNTN</t>
        </is>
      </c>
      <c r="E253" s="0" t="inlineStr">
        <is>
          <t>E Rayne</t>
        </is>
      </c>
      <c r="F253" s="0" t="n">
        <v>2</v>
      </c>
      <c r="G253" s="0" t="n">
        <v>11</v>
      </c>
      <c r="H253" s="0" t="inlineStr">
        <is>
          <t>E Skolkin advances to 2nd on error by pitcher E Rayne</t>
        </is>
      </c>
    </row>
    <row r="254" ht="15.75" customHeight="1" s="35">
      <c r="A254" t="inlineStr">
        <is>
          <t>2026-04-08_HWRD_at_RVRH</t>
        </is>
      </c>
      <c r="B254" t="inlineStr">
        <is>
          <t>2026-04-08</t>
        </is>
      </c>
      <c r="C254" t="inlineStr">
        <is>
          <t>RVRH</t>
        </is>
      </c>
      <c r="D254" t="inlineStr">
        <is>
          <t>RVRH</t>
        </is>
      </c>
      <c r="E254" t="inlineStr">
        <is>
          <t>C Nichols</t>
        </is>
      </c>
      <c r="F254" t="n">
        <v>4</v>
      </c>
      <c r="G254" t="n">
        <v>32</v>
      </c>
      <c r="H254" t="inlineStr">
        <is>
          <t>hits a ground ball and reaches on an error by shortstop C Nichols, T Estrada advances to 3rd, C Hudson advances to 2nd</t>
        </is>
      </c>
    </row>
    <row r="255" ht="15.75" customHeight="1" s="35">
      <c r="A255" t="inlineStr">
        <is>
          <t>2026-04-08_HWRD_at_RVRH</t>
        </is>
      </c>
      <c r="B255" t="inlineStr">
        <is>
          <t>2026-04-08</t>
        </is>
      </c>
      <c r="C255" t="inlineStr">
        <is>
          <t>HWRD</t>
        </is>
      </c>
      <c r="D255" t="inlineStr">
        <is>
          <t>HWRD</t>
        </is>
      </c>
      <c r="E255" t="inlineStr">
        <is>
          <t>R Walsh</t>
        </is>
      </c>
      <c r="F255" t="n">
        <v>5</v>
      </c>
      <c r="G255" t="n">
        <v>42</v>
      </c>
      <c r="H255" t="inlineStr">
        <is>
          <t>hits a ground ball and reaches on an error by third baseman R Walsh, D Heim advances to 2nd on the same error</t>
        </is>
      </c>
    </row>
    <row r="256" ht="15.75" customHeight="1" s="35">
      <c r="A256" t="inlineStr">
        <is>
          <t>2026-04-08_HWRD_at_RVRH</t>
        </is>
      </c>
      <c r="B256" t="inlineStr">
        <is>
          <t>2026-04-08</t>
        </is>
      </c>
      <c r="C256" t="inlineStr">
        <is>
          <t>RVRH</t>
        </is>
      </c>
      <c r="D256" t="inlineStr">
        <is>
          <t>HWRD</t>
        </is>
      </c>
      <c r="E256" t="inlineStr">
        <is>
          <t>D Alves</t>
        </is>
      </c>
      <c r="F256" t="n">
        <v>6</v>
      </c>
      <c r="G256" t="n">
        <v>56</v>
      </c>
      <c r="H256" t="inlineStr">
        <is>
          <t>hits a ground ball and reaches on an error by second baseman D Alves</t>
        </is>
      </c>
    </row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35" min="1" max="1"/>
    <col width="28" customWidth="1" style="35" min="2" max="2"/>
    <col width="36" customWidth="1" style="35" min="3" max="3"/>
    <col width="42" customWidth="1" style="35" min="4" max="4"/>
    <col width="8.710000000000001" customWidth="1" style="35" min="5" max="26"/>
  </cols>
  <sheetData>
    <row r="1">
      <c r="A1" s="5" t="inlineStr">
        <is>
          <t>Team_Code</t>
        </is>
      </c>
      <c r="B1" s="7" t="inlineStr">
        <is>
          <t>Player</t>
        </is>
      </c>
      <c r="C1" s="5" t="inlineStr">
        <is>
          <t>First_Seen</t>
        </is>
      </c>
      <c r="D1" s="7" t="inlineStr">
        <is>
          <t>Notes</t>
        </is>
      </c>
      <c r="E1" s="7" t="inlineStr">
        <is>
          <t>Order</t>
        </is>
      </c>
    </row>
    <row r="2">
      <c r="A2" s="8" t="inlineStr">
        <is>
          <t>ARND</t>
        </is>
      </c>
      <c r="B2" s="8" t="inlineStr">
        <is>
          <t>B Gardner</t>
        </is>
      </c>
      <c r="C2" s="8" t="inlineStr">
        <is>
          <t>2026-03-14_NRTH_at_ARND</t>
        </is>
      </c>
    </row>
    <row r="3">
      <c r="A3" s="8" t="inlineStr">
        <is>
          <t>ARND</t>
        </is>
      </c>
      <c r="B3" s="8" t="inlineStr">
        <is>
          <t>C Clarke</t>
        </is>
      </c>
      <c r="C3" s="8" t="inlineStr">
        <is>
          <t>2026-03-14_NRTH_at_ARND</t>
        </is>
      </c>
    </row>
    <row r="4">
      <c r="A4" s="8" t="inlineStr">
        <is>
          <t>ARND</t>
        </is>
      </c>
      <c r="B4" s="8" t="inlineStr">
        <is>
          <t>C Dennehy</t>
        </is>
      </c>
      <c r="C4" s="8" t="inlineStr">
        <is>
          <t>2026-03-14_NRTH_at_ARND</t>
        </is>
      </c>
    </row>
    <row r="5">
      <c r="A5" s="8" t="inlineStr">
        <is>
          <t>ARND</t>
        </is>
      </c>
      <c r="B5" s="8" t="inlineStr">
        <is>
          <t>C Wojtyszyn</t>
        </is>
      </c>
      <c r="C5" s="8" t="inlineStr">
        <is>
          <t>2026-03-14_NRTH_at_ARND</t>
        </is>
      </c>
    </row>
    <row r="6">
      <c r="A6" s="8" t="inlineStr">
        <is>
          <t>ARND</t>
        </is>
      </c>
      <c r="B6" s="8" t="inlineStr">
        <is>
          <t>F Doty</t>
        </is>
      </c>
      <c r="C6" s="8" t="inlineStr">
        <is>
          <t>2026-03-14_NRTH_at_ARND</t>
        </is>
      </c>
    </row>
    <row r="7">
      <c r="A7" s="8" t="inlineStr">
        <is>
          <t>ARND</t>
        </is>
      </c>
      <c r="B7" s="8" t="inlineStr">
        <is>
          <t>G O'Donnell</t>
        </is>
      </c>
      <c r="C7" s="8" t="inlineStr">
        <is>
          <t>2026-03-14_NRTH_at_ARND</t>
        </is>
      </c>
      <c r="D7" s="8" t="inlineStr">
        <is>
          <t>Bats and pitches</t>
        </is>
      </c>
    </row>
    <row r="8">
      <c r="A8" s="8" t="inlineStr">
        <is>
          <t>ARND</t>
        </is>
      </c>
      <c r="B8" s="8" t="inlineStr">
        <is>
          <t>G Pedrozo</t>
        </is>
      </c>
      <c r="C8" s="8" t="inlineStr">
        <is>
          <t>2026-03-14_NRTH_at_ARND</t>
        </is>
      </c>
    </row>
    <row r="9">
      <c r="A9" s="8" t="inlineStr">
        <is>
          <t>ARND</t>
        </is>
      </c>
      <c r="B9" s="8" t="inlineStr">
        <is>
          <t>J Bailey</t>
        </is>
      </c>
      <c r="C9" s="8" t="inlineStr">
        <is>
          <t>2026-03-14_NRTH_at_ARND</t>
        </is>
      </c>
    </row>
    <row r="10">
      <c r="A10" s="8" t="inlineStr">
        <is>
          <t>ARND</t>
        </is>
      </c>
      <c r="B10" s="8" t="inlineStr">
        <is>
          <t>J Fuller</t>
        </is>
      </c>
      <c r="C10" s="8" t="inlineStr">
        <is>
          <t>2026-03-14_NRTH_at_ARND</t>
        </is>
      </c>
    </row>
    <row r="11">
      <c r="A11" s="8" t="inlineStr">
        <is>
          <t>ARND</t>
        </is>
      </c>
      <c r="B11" s="8" t="inlineStr">
        <is>
          <t>J Haslup</t>
        </is>
      </c>
      <c r="C11" s="8" t="inlineStr">
        <is>
          <t>2026-03-14_NRTH_at_ARND</t>
        </is>
      </c>
    </row>
    <row r="12">
      <c r="A12" s="8" t="inlineStr">
        <is>
          <t>ARND</t>
        </is>
      </c>
      <c r="B12" s="8" t="inlineStr">
        <is>
          <t>J Niles</t>
        </is>
      </c>
      <c r="C12" s="8" t="inlineStr">
        <is>
          <t>2026-03-14_NRTH_at_ARND</t>
        </is>
      </c>
    </row>
    <row r="13">
      <c r="A13" s="8" t="inlineStr">
        <is>
          <t>ARND</t>
        </is>
      </c>
      <c r="B13" s="8" t="inlineStr">
        <is>
          <t>J Perry</t>
        </is>
      </c>
      <c r="C13" s="8" t="inlineStr">
        <is>
          <t>2026-03-14_NRTH_at_ARND</t>
        </is>
      </c>
    </row>
    <row r="14">
      <c r="A14" s="8" t="inlineStr">
        <is>
          <t>ARND</t>
        </is>
      </c>
      <c r="B14" s="8" t="inlineStr">
        <is>
          <t>J Verdier</t>
        </is>
      </c>
      <c r="C14" s="8" t="inlineStr">
        <is>
          <t>2026-03-14_NRTH_at_ARND</t>
        </is>
      </c>
    </row>
    <row r="15">
      <c r="A15" s="8" t="inlineStr">
        <is>
          <t>ARND</t>
        </is>
      </c>
      <c r="B15" s="8" t="inlineStr">
        <is>
          <t>J Witcher</t>
        </is>
      </c>
      <c r="C15" s="8" t="inlineStr">
        <is>
          <t>2026-03-14_NRTH_at_ARND</t>
        </is>
      </c>
      <c r="D15" s="8" t="inlineStr">
        <is>
          <t>Bats and pitches</t>
        </is>
      </c>
    </row>
    <row r="16">
      <c r="A16" s="8" t="inlineStr">
        <is>
          <t>ARND</t>
        </is>
      </c>
      <c r="B16" s="8" t="inlineStr">
        <is>
          <t>L Atherton</t>
        </is>
      </c>
      <c r="C16" s="8" t="inlineStr">
        <is>
          <t>2026-03-14_NRTH_at_ARND</t>
        </is>
      </c>
      <c r="D16" s="8" t="inlineStr">
        <is>
          <t>Bats and pitches</t>
        </is>
      </c>
    </row>
    <row r="17">
      <c r="A17" s="8" t="inlineStr">
        <is>
          <t>ARND</t>
        </is>
      </c>
      <c r="B17" s="8" t="inlineStr">
        <is>
          <t>L Gamble</t>
        </is>
      </c>
      <c r="C17" s="8" t="inlineStr">
        <is>
          <t>2026-03-14_NRTH_at_ARND</t>
        </is>
      </c>
    </row>
    <row r="18">
      <c r="A18" s="8" t="inlineStr">
        <is>
          <t>ARND</t>
        </is>
      </c>
      <c r="B18" s="8" t="inlineStr">
        <is>
          <t>P Smith</t>
        </is>
      </c>
      <c r="C18" s="8" t="inlineStr">
        <is>
          <t>2026-03-14_NRTH_at_ARND</t>
        </is>
      </c>
    </row>
    <row r="19">
      <c r="A19" s="8" t="inlineStr">
        <is>
          <t>ATHL</t>
        </is>
      </c>
      <c r="B19" s="8" t="inlineStr">
        <is>
          <t>A Chutka</t>
        </is>
      </c>
      <c r="C19" s="8" t="inlineStr">
        <is>
          <t>2026-03-31_GLNL_at_ATHL</t>
        </is>
      </c>
    </row>
    <row r="20">
      <c r="A20" s="8" t="inlineStr">
        <is>
          <t>ATHL</t>
        </is>
      </c>
      <c r="B20" s="8" t="inlineStr">
        <is>
          <t>B Skaggs</t>
        </is>
      </c>
      <c r="C20" s="8" t="inlineStr">
        <is>
          <t>2026-03-31_GLNL_at_ATHL</t>
        </is>
      </c>
    </row>
    <row r="21" ht="15.75" customHeight="1" s="35">
      <c r="A21" s="8" t="inlineStr">
        <is>
          <t>ATHL</t>
        </is>
      </c>
      <c r="B21" s="8" t="inlineStr">
        <is>
          <t>J Bott</t>
        </is>
      </c>
      <c r="C21" s="8" t="inlineStr">
        <is>
          <t>2026-03-31_GLNL_at_ATHL</t>
        </is>
      </c>
      <c r="D21" s="8" t="inlineStr">
        <is>
          <t>Pitcher only (no batting rows in log)</t>
        </is>
      </c>
    </row>
    <row r="22" ht="15.75" customHeight="1" s="35">
      <c r="A22" s="8" t="inlineStr">
        <is>
          <t>ATHL</t>
        </is>
      </c>
      <c r="B22" s="8" t="inlineStr">
        <is>
          <t>J Dailey</t>
        </is>
      </c>
      <c r="C22" s="8" t="inlineStr">
        <is>
          <t>2026-03-31_GLNL_at_ATHL</t>
        </is>
      </c>
    </row>
    <row r="23" ht="15.75" customHeight="1" s="35">
      <c r="A23" s="8" t="inlineStr">
        <is>
          <t>ATHL</t>
        </is>
      </c>
      <c r="B23" s="8" t="inlineStr">
        <is>
          <t>J Martin</t>
        </is>
      </c>
      <c r="C23" s="8" t="inlineStr">
        <is>
          <t>2026-03-31_GLNL_at_ATHL</t>
        </is>
      </c>
    </row>
    <row r="24" ht="15.75" customHeight="1" s="35">
      <c r="A24" s="8" t="inlineStr">
        <is>
          <t>ATHL</t>
        </is>
      </c>
      <c r="B24" s="8" t="inlineStr">
        <is>
          <t>J Whiting</t>
        </is>
      </c>
      <c r="C24" s="8" t="inlineStr">
        <is>
          <t>2026-03-31_GLNL_at_ATHL</t>
        </is>
      </c>
    </row>
    <row r="25" ht="15.75" customHeight="1" s="35">
      <c r="A25" s="8" t="inlineStr">
        <is>
          <t>ATHL</t>
        </is>
      </c>
      <c r="B25" s="8" t="inlineStr">
        <is>
          <t>L Byrns</t>
        </is>
      </c>
      <c r="C25" s="8" t="inlineStr">
        <is>
          <t>2026-03-31_GLNL_at_ATHL</t>
        </is>
      </c>
      <c r="D25" s="8" t="inlineStr">
        <is>
          <t>Pitcher only (no batting rows in log)</t>
        </is>
      </c>
    </row>
    <row r="26" ht="15.75" customHeight="1" s="35">
      <c r="A26" s="8" t="inlineStr">
        <is>
          <t>ATHL</t>
        </is>
      </c>
      <c r="B26" s="8" t="inlineStr">
        <is>
          <t>L Conroy</t>
        </is>
      </c>
      <c r="C26" s="8" t="inlineStr">
        <is>
          <t>2026-03-31_GLNL_at_ATHL</t>
        </is>
      </c>
    </row>
    <row r="27" ht="15.75" customHeight="1" s="35">
      <c r="A27" s="8" t="inlineStr">
        <is>
          <t>ATHL</t>
        </is>
      </c>
      <c r="B27" s="8" t="inlineStr">
        <is>
          <t>N Brewer</t>
        </is>
      </c>
      <c r="C27" s="8" t="inlineStr">
        <is>
          <t>2026-03-31_GLNL_at_ATHL</t>
        </is>
      </c>
    </row>
    <row r="28" ht="15.75" customHeight="1" s="35">
      <c r="A28" s="8" t="inlineStr">
        <is>
          <t>ATHL</t>
        </is>
      </c>
      <c r="B28" s="8" t="inlineStr">
        <is>
          <t>N Weinig</t>
        </is>
      </c>
      <c r="C28" s="8" t="inlineStr">
        <is>
          <t>2026-03-31_GLNL_at_ATHL</t>
        </is>
      </c>
    </row>
    <row r="29" ht="15.75" customHeight="1" s="35">
      <c r="A29" s="8" t="inlineStr">
        <is>
          <t>ATHL</t>
        </is>
      </c>
      <c r="B29" s="8" t="inlineStr">
        <is>
          <t>T MacKenzie</t>
        </is>
      </c>
      <c r="C29" s="8" t="inlineStr">
        <is>
          <t>2026-03-31_GLNL_at_ATHL</t>
        </is>
      </c>
      <c r="D29" s="8" t="inlineStr">
        <is>
          <t>Bats and pitches</t>
        </is>
      </c>
    </row>
    <row r="30" ht="15.75" customHeight="1" s="35">
      <c r="A30" s="8" t="inlineStr">
        <is>
          <t>ATHL</t>
        </is>
      </c>
      <c r="B30" s="8" t="inlineStr">
        <is>
          <t>W Martin</t>
        </is>
      </c>
      <c r="C30" s="8" t="inlineStr">
        <is>
          <t>2026-03-31_GLNL_at_ATHL</t>
        </is>
      </c>
    </row>
    <row r="31" ht="15.75" customHeight="1" s="35">
      <c r="A31" s="8" t="inlineStr">
        <is>
          <t>CHPT</t>
        </is>
      </c>
      <c r="B31" s="8" t="inlineStr">
        <is>
          <t>A Garner</t>
        </is>
      </c>
      <c r="C31" s="8" t="inlineStr">
        <is>
          <t>2026-03-25_NRTH_at_CHPT</t>
        </is>
      </c>
    </row>
    <row r="32" ht="15.75" customHeight="1" s="35">
      <c r="A32" s="8" t="inlineStr">
        <is>
          <t>CHPT</t>
        </is>
      </c>
      <c r="B32" s="8" t="inlineStr">
        <is>
          <t>A Norris</t>
        </is>
      </c>
      <c r="C32" s="8" t="inlineStr">
        <is>
          <t>2026-03-25_NRTH_at_CHPT</t>
        </is>
      </c>
    </row>
    <row r="33" ht="15.75" customHeight="1" s="35">
      <c r="A33" s="8" t="inlineStr">
        <is>
          <t>CHPT</t>
        </is>
      </c>
      <c r="B33" s="8" t="inlineStr">
        <is>
          <t>C Brickman</t>
        </is>
      </c>
      <c r="C33" s="8" t="inlineStr">
        <is>
          <t>2026-03-25_NRTH_at_CHPT</t>
        </is>
      </c>
    </row>
    <row r="34" ht="15.75" customHeight="1" s="35">
      <c r="A34" s="8" t="inlineStr">
        <is>
          <t>CHPT</t>
        </is>
      </c>
      <c r="B34" s="8" t="inlineStr">
        <is>
          <t>C Rabon</t>
        </is>
      </c>
      <c r="C34" s="8" t="inlineStr">
        <is>
          <t>2026-03-25_NRTH_at_CHPT</t>
        </is>
      </c>
    </row>
    <row r="35" ht="15.75" customHeight="1" s="35">
      <c r="A35" s="8" t="inlineStr">
        <is>
          <t>CHPT</t>
        </is>
      </c>
      <c r="B35" s="8" t="inlineStr">
        <is>
          <t>CHPT_#1</t>
        </is>
      </c>
      <c r="C35" s="8" t="inlineStr">
        <is>
          <t>2026-03-30_CHPT_at_HNTN</t>
        </is>
      </c>
    </row>
    <row r="36" ht="15.75" customHeight="1" s="35">
      <c r="A36" s="8" t="inlineStr">
        <is>
          <t>CHPT</t>
        </is>
      </c>
      <c r="B36" s="8" t="inlineStr">
        <is>
          <t>CHPT_#10</t>
        </is>
      </c>
      <c r="C36" s="8" t="inlineStr">
        <is>
          <t>2026-03-30_CHPT_at_HNTN</t>
        </is>
      </c>
    </row>
    <row r="37" ht="15.75" customHeight="1" s="35">
      <c r="A37" s="8" t="inlineStr">
        <is>
          <t>CHPT</t>
        </is>
      </c>
      <c r="B37" s="8" t="inlineStr">
        <is>
          <t>CHPT_#11</t>
        </is>
      </c>
      <c r="C37" s="8" t="inlineStr">
        <is>
          <t>2026-03-30_CHPT_at_HNTN</t>
        </is>
      </c>
      <c r="D37" s="8" t="inlineStr">
        <is>
          <t>Bats and pitches</t>
        </is>
      </c>
    </row>
    <row r="38" ht="15.75" customHeight="1" s="35">
      <c r="A38" s="8" t="inlineStr">
        <is>
          <t>CHPT</t>
        </is>
      </c>
      <c r="B38" s="8" t="inlineStr">
        <is>
          <t>CHPT_#13</t>
        </is>
      </c>
      <c r="C38" s="8" t="inlineStr">
        <is>
          <t>2026-03-30_CHPT_at_HNTN</t>
        </is>
      </c>
      <c r="D38" s="8" t="inlineStr">
        <is>
          <t>Pitcher only (no batting rows in log)</t>
        </is>
      </c>
    </row>
    <row r="39" ht="15.75" customHeight="1" s="35">
      <c r="A39" s="8" t="inlineStr">
        <is>
          <t>CHPT</t>
        </is>
      </c>
      <c r="B39" s="8" t="inlineStr">
        <is>
          <t>CHPT_#15</t>
        </is>
      </c>
      <c r="C39" s="8" t="inlineStr">
        <is>
          <t>2026-03-30_CHPT_at_HNTN</t>
        </is>
      </c>
      <c r="D39" s="8" t="inlineStr">
        <is>
          <t>Bats and pitches</t>
        </is>
      </c>
    </row>
    <row r="40" ht="15.75" customHeight="1" s="35">
      <c r="A40" s="8" t="inlineStr">
        <is>
          <t>CHPT</t>
        </is>
      </c>
      <c r="B40" s="8" t="inlineStr">
        <is>
          <t>CHPT_#2</t>
        </is>
      </c>
      <c r="C40" s="8" t="inlineStr">
        <is>
          <t>2026-03-30_CHPT_at_HNTN</t>
        </is>
      </c>
    </row>
    <row r="41" ht="15.75" customHeight="1" s="35">
      <c r="A41" s="8" t="inlineStr">
        <is>
          <t>CHPT</t>
        </is>
      </c>
      <c r="B41" s="8" t="inlineStr">
        <is>
          <t>CHPT_#21</t>
        </is>
      </c>
      <c r="C41" s="8" t="inlineStr">
        <is>
          <t>2026-03-30_CHPT_at_HNTN</t>
        </is>
      </c>
    </row>
    <row r="42" ht="15.75" customHeight="1" s="35">
      <c r="A42" s="8" t="inlineStr">
        <is>
          <t>CHPT</t>
        </is>
      </c>
      <c r="B42" s="8" t="inlineStr">
        <is>
          <t>CHPT_#3</t>
        </is>
      </c>
      <c r="C42" s="8" t="inlineStr">
        <is>
          <t>2026-03-30_CHPT_at_HNTN</t>
        </is>
      </c>
    </row>
    <row r="43" ht="15.75" customHeight="1" s="35">
      <c r="A43" s="8" t="inlineStr">
        <is>
          <t>CHPT</t>
        </is>
      </c>
      <c r="B43" s="8" t="inlineStr">
        <is>
          <t>CHPT_#6</t>
        </is>
      </c>
      <c r="C43" s="8" t="inlineStr">
        <is>
          <t>2026-03-30_CHPT_at_HNTN</t>
        </is>
      </c>
    </row>
    <row r="44" ht="15.75" customHeight="1" s="35">
      <c r="A44" s="8" t="inlineStr">
        <is>
          <t>CHPT</t>
        </is>
      </c>
      <c r="B44" s="8" t="inlineStr">
        <is>
          <t>CHPT_#8</t>
        </is>
      </c>
      <c r="C44" s="8" t="inlineStr">
        <is>
          <t>2026-03-30_CHPT_at_HNTN</t>
        </is>
      </c>
    </row>
    <row r="45" ht="15.75" customHeight="1" s="35">
      <c r="A45" s="8" t="inlineStr">
        <is>
          <t>CHPT</t>
        </is>
      </c>
      <c r="B45" s="8" t="inlineStr">
        <is>
          <t>CHPT_#9</t>
        </is>
      </c>
      <c r="C45" s="8" t="inlineStr">
        <is>
          <t>2026-03-30_CHPT_at_HNTN</t>
        </is>
      </c>
    </row>
    <row r="46" ht="15.75" customHeight="1" s="35">
      <c r="A46" s="8" t="inlineStr">
        <is>
          <t>CHPT</t>
        </is>
      </c>
      <c r="B46" s="8" t="inlineStr">
        <is>
          <t>CHPT_CF_Unknown</t>
        </is>
      </c>
      <c r="C46" s="8" t="inlineStr">
        <is>
          <t>2026-03-30_CHPT_at_HNTN</t>
        </is>
      </c>
    </row>
    <row r="47" ht="15.75" customHeight="1" s="35">
      <c r="A47" s="8" t="inlineStr">
        <is>
          <t>CHPT</t>
        </is>
      </c>
      <c r="B47" s="8" t="inlineStr">
        <is>
          <t>CHPT_RF_Unknown</t>
        </is>
      </c>
      <c r="C47" s="8" t="inlineStr">
        <is>
          <t>2026-03-30_CHPT_at_HNTN</t>
        </is>
      </c>
    </row>
    <row r="48" ht="15.75" customHeight="1" s="35">
      <c r="A48" s="8" t="inlineStr">
        <is>
          <t>CHPT</t>
        </is>
      </c>
      <c r="B48" s="8" t="inlineStr">
        <is>
          <t>D Watson</t>
        </is>
      </c>
      <c r="C48" s="8" t="inlineStr">
        <is>
          <t>2026-03-25_NRTH_at_CHPT</t>
        </is>
      </c>
      <c r="D48" s="8" t="inlineStr">
        <is>
          <t>Pitcher only (no batting rows in log)</t>
        </is>
      </c>
    </row>
    <row r="49" ht="15.75" customHeight="1" s="35">
      <c r="A49" s="8" t="inlineStr">
        <is>
          <t>CHPT</t>
        </is>
      </c>
      <c r="B49" s="8" t="inlineStr">
        <is>
          <t>E Reynolds</t>
        </is>
      </c>
      <c r="C49" s="8" t="inlineStr">
        <is>
          <t>2026-03-25_NRTH_at_CHPT</t>
        </is>
      </c>
    </row>
    <row r="50" ht="15.75" customHeight="1" s="35">
      <c r="A50" s="8" t="inlineStr">
        <is>
          <t>CHPT</t>
        </is>
      </c>
      <c r="B50" s="8" t="inlineStr">
        <is>
          <t>M McDermott</t>
        </is>
      </c>
      <c r="C50" s="8" t="inlineStr">
        <is>
          <t>2026-03-25_NRTH_at_CHPT</t>
        </is>
      </c>
    </row>
    <row r="51" ht="15.75" customHeight="1" s="35">
      <c r="A51" s="8" t="inlineStr">
        <is>
          <t>CHPT</t>
        </is>
      </c>
      <c r="B51" s="8" t="inlineStr">
        <is>
          <t>R Welch</t>
        </is>
      </c>
      <c r="C51" s="8" t="inlineStr">
        <is>
          <t>2026-03-25_NRTH_at_CHPT</t>
        </is>
      </c>
    </row>
    <row r="52" ht="15.75" customHeight="1" s="35">
      <c r="A52" s="8" t="inlineStr">
        <is>
          <t>CHPT</t>
        </is>
      </c>
      <c r="B52" s="8" t="inlineStr">
        <is>
          <t>S Beach</t>
        </is>
      </c>
      <c r="C52" s="8" t="inlineStr">
        <is>
          <t>2026-03-25_NRTH_at_CHPT</t>
        </is>
      </c>
      <c r="D52" s="8" t="inlineStr">
        <is>
          <t>Bats and pitches</t>
        </is>
      </c>
    </row>
    <row r="53" ht="15.75" customHeight="1" s="35">
      <c r="A53" s="8" t="inlineStr">
        <is>
          <t>CHPT</t>
        </is>
      </c>
      <c r="B53" s="8" t="inlineStr">
        <is>
          <t>T Bailey</t>
        </is>
      </c>
      <c r="C53" s="8" t="inlineStr">
        <is>
          <t>2026-03-25_NRTH_at_CHPT</t>
        </is>
      </c>
    </row>
    <row r="54" ht="15.75" customHeight="1" s="35">
      <c r="A54" s="8" t="inlineStr">
        <is>
          <t>CHPT</t>
        </is>
      </c>
      <c r="B54" s="8" t="inlineStr">
        <is>
          <t>T Haggard</t>
        </is>
      </c>
      <c r="C54" s="8" t="inlineStr">
        <is>
          <t>2026-03-25_NRTH_at_CHPT</t>
        </is>
      </c>
    </row>
    <row r="55" ht="15.75" customHeight="1" s="35">
      <c r="A55" s="8" t="inlineStr">
        <is>
          <t>CLVR</t>
        </is>
      </c>
      <c r="B55" s="8" t="inlineStr">
        <is>
          <t>C Hall</t>
        </is>
      </c>
      <c r="C55" s="8" t="inlineStr">
        <is>
          <t>2026-03-20_CLVR_at_HNTN</t>
        </is>
      </c>
    </row>
    <row r="56" ht="15.75" customHeight="1" s="35">
      <c r="A56" s="8" t="inlineStr">
        <is>
          <t>CLVR</t>
        </is>
      </c>
      <c r="B56" s="8" t="inlineStr">
        <is>
          <t>C Sacker</t>
        </is>
      </c>
      <c r="C56" s="8" t="inlineStr">
        <is>
          <t>2026-03-20_CLVR_at_HNTN</t>
        </is>
      </c>
    </row>
    <row r="57" ht="15.75" customHeight="1" s="35">
      <c r="A57" s="8" t="inlineStr">
        <is>
          <t>CLVR</t>
        </is>
      </c>
      <c r="B57" s="8" t="inlineStr">
        <is>
          <t>CLVR_#13</t>
        </is>
      </c>
      <c r="C57" s="8" t="inlineStr">
        <is>
          <t>2026-03-20_CLVR_at_HNTN</t>
        </is>
      </c>
    </row>
    <row r="58" ht="15.75" customHeight="1" s="35">
      <c r="A58" s="8" t="inlineStr">
        <is>
          <t>CLVR</t>
        </is>
      </c>
      <c r="B58" s="8" t="inlineStr">
        <is>
          <t>D Sauls</t>
        </is>
      </c>
      <c r="C58" s="8" t="inlineStr">
        <is>
          <t>2026-03-20_CLVR_at_HNTN</t>
        </is>
      </c>
    </row>
    <row r="59" ht="15.75" customHeight="1" s="35">
      <c r="A59" s="8" t="inlineStr">
        <is>
          <t>CLVR</t>
        </is>
      </c>
      <c r="B59" s="8" t="inlineStr">
        <is>
          <t>G Groom</t>
        </is>
      </c>
      <c r="C59" s="8" t="inlineStr">
        <is>
          <t>2026-03-20_CLVR_at_HNTN</t>
        </is>
      </c>
    </row>
    <row r="60" ht="15.75" customHeight="1" s="35">
      <c r="A60" s="8" t="inlineStr">
        <is>
          <t>CLVR</t>
        </is>
      </c>
      <c r="B60" s="8" t="inlineStr">
        <is>
          <t>J Lee</t>
        </is>
      </c>
      <c r="C60" s="8" t="inlineStr">
        <is>
          <t>2026-03-20_CLVR_at_HNTN</t>
        </is>
      </c>
      <c r="D60" s="8" t="inlineStr">
        <is>
          <t>Bats and pitches</t>
        </is>
      </c>
    </row>
    <row r="61" ht="15.75" customHeight="1" s="35">
      <c r="A61" s="8" t="inlineStr">
        <is>
          <t>CLVR</t>
        </is>
      </c>
      <c r="B61" s="8" t="inlineStr">
        <is>
          <t>J Leichtweis</t>
        </is>
      </c>
      <c r="C61" s="8" t="inlineStr">
        <is>
          <t>2026-03-20_CLVR_at_HNTN</t>
        </is>
      </c>
      <c r="D61" s="8" t="inlineStr">
        <is>
          <t>Bats and pitches</t>
        </is>
      </c>
    </row>
    <row r="62" ht="15.75" customHeight="1" s="35">
      <c r="A62" s="8" t="inlineStr">
        <is>
          <t>CLVR</t>
        </is>
      </c>
      <c r="B62" s="8" t="inlineStr">
        <is>
          <t>J Rodenhaver</t>
        </is>
      </c>
      <c r="C62" s="8" t="inlineStr">
        <is>
          <t>2026-03-20_CLVR_at_HNTN</t>
        </is>
      </c>
    </row>
    <row r="63" ht="15.75" customHeight="1" s="35">
      <c r="A63" s="8" t="inlineStr">
        <is>
          <t>CLVR</t>
        </is>
      </c>
      <c r="B63" s="8" t="inlineStr">
        <is>
          <t>M Merriman</t>
        </is>
      </c>
      <c r="C63" s="8" t="inlineStr">
        <is>
          <t>2026-03-20_CLVR_at_HNTN</t>
        </is>
      </c>
    </row>
    <row r="64" ht="15.75" customHeight="1" s="35">
      <c r="A64" s="8" t="inlineStr">
        <is>
          <t>CLVR</t>
        </is>
      </c>
      <c r="B64" s="8" t="inlineStr">
        <is>
          <t>N D'Agostino</t>
        </is>
      </c>
      <c r="C64" s="8" t="inlineStr">
        <is>
          <t>2026-03-20_CLVR_at_HNTN</t>
        </is>
      </c>
    </row>
    <row r="65" ht="15.75" customHeight="1" s="35">
      <c r="A65" s="8" t="inlineStr">
        <is>
          <t>DMSC</t>
        </is>
      </c>
      <c r="B65" s="8" t="inlineStr">
        <is>
          <t>A Iorio</t>
        </is>
      </c>
      <c r="C65" s="8" t="inlineStr">
        <is>
          <t>2026-03-07_DMSC_at_GLNL</t>
        </is>
      </c>
    </row>
    <row r="66" ht="15.75" customHeight="1" s="35">
      <c r="A66" s="8" t="inlineStr">
        <is>
          <t>DMSC</t>
        </is>
      </c>
      <c r="B66" s="8" t="inlineStr">
        <is>
          <t>C Gardner</t>
        </is>
      </c>
      <c r="C66" s="8" t="inlineStr">
        <is>
          <t>2026-03-07_DMSC_at_GLNL</t>
        </is>
      </c>
    </row>
    <row r="67" ht="15.75" customHeight="1" s="35">
      <c r="A67" s="8" t="inlineStr">
        <is>
          <t>DMSC</t>
        </is>
      </c>
      <c r="B67" s="8" t="inlineStr">
        <is>
          <t>C Holland</t>
        </is>
      </c>
      <c r="C67" s="8" t="inlineStr">
        <is>
          <t>2026-03-07_DMSC_at_GLNL</t>
        </is>
      </c>
    </row>
    <row r="68" ht="15.75" customHeight="1" s="35">
      <c r="A68" s="8" t="inlineStr">
        <is>
          <t>DMSC</t>
        </is>
      </c>
      <c r="B68" s="8" t="inlineStr">
        <is>
          <t>DMSC_SS_unknown</t>
        </is>
      </c>
      <c r="C68" s="8" t="inlineStr">
        <is>
          <t>2026-03-07_DMSC_at_GLNL</t>
        </is>
      </c>
    </row>
    <row r="69" ht="15.75" customHeight="1" s="35">
      <c r="A69" s="8" t="inlineStr">
        <is>
          <t>DMSC</t>
        </is>
      </c>
      <c r="B69" s="8" t="inlineStr">
        <is>
          <t>G Iorio</t>
        </is>
      </c>
      <c r="C69" s="8" t="inlineStr">
        <is>
          <t>2026-03-07_DMSC_at_GLNL</t>
        </is>
      </c>
    </row>
    <row r="70" ht="15.75" customHeight="1" s="35">
      <c r="A70" s="8" t="inlineStr">
        <is>
          <t>DMSC</t>
        </is>
      </c>
      <c r="B70" s="8" t="inlineStr">
        <is>
          <t>J Reyes</t>
        </is>
      </c>
      <c r="C70" s="8" t="inlineStr">
        <is>
          <t>2026-03-07_DMSC_at_GLNL</t>
        </is>
      </c>
    </row>
    <row r="71" ht="15.75" customHeight="1" s="35">
      <c r="A71" s="8" t="inlineStr">
        <is>
          <t>DMSC</t>
        </is>
      </c>
      <c r="B71" s="8" t="inlineStr">
        <is>
          <t>J Witmer</t>
        </is>
      </c>
      <c r="C71" s="8" t="inlineStr">
        <is>
          <t>2026-03-07_DMSC_at_GLNL</t>
        </is>
      </c>
    </row>
    <row r="72" ht="15.75" customHeight="1" s="35">
      <c r="A72" s="8" t="inlineStr">
        <is>
          <t>DMSC</t>
        </is>
      </c>
      <c r="B72" s="8" t="inlineStr">
        <is>
          <t>K Childers</t>
        </is>
      </c>
      <c r="C72" s="8" t="inlineStr">
        <is>
          <t>2026-03-07_DMSC_at_GLNL</t>
        </is>
      </c>
    </row>
    <row r="73" ht="15.75" customHeight="1" s="35">
      <c r="A73" s="8" t="inlineStr">
        <is>
          <t>DMSC</t>
        </is>
      </c>
      <c r="B73" s="8" t="inlineStr">
        <is>
          <t>L Curtin</t>
        </is>
      </c>
      <c r="C73" s="8" t="inlineStr">
        <is>
          <t>2026-03-07_DMSC_at_GLNL</t>
        </is>
      </c>
    </row>
    <row r="74" ht="15.75" customHeight="1" s="35">
      <c r="A74" s="8" t="inlineStr">
        <is>
          <t>DMSC</t>
        </is>
      </c>
      <c r="B74" s="8" t="inlineStr">
        <is>
          <t>N Cooley</t>
        </is>
      </c>
      <c r="C74" s="8" t="inlineStr">
        <is>
          <t>2026-03-07_DMSC_at_GLNL</t>
        </is>
      </c>
    </row>
    <row r="75" ht="15.75" customHeight="1" s="35">
      <c r="A75" s="8" t="inlineStr">
        <is>
          <t>DMSC</t>
        </is>
      </c>
      <c r="B75" s="8" t="inlineStr">
        <is>
          <t>R Chidakel</t>
        </is>
      </c>
      <c r="C75" s="8" t="inlineStr">
        <is>
          <t>2026-03-07_DMSC_at_GLNL</t>
        </is>
      </c>
    </row>
    <row r="76" ht="15.75" customHeight="1" s="35">
      <c r="A76" s="8" t="inlineStr">
        <is>
          <t>ELNR</t>
        </is>
      </c>
      <c r="B76" s="8" t="inlineStr">
        <is>
          <t>A Kennell</t>
        </is>
      </c>
      <c r="C76" s="8" t="inlineStr">
        <is>
          <t>2026-03-07_ELNR_at_NRTH</t>
        </is>
      </c>
      <c r="D76" s="8" t="inlineStr">
        <is>
          <t>Bats and pitches</t>
        </is>
      </c>
    </row>
    <row r="77" ht="15.75" customHeight="1" s="35">
      <c r="A77" s="8" t="inlineStr">
        <is>
          <t>ELNR</t>
        </is>
      </c>
      <c r="B77" s="8" t="inlineStr">
        <is>
          <t>A Wimbish</t>
        </is>
      </c>
      <c r="C77" s="8" t="inlineStr">
        <is>
          <t>2026-03-07_ELNR_at_NRTH</t>
        </is>
      </c>
    </row>
    <row r="78" ht="15.75" customHeight="1" s="35">
      <c r="A78" s="8" t="inlineStr">
        <is>
          <t>ELNR</t>
        </is>
      </c>
      <c r="B78" s="8" t="inlineStr">
        <is>
          <t>B Durham</t>
        </is>
      </c>
      <c r="C78" s="8" t="inlineStr">
        <is>
          <t>2026-03-07_ELNR_at_NRTH</t>
        </is>
      </c>
    </row>
    <row r="79" ht="15.75" customHeight="1" s="35">
      <c r="A79" s="8" t="inlineStr">
        <is>
          <t>ELNR</t>
        </is>
      </c>
      <c r="B79" s="8" t="inlineStr">
        <is>
          <t>C Knight</t>
        </is>
      </c>
      <c r="C79" s="8" t="inlineStr">
        <is>
          <t>2026-03-07_ELNR_at_NRTH</t>
        </is>
      </c>
    </row>
    <row r="80" ht="15.75" customHeight="1" s="35">
      <c r="A80" s="8" t="inlineStr">
        <is>
          <t>ELNR</t>
        </is>
      </c>
      <c r="B80" s="8" t="inlineStr">
        <is>
          <t>J Burke</t>
        </is>
      </c>
      <c r="C80" s="8" t="inlineStr">
        <is>
          <t>2026-03-07_ELNR_at_NRTH</t>
        </is>
      </c>
      <c r="D80" s="8" t="inlineStr">
        <is>
          <t>Bats and pitches</t>
        </is>
      </c>
    </row>
    <row r="81" ht="15.75" customHeight="1" s="35">
      <c r="A81" s="8" t="inlineStr">
        <is>
          <t>ELNR</t>
        </is>
      </c>
      <c r="B81" s="8" t="inlineStr">
        <is>
          <t>J Maitland</t>
        </is>
      </c>
      <c r="C81" s="8" t="inlineStr">
        <is>
          <t>2026-03-07_ELNR_at_NRTH</t>
        </is>
      </c>
    </row>
    <row r="82" ht="15.75" customHeight="1" s="35">
      <c r="A82" s="8" t="inlineStr">
        <is>
          <t>ELNR</t>
        </is>
      </c>
      <c r="B82" s="8" t="inlineStr">
        <is>
          <t>K Watkins-Fleisher</t>
        </is>
      </c>
      <c r="C82" s="8" t="inlineStr">
        <is>
          <t>2026-03-07_ELNR_at_NRTH</t>
        </is>
      </c>
    </row>
    <row r="83" ht="15.75" customHeight="1" s="35">
      <c r="A83" s="8" t="inlineStr">
        <is>
          <t>ELNR</t>
        </is>
      </c>
      <c r="B83" s="8" t="inlineStr">
        <is>
          <t>M Keaton</t>
        </is>
      </c>
      <c r="C83" s="8" t="inlineStr">
        <is>
          <t>2026-03-07_ELNR_at_NRTH</t>
        </is>
      </c>
      <c r="D83" s="8" t="inlineStr">
        <is>
          <t>Pitcher only (no batting rows in log)</t>
        </is>
      </c>
    </row>
    <row r="84" ht="15.75" customHeight="1" s="35">
      <c r="A84" s="8" t="inlineStr">
        <is>
          <t>ELNR</t>
        </is>
      </c>
      <c r="B84" s="8" t="inlineStr">
        <is>
          <t>R Coxen</t>
        </is>
      </c>
      <c r="C84" s="8" t="inlineStr">
        <is>
          <t>2026-03-07_ELNR_at_NRTH</t>
        </is>
      </c>
    </row>
    <row r="85" ht="15.75" customHeight="1" s="35">
      <c r="A85" s="8" t="inlineStr">
        <is>
          <t>ELNR</t>
        </is>
      </c>
      <c r="B85" s="8" t="inlineStr">
        <is>
          <t>S Hamilton</t>
        </is>
      </c>
      <c r="C85" s="8" t="inlineStr">
        <is>
          <t>2026-03-07_ELNR_at_NRTH</t>
        </is>
      </c>
    </row>
    <row r="86" ht="15.75" customHeight="1" s="35">
      <c r="A86" s="8" t="inlineStr">
        <is>
          <t>ELNR</t>
        </is>
      </c>
      <c r="B86" s="8" t="inlineStr">
        <is>
          <t>T White</t>
        </is>
      </c>
      <c r="C86" s="8" t="inlineStr">
        <is>
          <t>2026-03-07_ELNR_at_NRTH</t>
        </is>
      </c>
    </row>
    <row r="87" ht="15.75" customHeight="1" s="35">
      <c r="A87" s="8" t="inlineStr">
        <is>
          <t>FLLS</t>
        </is>
      </c>
      <c r="B87" s="8" t="inlineStr">
        <is>
          <t>C Flanagan</t>
        </is>
      </c>
      <c r="C87" s="8" t="inlineStr">
        <is>
          <t>2026-03-30_FLLS_at_RVRH</t>
        </is>
      </c>
      <c r="D87" s="8" t="inlineStr">
        <is>
          <t>Pitcher only (no batting rows in log)</t>
        </is>
      </c>
    </row>
    <row r="88" ht="15.75" customHeight="1" s="35">
      <c r="A88" s="8" t="inlineStr">
        <is>
          <t>FLLS</t>
        </is>
      </c>
      <c r="B88" s="8" t="inlineStr">
        <is>
          <t>E Slicher</t>
        </is>
      </c>
      <c r="C88" s="8" t="inlineStr">
        <is>
          <t>2026-03-30_FLLS_at_RVRH</t>
        </is>
      </c>
    </row>
    <row r="89" ht="15.75" customHeight="1" s="35">
      <c r="A89" s="8" t="inlineStr">
        <is>
          <t>FLLS</t>
        </is>
      </c>
      <c r="B89" s="8" t="inlineStr">
        <is>
          <t>F Rebasti</t>
        </is>
      </c>
      <c r="C89" s="8" t="inlineStr">
        <is>
          <t>2026-03-30_FLLS_at_RVRH</t>
        </is>
      </c>
    </row>
    <row r="90" ht="15.75" customHeight="1" s="35">
      <c r="A90" s="8" t="inlineStr">
        <is>
          <t>FLLS</t>
        </is>
      </c>
      <c r="B90" s="8" t="inlineStr">
        <is>
          <t>G Kersch</t>
        </is>
      </c>
      <c r="C90" s="8" t="inlineStr">
        <is>
          <t>2026-03-30_FLLS_at_RVRH</t>
        </is>
      </c>
    </row>
    <row r="91" ht="15.75" customHeight="1" s="35">
      <c r="A91" s="8" t="inlineStr">
        <is>
          <t>FLLS</t>
        </is>
      </c>
      <c r="B91" s="8" t="inlineStr">
        <is>
          <t>I Bishoff</t>
        </is>
      </c>
      <c r="C91" s="8" t="inlineStr">
        <is>
          <t>2026-03-30_FLLS_at_RVRH</t>
        </is>
      </c>
    </row>
    <row r="92" ht="15.75" customHeight="1" s="35">
      <c r="A92" s="8" t="inlineStr">
        <is>
          <t>FLLS</t>
        </is>
      </c>
      <c r="B92" s="8" t="inlineStr">
        <is>
          <t>J Potler</t>
        </is>
      </c>
      <c r="C92" s="8" t="inlineStr">
        <is>
          <t>2026-03-30_FLLS_at_RVRH</t>
        </is>
      </c>
    </row>
    <row r="93" ht="15.75" customHeight="1" s="35">
      <c r="A93" s="8" t="inlineStr">
        <is>
          <t>FLLS</t>
        </is>
      </c>
      <c r="B93" s="8" t="inlineStr">
        <is>
          <t>J Schilpp</t>
        </is>
      </c>
      <c r="C93" s="8" t="inlineStr">
        <is>
          <t>2026-03-30_FLLS_at_RVRH</t>
        </is>
      </c>
    </row>
    <row r="94" ht="15.75" customHeight="1" s="35">
      <c r="A94" s="8" t="inlineStr">
        <is>
          <t>FLLS</t>
        </is>
      </c>
      <c r="B94" s="8" t="inlineStr">
        <is>
          <t>R Conley</t>
        </is>
      </c>
      <c r="C94" s="8" t="inlineStr">
        <is>
          <t>2026-03-30_FLLS_at_RVRH</t>
        </is>
      </c>
    </row>
    <row r="95" ht="15.75" customHeight="1" s="35">
      <c r="A95" s="8" t="inlineStr">
        <is>
          <t>FLLS</t>
        </is>
      </c>
      <c r="B95" s="8" t="inlineStr">
        <is>
          <t>R Cullison</t>
        </is>
      </c>
      <c r="C95" s="8" t="inlineStr">
        <is>
          <t>2026-03-30_FLLS_at_RVRH</t>
        </is>
      </c>
      <c r="D95" s="8" t="inlineStr">
        <is>
          <t>Pitcher only (no batting rows in log)</t>
        </is>
      </c>
    </row>
    <row r="96" ht="15.75" customHeight="1" s="35">
      <c r="A96" s="8" t="inlineStr">
        <is>
          <t>FLLS</t>
        </is>
      </c>
      <c r="B96" s="8" t="inlineStr">
        <is>
          <t>W Kregel</t>
        </is>
      </c>
      <c r="C96" s="8" t="inlineStr">
        <is>
          <t>2026-03-30_FLLS_at_RVRH</t>
        </is>
      </c>
    </row>
    <row r="97" ht="15.75" customHeight="1" s="35">
      <c r="A97" s="8" t="inlineStr">
        <is>
          <t>FLLS</t>
        </is>
      </c>
      <c r="B97" s="8" t="inlineStr">
        <is>
          <t>Z Loewe</t>
        </is>
      </c>
      <c r="C97" s="8" t="inlineStr">
        <is>
          <t>2026-03-30_FLLS_at_RVRH</t>
        </is>
      </c>
    </row>
    <row r="98" ht="15.75" customHeight="1" s="35">
      <c r="A98" s="8" t="inlineStr">
        <is>
          <t>GLFR</t>
        </is>
      </c>
      <c r="B98" s="8" t="inlineStr">
        <is>
          <t>GLFR_AA</t>
        </is>
      </c>
      <c r="C98" s="8" t="inlineStr">
        <is>
          <t>2026-03-21_RVRH_at_GLFR</t>
        </is>
      </c>
      <c r="D98" s="8" t="inlineStr">
        <is>
          <t>Bats and pitches</t>
        </is>
      </c>
    </row>
    <row r="99" ht="15.75" customHeight="1" s="35">
      <c r="A99" s="8" t="inlineStr">
        <is>
          <t>GLFR</t>
        </is>
      </c>
      <c r="B99" s="8" t="inlineStr">
        <is>
          <t>GLFR_BS</t>
        </is>
      </c>
      <c r="C99" s="8" t="inlineStr">
        <is>
          <t>2026-03-21_RVRH_at_GLFR</t>
        </is>
      </c>
      <c r="D99" s="8" t="inlineStr">
        <is>
          <t>Bats and pitches</t>
        </is>
      </c>
    </row>
    <row r="100" ht="15.75" customHeight="1" s="35">
      <c r="A100" s="8" t="inlineStr">
        <is>
          <t>GLFR</t>
        </is>
      </c>
      <c r="B100" s="8" t="inlineStr">
        <is>
          <t>GLFR_IW</t>
        </is>
      </c>
      <c r="C100" s="8" t="inlineStr">
        <is>
          <t>2026-03-21_RVRH_at_GLFR</t>
        </is>
      </c>
    </row>
    <row r="101" ht="15.75" customHeight="1" s="35">
      <c r="A101" s="8" t="inlineStr">
        <is>
          <t>GLFR</t>
        </is>
      </c>
      <c r="B101" s="8" t="inlineStr">
        <is>
          <t>GLFR_JH</t>
        </is>
      </c>
      <c r="C101" s="8" t="inlineStr">
        <is>
          <t>2026-03-21_RVRH_at_GLFR</t>
        </is>
      </c>
    </row>
    <row r="102" ht="15.75" customHeight="1" s="35">
      <c r="A102" s="8" t="inlineStr">
        <is>
          <t>GLFR</t>
        </is>
      </c>
      <c r="B102" s="8" t="inlineStr">
        <is>
          <t>GLFR_JS</t>
        </is>
      </c>
      <c r="C102" s="8" t="inlineStr">
        <is>
          <t>2026-03-21_RVRH_at_GLFR</t>
        </is>
      </c>
    </row>
    <row r="103" ht="15.75" customHeight="1" s="35">
      <c r="A103" s="8" t="inlineStr">
        <is>
          <t>GLFR</t>
        </is>
      </c>
      <c r="B103" s="8" t="inlineStr">
        <is>
          <t>GLFR_LL</t>
        </is>
      </c>
      <c r="C103" s="8" t="inlineStr">
        <is>
          <t>2026-03-21_RVRH_at_GLFR</t>
        </is>
      </c>
      <c r="D103" s="8" t="inlineStr">
        <is>
          <t>Bats and pitches</t>
        </is>
      </c>
    </row>
    <row r="104" ht="15.75" customHeight="1" s="35">
      <c r="A104" s="8" t="inlineStr">
        <is>
          <t>GLFR</t>
        </is>
      </c>
      <c r="B104" s="8" t="inlineStr">
        <is>
          <t>GLFR_LR</t>
        </is>
      </c>
      <c r="C104" s="8" t="inlineStr">
        <is>
          <t>2026-03-21_RVRH_at_GLFR</t>
        </is>
      </c>
    </row>
    <row r="105" ht="15.75" customHeight="1" s="35">
      <c r="A105" s="8" t="inlineStr">
        <is>
          <t>GLFR</t>
        </is>
      </c>
      <c r="B105" s="8" t="inlineStr">
        <is>
          <t>GLFR_MR</t>
        </is>
      </c>
      <c r="C105" s="8" t="inlineStr">
        <is>
          <t>2026-03-21_RVRH_at_GLFR</t>
        </is>
      </c>
    </row>
    <row r="106" ht="15.75" customHeight="1" s="35">
      <c r="A106" s="8" t="inlineStr">
        <is>
          <t>GLFR</t>
        </is>
      </c>
      <c r="B106" s="8" t="inlineStr">
        <is>
          <t>GLFR_ST</t>
        </is>
      </c>
      <c r="C106" s="8" t="inlineStr">
        <is>
          <t>2026-03-21_RVRH_at_GLFR</t>
        </is>
      </c>
    </row>
    <row r="107" ht="15.75" customHeight="1" s="35">
      <c r="A107" s="8" t="inlineStr">
        <is>
          <t>GLNL</t>
        </is>
      </c>
      <c r="B107" s="8" t="inlineStr">
        <is>
          <t>A Baker</t>
        </is>
      </c>
      <c r="C107" s="8" t="inlineStr">
        <is>
          <t>2026-03-07_DMSC_at_GLNL</t>
        </is>
      </c>
      <c r="D107" s="8" t="inlineStr">
        <is>
          <t>Bats and pitches</t>
        </is>
      </c>
      <c r="E107" s="8" t="n">
        <v>1</v>
      </c>
    </row>
    <row r="108" ht="15.75" customHeight="1" s="35">
      <c r="A108" s="8" t="inlineStr">
        <is>
          <t>GLNL</t>
        </is>
      </c>
      <c r="B108" s="8" t="inlineStr">
        <is>
          <t>A Nazelrod</t>
        </is>
      </c>
      <c r="C108" s="8" t="inlineStr">
        <is>
          <t>2026-03-07_DMSC_at_GLNL</t>
        </is>
      </c>
      <c r="E108" s="8" t="n">
        <v>7</v>
      </c>
    </row>
    <row r="109" ht="15.75" customHeight="1" s="35">
      <c r="A109" s="8" t="inlineStr">
        <is>
          <t>GLNL</t>
        </is>
      </c>
      <c r="B109" s="8" t="inlineStr">
        <is>
          <t>B Burckhardt</t>
        </is>
      </c>
      <c r="C109" s="8" t="inlineStr">
        <is>
          <t>2026-03-07_DMSC_at_GLNL</t>
        </is>
      </c>
    </row>
    <row r="110" ht="15.75" customHeight="1" s="35">
      <c r="A110" s="8" t="inlineStr">
        <is>
          <t>GLNL</t>
        </is>
      </c>
      <c r="B110" s="8" t="inlineStr">
        <is>
          <t>B Burkhardt</t>
        </is>
      </c>
      <c r="C110" s="8" t="inlineStr">
        <is>
          <t>2026-03-27_GLNL_at_RVRH</t>
        </is>
      </c>
    </row>
    <row r="111" ht="15.75" customHeight="1" s="35">
      <c r="A111" s="8" t="inlineStr">
        <is>
          <t>GLNL</t>
        </is>
      </c>
      <c r="B111" s="8" t="inlineStr">
        <is>
          <t>B Conlon</t>
        </is>
      </c>
      <c r="C111" s="8" t="inlineStr">
        <is>
          <t>2026-03-07_DMSC_at_GLNL</t>
        </is>
      </c>
      <c r="D111" s="8" t="inlineStr">
        <is>
          <t>Bats and pitches</t>
        </is>
      </c>
      <c r="E111" s="8" t="n">
        <v>4</v>
      </c>
    </row>
    <row r="112" ht="15.75" customHeight="1" s="35">
      <c r="A112" s="8" t="inlineStr">
        <is>
          <t>GLNL</t>
        </is>
      </c>
      <c r="B112" s="8" t="inlineStr">
        <is>
          <t>B Harms</t>
        </is>
      </c>
      <c r="C112" s="8" t="inlineStr">
        <is>
          <t>2026-03-07_DMSC_at_GLNL</t>
        </is>
      </c>
    </row>
    <row r="113" ht="15.75" customHeight="1" s="35">
      <c r="A113" s="8" t="inlineStr">
        <is>
          <t>GLNL</t>
        </is>
      </c>
      <c r="B113" s="8" t="inlineStr">
        <is>
          <t>C Brown</t>
        </is>
      </c>
      <c r="C113" s="8" t="inlineStr">
        <is>
          <t>2026-03-07_DMSC_at_GLNL</t>
        </is>
      </c>
    </row>
    <row r="114" ht="15.75" customHeight="1" s="35">
      <c r="A114" s="8" t="inlineStr">
        <is>
          <t>GLNL</t>
        </is>
      </c>
      <c r="B114" s="8" t="inlineStr">
        <is>
          <t>C Gerber-Lombardi</t>
        </is>
      </c>
      <c r="C114" s="8" t="inlineStr">
        <is>
          <t>2026-03-23_GLNL_at_HWRD</t>
        </is>
      </c>
    </row>
    <row r="115" ht="15.75" customHeight="1" s="35">
      <c r="A115" s="8" t="inlineStr">
        <is>
          <t>GLNL</t>
        </is>
      </c>
      <c r="B115" s="8" t="inlineStr">
        <is>
          <t>C Lease</t>
        </is>
      </c>
      <c r="C115" s="8" t="inlineStr">
        <is>
          <t>2026-03-07_DMSC_at_GLNL</t>
        </is>
      </c>
      <c r="E115" s="8" t="n">
        <v>3</v>
      </c>
    </row>
    <row r="116" ht="15.75" customHeight="1" s="35">
      <c r="A116" s="8" t="inlineStr">
        <is>
          <t>GLNL</t>
        </is>
      </c>
      <c r="B116" s="8" t="inlineStr">
        <is>
          <t>C Starcher</t>
        </is>
      </c>
      <c r="C116" s="8" t="inlineStr">
        <is>
          <t>2026-03-07_DMSC_at_GLNL</t>
        </is>
      </c>
      <c r="D116" s="8" t="inlineStr">
        <is>
          <t>Pitcher only (no batting rows in log)</t>
        </is>
      </c>
    </row>
    <row r="117" ht="15.75" customHeight="1" s="35">
      <c r="A117" s="8" t="inlineStr">
        <is>
          <t>GLNL</t>
        </is>
      </c>
      <c r="B117" s="8" t="inlineStr">
        <is>
          <t>D Heim</t>
        </is>
      </c>
      <c r="C117" s="8" t="inlineStr">
        <is>
          <t>2026-03-23_GLNL_at_HWRD</t>
        </is>
      </c>
    </row>
    <row r="118" ht="15.75" customHeight="1" s="35">
      <c r="A118" s="8" t="inlineStr">
        <is>
          <t>GLNL</t>
        </is>
      </c>
      <c r="B118" s="8" t="inlineStr">
        <is>
          <t>E Laprise</t>
        </is>
      </c>
      <c r="C118" s="8" t="inlineStr">
        <is>
          <t>2026-03-07_DMSC_at_GLNL</t>
        </is>
      </c>
    </row>
    <row r="119" ht="15.75" customHeight="1" s="35">
      <c r="A119" s="8" t="inlineStr">
        <is>
          <t>GLNL</t>
        </is>
      </c>
      <c r="B119" s="8" t="inlineStr">
        <is>
          <t>G Knauss</t>
        </is>
      </c>
      <c r="C119" s="8" t="inlineStr">
        <is>
          <t>2026-03-07_DMSC_at_GLNL</t>
        </is>
      </c>
      <c r="E119" s="8" t="n">
        <v>8</v>
      </c>
    </row>
    <row r="120" ht="15.75" customHeight="1" s="35">
      <c r="A120" s="8" t="inlineStr">
        <is>
          <t>GLNL</t>
        </is>
      </c>
      <c r="B120" s="8" t="inlineStr">
        <is>
          <t>G Melhuish</t>
        </is>
      </c>
      <c r="C120" s="8" t="inlineStr">
        <is>
          <t>2026-03-07_DMSC_at_GLNL</t>
        </is>
      </c>
    </row>
    <row r="121" ht="15.75" customHeight="1" s="35">
      <c r="A121" s="8" t="inlineStr">
        <is>
          <t>GLNL</t>
        </is>
      </c>
      <c r="B121" s="8" t="inlineStr">
        <is>
          <t>J Jones</t>
        </is>
      </c>
      <c r="C121" s="8" t="inlineStr">
        <is>
          <t>2026-03-07_DMSC_at_GLNL</t>
        </is>
      </c>
    </row>
    <row r="122" ht="15.75" customHeight="1" s="35">
      <c r="A122" s="8" t="inlineStr">
        <is>
          <t>GLNL</t>
        </is>
      </c>
      <c r="B122" s="8" t="inlineStr">
        <is>
          <t>J Miles</t>
        </is>
      </c>
      <c r="C122" s="8" t="inlineStr">
        <is>
          <t>2026-03-07_DMSC_at_GLNL</t>
        </is>
      </c>
      <c r="D122" s="8" t="inlineStr">
        <is>
          <t>Bats and pitches</t>
        </is>
      </c>
      <c r="E122" s="8" t="n">
        <v>6</v>
      </c>
    </row>
    <row r="123" ht="15.75" customHeight="1" s="35">
      <c r="A123" s="8" t="inlineStr">
        <is>
          <t>GLNL</t>
        </is>
      </c>
      <c r="B123" s="8" t="inlineStr">
        <is>
          <t>M Beares</t>
        </is>
      </c>
      <c r="C123" s="8" t="inlineStr">
        <is>
          <t>2026-03-07_DMSC_at_GLNL</t>
        </is>
      </c>
    </row>
    <row r="124" ht="15.75" customHeight="1" s="35">
      <c r="A124" s="8" t="inlineStr">
        <is>
          <t>GLNL</t>
        </is>
      </c>
      <c r="B124" s="8" t="inlineStr">
        <is>
          <t>M Kirk</t>
        </is>
      </c>
      <c r="C124" s="8" t="inlineStr">
        <is>
          <t>2026-03-07_DMSC_at_GLNL</t>
        </is>
      </c>
      <c r="D124" s="8" t="inlineStr">
        <is>
          <t>Pitcher only (no batting rows in log)</t>
        </is>
      </c>
    </row>
    <row r="125" ht="15.75" customHeight="1" s="35">
      <c r="A125" s="8" t="inlineStr">
        <is>
          <t>GLNL</t>
        </is>
      </c>
      <c r="B125" s="8" t="inlineStr">
        <is>
          <t>M Melhuish</t>
        </is>
      </c>
      <c r="C125" s="8" t="inlineStr">
        <is>
          <t>2026-03-07_DMSC_at_GLNL</t>
        </is>
      </c>
      <c r="D125" s="8" t="inlineStr">
        <is>
          <t>Bats and pitches</t>
        </is>
      </c>
      <c r="E125" s="8" t="n">
        <v>5</v>
      </c>
    </row>
    <row r="126" ht="15.75" customHeight="1" s="35">
      <c r="A126" s="8" t="inlineStr">
        <is>
          <t>GLNL</t>
        </is>
      </c>
      <c r="B126" s="8" t="inlineStr">
        <is>
          <t>M Shriner</t>
        </is>
      </c>
      <c r="C126" s="8" t="inlineStr">
        <is>
          <t>2026-03-07_DMSC_at_GLNL</t>
        </is>
      </c>
      <c r="D126" s="8" t="inlineStr">
        <is>
          <t>Bats and pitches</t>
        </is>
      </c>
    </row>
    <row r="127" ht="15.75" customHeight="1" s="35">
      <c r="A127" s="8" t="inlineStr">
        <is>
          <t>GLNL</t>
        </is>
      </c>
      <c r="B127" s="8" t="inlineStr">
        <is>
          <t>N Cohen</t>
        </is>
      </c>
      <c r="C127" s="8" t="inlineStr">
        <is>
          <t>2026-03-07_DMSC_at_GLNL</t>
        </is>
      </c>
      <c r="D127" s="8" t="inlineStr">
        <is>
          <t>Pitcher only (no batting rows in log)</t>
        </is>
      </c>
    </row>
    <row r="128" ht="15.75" customHeight="1" s="35">
      <c r="A128" s="8" t="inlineStr">
        <is>
          <t>GLNL</t>
        </is>
      </c>
      <c r="B128" s="8" t="inlineStr">
        <is>
          <t>P Moreau</t>
        </is>
      </c>
      <c r="C128" s="8" t="inlineStr">
        <is>
          <t>2026-03-07_DMSC_at_GLNL</t>
        </is>
      </c>
    </row>
    <row r="129" ht="15.75" customHeight="1" s="35">
      <c r="A129" s="8" t="inlineStr">
        <is>
          <t>GLNL</t>
        </is>
      </c>
      <c r="B129" s="8" t="inlineStr">
        <is>
          <t>S Tong</t>
        </is>
      </c>
      <c r="C129" s="8" t="inlineStr">
        <is>
          <t>2026-03-07_DMSC_at_GLNL</t>
        </is>
      </c>
      <c r="E129" s="8" t="n">
        <v>9</v>
      </c>
    </row>
    <row r="130" ht="15.75" customHeight="1" s="35">
      <c r="A130" s="8" t="inlineStr">
        <is>
          <t>GLNL</t>
        </is>
      </c>
      <c r="B130" s="8" t="inlineStr">
        <is>
          <t>T Blayman</t>
        </is>
      </c>
      <c r="C130" s="8" t="inlineStr">
        <is>
          <t>2026-03-27_GLNL_at_RVRH</t>
        </is>
      </c>
      <c r="E130" s="8" t="n">
        <v>2</v>
      </c>
    </row>
    <row r="131" ht="15.75" customHeight="1" s="35">
      <c r="A131" s="8" t="inlineStr">
        <is>
          <t>HMMN</t>
        </is>
      </c>
      <c r="B131" s="8" t="inlineStr">
        <is>
          <t>B Garris</t>
        </is>
      </c>
      <c r="C131" s="8" t="inlineStr">
        <is>
          <t>2026-03-25_RVRH_at_HMMN</t>
        </is>
      </c>
    </row>
    <row r="132" ht="15.75" customHeight="1" s="35">
      <c r="A132" s="8" t="inlineStr">
        <is>
          <t>HMMN</t>
        </is>
      </c>
      <c r="B132" s="8" t="inlineStr">
        <is>
          <t>C Stryker</t>
        </is>
      </c>
      <c r="C132" s="8" t="inlineStr">
        <is>
          <t>2026-03-25_RVRH_at_HMMN</t>
        </is>
      </c>
    </row>
    <row r="133" ht="15.75" customHeight="1" s="35">
      <c r="A133" s="8" t="inlineStr">
        <is>
          <t>HMMN</t>
        </is>
      </c>
      <c r="B133" s="8" t="inlineStr">
        <is>
          <t>G Draminski</t>
        </is>
      </c>
      <c r="C133" s="8" t="inlineStr">
        <is>
          <t>2026-03-25_RVRH_at_HMMN</t>
        </is>
      </c>
      <c r="D133" s="8" t="inlineStr">
        <is>
          <t>Bats and pitches</t>
        </is>
      </c>
    </row>
    <row r="134" ht="15.75" customHeight="1" s="35">
      <c r="A134" s="8" t="inlineStr">
        <is>
          <t>HMMN</t>
        </is>
      </c>
      <c r="B134" s="8" t="inlineStr">
        <is>
          <t>G Garris</t>
        </is>
      </c>
      <c r="C134" s="8" t="inlineStr">
        <is>
          <t>2026-03-25_RVRH_at_HMMN</t>
        </is>
      </c>
    </row>
    <row r="135" ht="15.75" customHeight="1" s="35">
      <c r="A135" s="8" t="inlineStr">
        <is>
          <t>HMMN</t>
        </is>
      </c>
      <c r="B135" s="8" t="inlineStr">
        <is>
          <t>J Willis</t>
        </is>
      </c>
      <c r="C135" s="8" t="inlineStr">
        <is>
          <t>2026-03-25_RVRH_at_HMMN</t>
        </is>
      </c>
    </row>
    <row r="136" ht="15.75" customHeight="1" s="35">
      <c r="A136" s="8" t="inlineStr">
        <is>
          <t>HMMN</t>
        </is>
      </c>
      <c r="B136" s="8" t="inlineStr">
        <is>
          <t>K Gardner</t>
        </is>
      </c>
      <c r="C136" s="8" t="inlineStr">
        <is>
          <t>2026-03-25_RVRH_at_HMMN</t>
        </is>
      </c>
      <c r="D136" s="8" t="inlineStr">
        <is>
          <t>Pitcher only (no batting rows in log)</t>
        </is>
      </c>
    </row>
    <row r="137" ht="15.75" customHeight="1" s="35">
      <c r="A137" s="8" t="inlineStr">
        <is>
          <t>HMMN</t>
        </is>
      </c>
      <c r="B137" s="8" t="inlineStr">
        <is>
          <t>L Duckworth</t>
        </is>
      </c>
      <c r="C137" s="8" t="inlineStr">
        <is>
          <t>2026-03-25_RVRH_at_HMMN</t>
        </is>
      </c>
      <c r="D137" s="8" t="inlineStr">
        <is>
          <t>Pitcher only (no batting rows in log)</t>
        </is>
      </c>
    </row>
    <row r="138" ht="15.75" customHeight="1" s="35">
      <c r="A138" s="8" t="inlineStr">
        <is>
          <t>HMMN</t>
        </is>
      </c>
      <c r="B138" s="8" t="inlineStr">
        <is>
          <t>L Tordella</t>
        </is>
      </c>
      <c r="C138" s="8" t="inlineStr">
        <is>
          <t>2026-03-25_RVRH_at_HMMN</t>
        </is>
      </c>
    </row>
    <row r="139" ht="15.75" customHeight="1" s="35">
      <c r="A139" s="8" t="inlineStr">
        <is>
          <t>HMMN</t>
        </is>
      </c>
      <c r="B139" s="8" t="inlineStr">
        <is>
          <t>N Macomber</t>
        </is>
      </c>
      <c r="C139" s="8" t="inlineStr">
        <is>
          <t>2026-03-25_RVRH_at_HMMN</t>
        </is>
      </c>
    </row>
    <row r="140" ht="15.75" customHeight="1" s="35">
      <c r="A140" s="8" t="inlineStr">
        <is>
          <t>HMMN</t>
        </is>
      </c>
      <c r="B140" s="8" t="inlineStr">
        <is>
          <t>P Yarnell</t>
        </is>
      </c>
      <c r="C140" s="8" t="inlineStr">
        <is>
          <t>2026-03-25_RVRH_at_HMMN</t>
        </is>
      </c>
      <c r="D140" s="8" t="inlineStr">
        <is>
          <t>Bats and pitches</t>
        </is>
      </c>
    </row>
    <row r="141" ht="15.75" customHeight="1" s="35">
      <c r="A141" s="8" t="inlineStr">
        <is>
          <t>HMMN</t>
        </is>
      </c>
      <c r="B141" s="8" t="inlineStr">
        <is>
          <t>T Thomas</t>
        </is>
      </c>
      <c r="C141" s="8" t="inlineStr">
        <is>
          <t>2026-03-25_RVRH_at_HMMN</t>
        </is>
      </c>
    </row>
    <row r="142" ht="15.75" customHeight="1" s="35">
      <c r="A142" s="8" t="inlineStr">
        <is>
          <t>HMMN</t>
        </is>
      </c>
      <c r="B142" s="8" t="inlineStr">
        <is>
          <t>Y Rivera</t>
        </is>
      </c>
      <c r="C142" s="8" t="inlineStr">
        <is>
          <t>2026-03-25_RVRH_at_HMMN</t>
        </is>
      </c>
    </row>
    <row r="143" ht="15.75" customHeight="1" s="35">
      <c r="A143" s="8" t="inlineStr">
        <is>
          <t>HNTN</t>
        </is>
      </c>
      <c r="B143" s="8" t="inlineStr">
        <is>
          <t>B Marlowe</t>
        </is>
      </c>
      <c r="C143" s="8" t="inlineStr">
        <is>
          <t>2026-03-07_HNTN_at_LNGR</t>
        </is>
      </c>
      <c r="D143" s="8" t="inlineStr">
        <is>
          <t>Bats and pitches</t>
        </is>
      </c>
      <c r="E143" s="8" t="n">
        <v>7</v>
      </c>
    </row>
    <row r="144" ht="15.75" customHeight="1" s="35">
      <c r="A144" s="8" t="inlineStr">
        <is>
          <t>HNTN</t>
        </is>
      </c>
      <c r="B144" s="8" t="inlineStr">
        <is>
          <t>B Robbins</t>
        </is>
      </c>
      <c r="C144" s="8" t="inlineStr">
        <is>
          <t>2026-03-14_HNTN_at_SRVR</t>
        </is>
      </c>
    </row>
    <row r="145" ht="15.75" customHeight="1" s="35">
      <c r="A145" s="8" t="inlineStr">
        <is>
          <t>HNTN</t>
        </is>
      </c>
      <c r="B145" s="8" t="inlineStr">
        <is>
          <t>C Wargo</t>
        </is>
      </c>
      <c r="C145" s="8" t="inlineStr">
        <is>
          <t>2026-03-07_HNTN_at_LNGR</t>
        </is>
      </c>
      <c r="E145" s="8" t="n">
        <v>6</v>
      </c>
    </row>
    <row r="146" ht="15.75" customHeight="1" s="35">
      <c r="A146" s="8" t="inlineStr">
        <is>
          <t>HNTN</t>
        </is>
      </c>
      <c r="B146" s="8" t="inlineStr">
        <is>
          <t>E Elliott</t>
        </is>
      </c>
      <c r="C146" s="8" t="inlineStr">
        <is>
          <t>2026-03-14_HNTN_at_SRVR</t>
        </is>
      </c>
    </row>
    <row r="147" ht="15.75" customHeight="1" s="35">
      <c r="A147" s="8" t="inlineStr">
        <is>
          <t>HNTN</t>
        </is>
      </c>
      <c r="B147" s="8" t="inlineStr">
        <is>
          <t>G Grimes</t>
        </is>
      </c>
      <c r="C147" s="8" t="inlineStr">
        <is>
          <t>2026-03-07_HNTN_at_LNGR</t>
        </is>
      </c>
    </row>
    <row r="148" ht="15.75" customHeight="1" s="35">
      <c r="A148" s="8" t="inlineStr">
        <is>
          <t>HNTN</t>
        </is>
      </c>
      <c r="B148" s="8" t="inlineStr">
        <is>
          <t>J Cadden</t>
        </is>
      </c>
      <c r="C148" s="8" t="inlineStr">
        <is>
          <t>2026-03-07_HNTN_at_LNGR</t>
        </is>
      </c>
      <c r="D148" s="8" t="inlineStr">
        <is>
          <t>Bats and pitches</t>
        </is>
      </c>
      <c r="E148" s="8" t="n">
        <v>3</v>
      </c>
    </row>
    <row r="149" ht="15.75" customHeight="1" s="35">
      <c r="A149" s="8" t="inlineStr">
        <is>
          <t>HNTN</t>
        </is>
      </c>
      <c r="B149" s="8" t="inlineStr">
        <is>
          <t>J Fields</t>
        </is>
      </c>
      <c r="C149" s="8" t="inlineStr">
        <is>
          <t>2026-03-07_HNTN_at_LNGR</t>
        </is>
      </c>
      <c r="D149" s="8" t="inlineStr">
        <is>
          <t>Bats and pitches</t>
        </is>
      </c>
    </row>
    <row r="150" ht="15.75" customHeight="1" s="35">
      <c r="A150" s="8" t="inlineStr">
        <is>
          <t>HNTN</t>
        </is>
      </c>
      <c r="B150" s="8" t="inlineStr">
        <is>
          <t>J Hann</t>
        </is>
      </c>
      <c r="C150" s="8" t="inlineStr">
        <is>
          <t>2026-03-07_HNTN_at_LNGR</t>
        </is>
      </c>
      <c r="D150" s="8" t="inlineStr">
        <is>
          <t>Bats and pitches</t>
        </is>
      </c>
      <c r="E150" s="8" t="n">
        <v>2</v>
      </c>
    </row>
    <row r="151" ht="15.75" customHeight="1" s="35">
      <c r="A151" s="8" t="inlineStr">
        <is>
          <t>HNTN</t>
        </is>
      </c>
      <c r="B151" s="8" t="inlineStr">
        <is>
          <t>J Laur</t>
        </is>
      </c>
      <c r="C151" s="8" t="inlineStr">
        <is>
          <t>2026-03-07_HNTN_at_LNGR</t>
        </is>
      </c>
      <c r="D151" s="8" t="inlineStr">
        <is>
          <t>Bats and pitches</t>
        </is>
      </c>
    </row>
    <row r="152" ht="15.75" customHeight="1" s="35">
      <c r="A152" s="8" t="inlineStr">
        <is>
          <t>HNTN</t>
        </is>
      </c>
      <c r="B152" s="8" t="inlineStr">
        <is>
          <t>J Walter</t>
        </is>
      </c>
      <c r="C152" s="8" t="inlineStr">
        <is>
          <t>2026-03-07_HNTN_at_LNGR</t>
        </is>
      </c>
      <c r="D152" s="8" t="inlineStr">
        <is>
          <t>Bats and pitches</t>
        </is>
      </c>
    </row>
    <row r="153" ht="15.75" customHeight="1" s="35">
      <c r="A153" s="8" t="inlineStr">
        <is>
          <t>HNTN</t>
        </is>
      </c>
      <c r="B153" s="8" t="inlineStr">
        <is>
          <t>L Bennett</t>
        </is>
      </c>
      <c r="C153" s="8" t="inlineStr">
        <is>
          <t>2026-03-07_HNTN_at_LNGR</t>
        </is>
      </c>
      <c r="D153" s="8" t="inlineStr">
        <is>
          <t>Bats and pitches</t>
        </is>
      </c>
    </row>
    <row r="154" ht="15.75" customHeight="1" s="35">
      <c r="A154" s="8" t="inlineStr">
        <is>
          <t>HNTN</t>
        </is>
      </c>
      <c r="B154" s="8" t="inlineStr">
        <is>
          <t>L Montgomery</t>
        </is>
      </c>
      <c r="C154" s="8" t="inlineStr">
        <is>
          <t>2026-03-14_KNTS_at_HNTN</t>
        </is>
      </c>
    </row>
    <row r="155" ht="15.75" customHeight="1" s="35">
      <c r="A155" s="8" t="inlineStr">
        <is>
          <t>HNTN</t>
        </is>
      </c>
      <c r="B155" s="8" t="inlineStr">
        <is>
          <t>N McMurray</t>
        </is>
      </c>
      <c r="C155" s="8" t="inlineStr">
        <is>
          <t>2026-03-07_HNTN_at_LNGR</t>
        </is>
      </c>
      <c r="D155" s="8" t="inlineStr">
        <is>
          <t>Bats and pitches</t>
        </is>
      </c>
      <c r="E155" s="8" t="n">
        <v>4</v>
      </c>
    </row>
    <row r="156" ht="15.75" customHeight="1" s="35">
      <c r="A156" s="8" t="inlineStr">
        <is>
          <t>HNTN</t>
        </is>
      </c>
      <c r="B156" s="8" t="inlineStr">
        <is>
          <t>R Bolger</t>
        </is>
      </c>
      <c r="C156" s="8" t="inlineStr">
        <is>
          <t>2026-03-07_HNTN_at_LNGR</t>
        </is>
      </c>
      <c r="E156" s="8" t="n">
        <v>1</v>
      </c>
    </row>
    <row r="157" ht="15.75" customHeight="1" s="35">
      <c r="A157" s="8" t="inlineStr">
        <is>
          <t>HNTN</t>
        </is>
      </c>
      <c r="B157" s="8" t="inlineStr">
        <is>
          <t>R Gaetano</t>
        </is>
      </c>
      <c r="C157" s="8" t="inlineStr">
        <is>
          <t>2026-03-07_HNTN_at_LNGR</t>
        </is>
      </c>
      <c r="E157" s="8" t="n">
        <v>5</v>
      </c>
    </row>
    <row r="158" ht="15.75" customHeight="1" s="35">
      <c r="A158" s="8" t="inlineStr">
        <is>
          <t>HNTN</t>
        </is>
      </c>
      <c r="B158" s="8" t="inlineStr">
        <is>
          <t>R Kessler</t>
        </is>
      </c>
      <c r="C158" s="8" t="inlineStr">
        <is>
          <t>2026-03-07_HNTN_at_LNGR</t>
        </is>
      </c>
      <c r="D158" s="8" t="inlineStr">
        <is>
          <t>Bats and pitches</t>
        </is>
      </c>
      <c r="E158" s="8" t="n">
        <v>9</v>
      </c>
    </row>
    <row r="159" ht="15.75" customHeight="1" s="35">
      <c r="A159" s="8" t="inlineStr">
        <is>
          <t>HNTN</t>
        </is>
      </c>
      <c r="B159" s="8" t="inlineStr">
        <is>
          <t>T Burghard</t>
        </is>
      </c>
      <c r="C159" s="8" t="inlineStr">
        <is>
          <t>2026-03-14_KNTS_at_HNTN</t>
        </is>
      </c>
      <c r="D159" s="8" t="inlineStr">
        <is>
          <t>Bats and pitches</t>
        </is>
      </c>
      <c r="E159" s="8" t="n">
        <v>8</v>
      </c>
    </row>
    <row r="160" ht="15.75" customHeight="1" s="35">
      <c r="A160" s="8" t="inlineStr">
        <is>
          <t>HWRD</t>
        </is>
      </c>
      <c r="B160" s="8" t="inlineStr">
        <is>
          <t>A Proescher</t>
        </is>
      </c>
      <c r="C160" s="8" t="inlineStr">
        <is>
          <t>2026-03-23_GLNL_at_HWRD</t>
        </is>
      </c>
    </row>
    <row r="161" ht="15.75" customHeight="1" s="35">
      <c r="A161" s="8" t="inlineStr">
        <is>
          <t>HWRD</t>
        </is>
      </c>
      <c r="B161" s="8" t="inlineStr">
        <is>
          <t>B Burckhardt</t>
        </is>
      </c>
      <c r="C161" s="8" t="inlineStr">
        <is>
          <t>2026-03-23_GLNL_at_HWRD</t>
        </is>
      </c>
    </row>
    <row r="162" ht="15.75" customHeight="1" s="35">
      <c r="A162" s="8" t="inlineStr">
        <is>
          <t>HWRD</t>
        </is>
      </c>
      <c r="B162" s="8" t="inlineStr">
        <is>
          <t>B Giangrasso</t>
        </is>
      </c>
      <c r="C162" s="8" t="inlineStr">
        <is>
          <t>2026-03-23_GLNL_at_HWRD</t>
        </is>
      </c>
    </row>
    <row r="163" ht="15.75" customHeight="1" s="35">
      <c r="A163" s="8" t="inlineStr">
        <is>
          <t>HWRD</t>
        </is>
      </c>
      <c r="B163" s="8" t="inlineStr">
        <is>
          <t>B Sawyer</t>
        </is>
      </c>
      <c r="C163" s="8" t="inlineStr">
        <is>
          <t>2026-03-23_GLNL_at_HWRD</t>
        </is>
      </c>
    </row>
    <row r="164" ht="15.75" customHeight="1" s="35">
      <c r="A164" s="8" t="inlineStr">
        <is>
          <t>HWRD</t>
        </is>
      </c>
      <c r="B164" s="8" t="inlineStr">
        <is>
          <t>C Hudson</t>
        </is>
      </c>
      <c r="C164" s="8" t="inlineStr">
        <is>
          <t>2026-03-23_GLNL_at_HWRD</t>
        </is>
      </c>
      <c r="D164" s="8" t="inlineStr">
        <is>
          <t>Bats and pitches</t>
        </is>
      </c>
    </row>
    <row r="165" ht="15.75" customHeight="1" s="35">
      <c r="A165" s="8" t="inlineStr">
        <is>
          <t>HWRD</t>
        </is>
      </c>
      <c r="B165" s="8" t="inlineStr">
        <is>
          <t>C Parise</t>
        </is>
      </c>
      <c r="C165" s="8" t="inlineStr">
        <is>
          <t>2026-03-23_GLNL_at_HWRD</t>
        </is>
      </c>
    </row>
    <row r="166" ht="15.75" customHeight="1" s="35">
      <c r="A166" s="8" t="inlineStr">
        <is>
          <t>HWRD</t>
        </is>
      </c>
      <c r="B166" s="8" t="inlineStr">
        <is>
          <t>D Alves</t>
        </is>
      </c>
      <c r="C166" s="8" t="inlineStr">
        <is>
          <t>2026-03-23_GLNL_at_HWRD</t>
        </is>
      </c>
    </row>
    <row r="167" ht="15.75" customHeight="1" s="35">
      <c r="A167" s="8" t="inlineStr">
        <is>
          <t>HWRD</t>
        </is>
      </c>
      <c r="B167" s="8" t="inlineStr">
        <is>
          <t>D Heim</t>
        </is>
      </c>
      <c r="C167" s="8" t="inlineStr">
        <is>
          <t>2026-03-23_GLNL_at_HWRD</t>
        </is>
      </c>
      <c r="D167" s="8" t="inlineStr">
        <is>
          <t>Bats and pitches</t>
        </is>
      </c>
    </row>
    <row r="168" ht="15.75" customHeight="1" s="35">
      <c r="A168" s="8" t="inlineStr">
        <is>
          <t>HWRD</t>
        </is>
      </c>
      <c r="B168" s="8" t="inlineStr">
        <is>
          <t>G Nystrom</t>
        </is>
      </c>
      <c r="C168" s="8" t="inlineStr">
        <is>
          <t>2026-03-23_GLNL_at_HWRD</t>
        </is>
      </c>
    </row>
    <row r="169" ht="15.75" customHeight="1" s="35">
      <c r="A169" s="8" t="inlineStr">
        <is>
          <t>HWRD</t>
        </is>
      </c>
      <c r="B169" s="8" t="inlineStr">
        <is>
          <t>N Hegedus</t>
        </is>
      </c>
      <c r="C169" s="8" t="inlineStr">
        <is>
          <t>2026-03-23_GLNL_at_HWRD</t>
        </is>
      </c>
    </row>
    <row r="170" ht="15.75" customHeight="1" s="35">
      <c r="A170" s="8" t="inlineStr">
        <is>
          <t>HWRD</t>
        </is>
      </c>
      <c r="B170" s="8" t="inlineStr">
        <is>
          <t>Z Blair</t>
        </is>
      </c>
      <c r="C170" s="8" t="inlineStr">
        <is>
          <t>2026-03-23_GLNL_at_HWRD</t>
        </is>
      </c>
    </row>
    <row r="171" ht="15.75" customHeight="1" s="35">
      <c r="A171" s="8" t="inlineStr">
        <is>
          <t>KNTS</t>
        </is>
      </c>
      <c r="B171" s="8" t="inlineStr">
        <is>
          <t>KNTS_#11</t>
        </is>
      </c>
      <c r="C171" s="8" t="inlineStr">
        <is>
          <t>2026-03-14_KNTS_at_HNTN</t>
        </is>
      </c>
    </row>
    <row r="172" ht="15.75" customHeight="1" s="35">
      <c r="A172" s="8" t="inlineStr">
        <is>
          <t>KNTS</t>
        </is>
      </c>
      <c r="B172" s="8" t="inlineStr">
        <is>
          <t>KNTS_#12</t>
        </is>
      </c>
      <c r="C172" s="8" t="inlineStr">
        <is>
          <t>2026-03-14_KNTS_at_HNTN</t>
        </is>
      </c>
    </row>
    <row r="173" ht="15.75" customHeight="1" s="35">
      <c r="A173" s="8" t="inlineStr">
        <is>
          <t>KNTS</t>
        </is>
      </c>
      <c r="B173" s="8" t="inlineStr">
        <is>
          <t>KNTS_#13</t>
        </is>
      </c>
      <c r="C173" s="8" t="inlineStr">
        <is>
          <t>2026-03-14_KNTS_at_HNTN</t>
        </is>
      </c>
    </row>
    <row r="174" ht="15.75" customHeight="1" s="35">
      <c r="A174" s="8" t="inlineStr">
        <is>
          <t>KNTS</t>
        </is>
      </c>
      <c r="B174" s="8" t="inlineStr">
        <is>
          <t>KNTS_#14</t>
        </is>
      </c>
      <c r="C174" s="8" t="inlineStr">
        <is>
          <t>2026-03-14_KNTS_at_HNTN</t>
        </is>
      </c>
    </row>
    <row r="175" ht="15.75" customHeight="1" s="35">
      <c r="A175" s="8" t="inlineStr">
        <is>
          <t>KNTS</t>
        </is>
      </c>
      <c r="B175" s="8" t="inlineStr">
        <is>
          <t>KNTS_#17</t>
        </is>
      </c>
      <c r="C175" s="8" t="inlineStr">
        <is>
          <t>2026-03-14_KNTS_at_HNTN</t>
        </is>
      </c>
      <c r="D175" s="8" t="inlineStr">
        <is>
          <t>Bats and pitches</t>
        </is>
      </c>
    </row>
    <row r="176" ht="15.75" customHeight="1" s="35">
      <c r="A176" s="8" t="inlineStr">
        <is>
          <t>KNTS</t>
        </is>
      </c>
      <c r="B176" s="8" t="inlineStr">
        <is>
          <t>KNTS_#2</t>
        </is>
      </c>
      <c r="C176" s="8" t="inlineStr">
        <is>
          <t>2026-03-14_KNTS_at_HNTN</t>
        </is>
      </c>
    </row>
    <row r="177" ht="15.75" customHeight="1" s="35">
      <c r="A177" s="8" t="inlineStr">
        <is>
          <t>KNTS</t>
        </is>
      </c>
      <c r="B177" s="8" t="inlineStr">
        <is>
          <t>KNTS_#3</t>
        </is>
      </c>
      <c r="C177" s="8" t="inlineStr">
        <is>
          <t>2026-03-14_KNTS_at_HNTN</t>
        </is>
      </c>
    </row>
    <row r="178" ht="15.75" customHeight="1" s="35">
      <c r="A178" s="8" t="inlineStr">
        <is>
          <t>KNTS</t>
        </is>
      </c>
      <c r="B178" s="8" t="inlineStr">
        <is>
          <t>KNTS_#5</t>
        </is>
      </c>
      <c r="C178" s="8" t="inlineStr">
        <is>
          <t>2026-03-14_KNTS_at_HNTN</t>
        </is>
      </c>
      <c r="D178" s="8" t="inlineStr">
        <is>
          <t>Pitcher only (no batting rows in log)</t>
        </is>
      </c>
    </row>
    <row r="179" ht="15.75" customHeight="1" s="35">
      <c r="A179" s="8" t="inlineStr">
        <is>
          <t>KNTS</t>
        </is>
      </c>
      <c r="B179" s="8" t="inlineStr">
        <is>
          <t>KNTS_#6</t>
        </is>
      </c>
      <c r="C179" s="8" t="inlineStr">
        <is>
          <t>2026-03-14_KNTS_at_HNTN</t>
        </is>
      </c>
      <c r="D179" s="8" t="inlineStr">
        <is>
          <t>Pitcher only (no batting rows in log)</t>
        </is>
      </c>
    </row>
    <row r="180" ht="15.75" customHeight="1" s="35">
      <c r="A180" s="8" t="inlineStr">
        <is>
          <t>KNTS</t>
        </is>
      </c>
      <c r="B180" s="8" t="inlineStr">
        <is>
          <t>KNTS_#7</t>
        </is>
      </c>
      <c r="C180" s="8" t="inlineStr">
        <is>
          <t>2026-03-14_KNTS_at_HNTN</t>
        </is>
      </c>
    </row>
    <row r="181" ht="15.75" customHeight="1" s="35">
      <c r="A181" s="8" t="inlineStr">
        <is>
          <t>KNTS</t>
        </is>
      </c>
      <c r="B181" s="8" t="inlineStr">
        <is>
          <t>KNTS_#8</t>
        </is>
      </c>
      <c r="C181" s="8" t="inlineStr">
        <is>
          <t>2026-03-14_KNTS_at_HNTN</t>
        </is>
      </c>
    </row>
    <row r="182" ht="15.75" customHeight="1" s="35">
      <c r="A182" s="8" t="inlineStr">
        <is>
          <t>KNTS</t>
        </is>
      </c>
      <c r="B182" s="8" t="inlineStr">
        <is>
          <t>KNTS_#9</t>
        </is>
      </c>
      <c r="C182" s="8" t="inlineStr">
        <is>
          <t>2026-03-14_KNTS_at_HNTN</t>
        </is>
      </c>
    </row>
    <row r="183" ht="15.75" customHeight="1" s="35">
      <c r="A183" s="8" t="inlineStr">
        <is>
          <t>KNTS</t>
        </is>
      </c>
      <c r="B183" s="8" t="inlineStr">
        <is>
          <t>KNTS_SP_Unknown</t>
        </is>
      </c>
      <c r="C183" s="8" t="inlineStr">
        <is>
          <t>2026-03-14_KNTS_at_HNTN</t>
        </is>
      </c>
      <c r="D183" s="8" t="inlineStr">
        <is>
          <t>Pitcher only (no batting rows in log)</t>
        </is>
      </c>
    </row>
    <row r="184" ht="15.75" customHeight="1" s="35">
      <c r="A184" s="8" t="inlineStr">
        <is>
          <t>LBRT</t>
        </is>
      </c>
      <c r="B184" s="8" t="inlineStr">
        <is>
          <t>B DiCerbo</t>
        </is>
      </c>
      <c r="C184" s="8" t="inlineStr">
        <is>
          <t>2026-03-14_LBRT_at_GLNL</t>
        </is>
      </c>
    </row>
    <row r="185" ht="15.75" customHeight="1" s="35">
      <c r="A185" s="8" t="inlineStr">
        <is>
          <t>LBRT</t>
        </is>
      </c>
      <c r="B185" s="8" t="inlineStr">
        <is>
          <t>B Freiert</t>
        </is>
      </c>
      <c r="C185" s="8" t="inlineStr">
        <is>
          <t>2026-03-14_LBRT_at_GLNL</t>
        </is>
      </c>
    </row>
    <row r="186" ht="15.75" customHeight="1" s="35">
      <c r="A186" s="8" t="inlineStr">
        <is>
          <t>LBRT</t>
        </is>
      </c>
      <c r="B186" s="8" t="inlineStr">
        <is>
          <t>B Knight</t>
        </is>
      </c>
      <c r="C186" s="8" t="inlineStr">
        <is>
          <t>2026-03-14_LBRT_at_GLNL</t>
        </is>
      </c>
    </row>
    <row r="187" ht="15.75" customHeight="1" s="35">
      <c r="A187" s="8" t="inlineStr">
        <is>
          <t>LBRT</t>
        </is>
      </c>
      <c r="B187" s="8" t="inlineStr">
        <is>
          <t>C DiCerbo</t>
        </is>
      </c>
      <c r="C187" s="8" t="inlineStr">
        <is>
          <t>2026-03-14_LBRT_at_GLNL</t>
        </is>
      </c>
      <c r="D187" s="8" t="inlineStr">
        <is>
          <t>Bats and pitches</t>
        </is>
      </c>
    </row>
    <row r="188" ht="15.75" customHeight="1" s="35">
      <c r="A188" s="8" t="inlineStr">
        <is>
          <t>LBRT</t>
        </is>
      </c>
      <c r="B188" s="8" t="inlineStr">
        <is>
          <t>C Hitzel</t>
        </is>
      </c>
      <c r="C188" s="8" t="inlineStr">
        <is>
          <t>2026-03-14_LBRT_at_GLNL</t>
        </is>
      </c>
    </row>
    <row r="189" ht="15.75" customHeight="1" s="35">
      <c r="A189" s="8" t="inlineStr">
        <is>
          <t>LBRT</t>
        </is>
      </c>
      <c r="B189" s="8" t="inlineStr">
        <is>
          <t>C Shanks</t>
        </is>
      </c>
      <c r="C189" s="8" t="inlineStr">
        <is>
          <t>2026-03-14_LBRT_at_GLNL</t>
        </is>
      </c>
    </row>
    <row r="190" ht="15.75" customHeight="1" s="35">
      <c r="A190" s="8" t="inlineStr">
        <is>
          <t>LBRT</t>
        </is>
      </c>
      <c r="B190" s="8" t="inlineStr">
        <is>
          <t>D McGarity</t>
        </is>
      </c>
      <c r="C190" s="8" t="inlineStr">
        <is>
          <t>2026-03-14_LBRT_at_GLNL</t>
        </is>
      </c>
    </row>
    <row r="191" ht="15.75" customHeight="1" s="35">
      <c r="A191" s="8" t="inlineStr">
        <is>
          <t>LBRT</t>
        </is>
      </c>
      <c r="B191" s="8" t="inlineStr">
        <is>
          <t>D Nelson</t>
        </is>
      </c>
      <c r="C191" s="8" t="inlineStr">
        <is>
          <t>2026-03-14_LBRT_at_GLNL</t>
        </is>
      </c>
      <c r="D191" s="8" t="inlineStr">
        <is>
          <t>Bats and pitches</t>
        </is>
      </c>
    </row>
    <row r="192" ht="15.75" customHeight="1" s="35">
      <c r="A192" s="8" t="inlineStr">
        <is>
          <t>LBRT</t>
        </is>
      </c>
      <c r="B192" s="8" t="inlineStr">
        <is>
          <t>J Hebert</t>
        </is>
      </c>
      <c r="C192" s="8" t="inlineStr">
        <is>
          <t>2026-03-14_LBRT_at_GLNL</t>
        </is>
      </c>
    </row>
    <row r="193" ht="15.75" customHeight="1" s="35">
      <c r="A193" s="8" t="inlineStr">
        <is>
          <t>LBRT</t>
        </is>
      </c>
      <c r="B193" s="8" t="inlineStr">
        <is>
          <t>J Sfanos</t>
        </is>
      </c>
      <c r="C193" s="8" t="inlineStr">
        <is>
          <t>2026-03-14_LBRT_at_GLNL</t>
        </is>
      </c>
    </row>
    <row r="194" ht="15.75" customHeight="1" s="35">
      <c r="A194" s="8" t="inlineStr">
        <is>
          <t>LBRT</t>
        </is>
      </c>
      <c r="B194" s="8" t="inlineStr">
        <is>
          <t>S Crochunis</t>
        </is>
      </c>
      <c r="C194" s="8" t="inlineStr">
        <is>
          <t>2026-03-14_LBRT_at_GLNL</t>
        </is>
      </c>
      <c r="D194" s="8" t="inlineStr">
        <is>
          <t>Bats and pitches</t>
        </is>
      </c>
    </row>
    <row r="195" ht="15.75" customHeight="1" s="35">
      <c r="A195" s="8" t="inlineStr">
        <is>
          <t>LBRT</t>
        </is>
      </c>
      <c r="B195" s="8" t="inlineStr">
        <is>
          <t>T Kane</t>
        </is>
      </c>
      <c r="C195" s="8" t="inlineStr">
        <is>
          <t>2026-03-14_LBRT_at_GLNL</t>
        </is>
      </c>
      <c r="D195" s="8" t="inlineStr">
        <is>
          <t>Bats and pitches</t>
        </is>
      </c>
    </row>
    <row r="196" ht="15.75" customHeight="1" s="35">
      <c r="A196" s="8" t="inlineStr">
        <is>
          <t>LNGR</t>
        </is>
      </c>
      <c r="B196" s="8" t="inlineStr">
        <is>
          <t>LNGR_#1</t>
        </is>
      </c>
      <c r="C196" s="8" t="inlineStr">
        <is>
          <t>2026-03-07_HNTN_at_LNGR</t>
        </is>
      </c>
    </row>
    <row r="197" ht="15.75" customHeight="1" s="35">
      <c r="A197" s="8" t="inlineStr">
        <is>
          <t>LNGR</t>
        </is>
      </c>
      <c r="B197" s="8" t="inlineStr">
        <is>
          <t>LNGR_#15</t>
        </is>
      </c>
      <c r="C197" s="8" t="inlineStr">
        <is>
          <t>2026-03-07_HNTN_at_LNGR</t>
        </is>
      </c>
      <c r="D197" s="8" t="inlineStr">
        <is>
          <t>Bats and pitches</t>
        </is>
      </c>
    </row>
    <row r="198" ht="15.75" customHeight="1" s="35">
      <c r="A198" s="8" t="inlineStr">
        <is>
          <t>LNGR</t>
        </is>
      </c>
      <c r="B198" s="8" t="inlineStr">
        <is>
          <t>LNGR_#16</t>
        </is>
      </c>
      <c r="C198" s="8" t="inlineStr">
        <is>
          <t>2026-03-07_HNTN_at_LNGR</t>
        </is>
      </c>
    </row>
    <row r="199" ht="15.75" customHeight="1" s="35">
      <c r="A199" s="8" t="inlineStr">
        <is>
          <t>LNGR</t>
        </is>
      </c>
      <c r="B199" s="8" t="inlineStr">
        <is>
          <t>LNGR_#17</t>
        </is>
      </c>
      <c r="C199" s="8" t="inlineStr">
        <is>
          <t>2026-03-07_HNTN_at_LNGR</t>
        </is>
      </c>
      <c r="D199" s="8" t="inlineStr">
        <is>
          <t>Bats and pitches</t>
        </is>
      </c>
    </row>
    <row r="200" ht="15.75" customHeight="1" s="35">
      <c r="A200" s="8" t="inlineStr">
        <is>
          <t>LNGR</t>
        </is>
      </c>
      <c r="B200" s="8" t="inlineStr">
        <is>
          <t>LNGR_#19</t>
        </is>
      </c>
      <c r="C200" s="8" t="inlineStr">
        <is>
          <t>2026-03-07_HNTN_at_LNGR</t>
        </is>
      </c>
    </row>
    <row r="201" ht="15.75" customHeight="1" s="35">
      <c r="A201" s="8" t="inlineStr">
        <is>
          <t>LNGR</t>
        </is>
      </c>
      <c r="B201" s="8" t="inlineStr">
        <is>
          <t>LNGR_#2</t>
        </is>
      </c>
      <c r="C201" s="8" t="inlineStr">
        <is>
          <t>2026-03-07_HNTN_at_LNGR</t>
        </is>
      </c>
    </row>
    <row r="202" ht="15.75" customHeight="1" s="35">
      <c r="A202" s="8" t="inlineStr">
        <is>
          <t>LNGR</t>
        </is>
      </c>
      <c r="B202" s="8" t="inlineStr">
        <is>
          <t>LNGR_#21</t>
        </is>
      </c>
      <c r="C202" s="8" t="inlineStr">
        <is>
          <t>2026-03-07_HNTN_at_LNGR</t>
        </is>
      </c>
    </row>
    <row r="203" ht="15.75" customHeight="1" s="35">
      <c r="A203" s="8" t="inlineStr">
        <is>
          <t>LNGR</t>
        </is>
      </c>
      <c r="B203" s="8" t="inlineStr">
        <is>
          <t>LNGR_#22</t>
        </is>
      </c>
      <c r="C203" s="8" t="inlineStr">
        <is>
          <t>2026-03-07_HNTN_at_LNGR</t>
        </is>
      </c>
    </row>
    <row r="204" ht="15.75" customHeight="1" s="35">
      <c r="A204" s="8" t="inlineStr">
        <is>
          <t>LNGR</t>
        </is>
      </c>
      <c r="B204" s="8" t="inlineStr">
        <is>
          <t>LNGR_#23</t>
        </is>
      </c>
      <c r="C204" s="8" t="inlineStr">
        <is>
          <t>2026-03-07_HNTN_at_LNGR</t>
        </is>
      </c>
    </row>
    <row r="205" ht="15.75" customHeight="1" s="35">
      <c r="A205" s="8" t="inlineStr">
        <is>
          <t>LNGR</t>
        </is>
      </c>
      <c r="B205" s="8" t="inlineStr">
        <is>
          <t>LNGR_#3</t>
        </is>
      </c>
      <c r="C205" s="8" t="inlineStr">
        <is>
          <t>2026-03-07_HNTN_at_LNGR</t>
        </is>
      </c>
      <c r="D205" s="8" t="inlineStr">
        <is>
          <t>Bats and pitches</t>
        </is>
      </c>
    </row>
    <row r="206" ht="15.75" customHeight="1" s="35">
      <c r="A206" s="8" t="inlineStr">
        <is>
          <t>LNGR</t>
        </is>
      </c>
      <c r="B206" s="8" t="inlineStr">
        <is>
          <t>LNGR_#4</t>
        </is>
      </c>
      <c r="C206" s="8" t="inlineStr">
        <is>
          <t>2026-03-07_HNTN_at_LNGR</t>
        </is>
      </c>
      <c r="D206" s="8" t="inlineStr">
        <is>
          <t>Bats and pitches</t>
        </is>
      </c>
    </row>
    <row r="207" ht="15.75" customHeight="1" s="35">
      <c r="A207" s="8" t="inlineStr">
        <is>
          <t>LNGR</t>
        </is>
      </c>
      <c r="B207" s="8" t="inlineStr">
        <is>
          <t>LNGR_#7</t>
        </is>
      </c>
      <c r="C207" s="8" t="inlineStr">
        <is>
          <t>2026-03-07_HNTN_at_LNGR</t>
        </is>
      </c>
      <c r="D207" s="8" t="inlineStr">
        <is>
          <t>Bats and pitches</t>
        </is>
      </c>
    </row>
    <row r="208" ht="15.75" customHeight="1" s="35">
      <c r="A208" s="8" t="inlineStr">
        <is>
          <t>MCDN</t>
        </is>
      </c>
      <c r="B208" s="8" t="inlineStr">
        <is>
          <t>MCDN_#10</t>
        </is>
      </c>
      <c r="C208" s="8" t="inlineStr">
        <is>
          <t>2026-03-25_MCDN_at_HNTN</t>
        </is>
      </c>
    </row>
    <row r="209" ht="15.75" customHeight="1" s="35">
      <c r="A209" s="8" t="inlineStr">
        <is>
          <t>MCDN</t>
        </is>
      </c>
      <c r="B209" s="8" t="inlineStr">
        <is>
          <t>MCDN_#13</t>
        </is>
      </c>
      <c r="C209" s="8" t="inlineStr">
        <is>
          <t>2026-03-25_MCDN_at_HNTN</t>
        </is>
      </c>
    </row>
    <row r="210" ht="15.75" customHeight="1" s="35">
      <c r="A210" s="8" t="inlineStr">
        <is>
          <t>MCDN</t>
        </is>
      </c>
      <c r="B210" s="8" t="inlineStr">
        <is>
          <t>MCDN_#16</t>
        </is>
      </c>
      <c r="C210" s="8" t="inlineStr">
        <is>
          <t>2026-03-25_MCDN_at_HNTN</t>
        </is>
      </c>
    </row>
    <row r="211" ht="15.75" customHeight="1" s="35">
      <c r="A211" s="8" t="inlineStr">
        <is>
          <t>MCDN</t>
        </is>
      </c>
      <c r="B211" s="8" t="inlineStr">
        <is>
          <t>MCDN_#17</t>
        </is>
      </c>
      <c r="C211" s="8" t="inlineStr">
        <is>
          <t>2026-03-25_MCDN_at_HNTN</t>
        </is>
      </c>
    </row>
    <row r="212" ht="15.75" customHeight="1" s="35">
      <c r="A212" s="8" t="inlineStr">
        <is>
          <t>MCDN</t>
        </is>
      </c>
      <c r="B212" s="8" t="inlineStr">
        <is>
          <t>MCDN_#18</t>
        </is>
      </c>
      <c r="C212" s="8" t="inlineStr">
        <is>
          <t>2026-03-25_MCDN_at_HNTN</t>
        </is>
      </c>
      <c r="D212" s="8" t="inlineStr">
        <is>
          <t>Bats and pitches</t>
        </is>
      </c>
    </row>
    <row r="213" ht="15.75" customHeight="1" s="35">
      <c r="A213" s="8" t="inlineStr">
        <is>
          <t>MCDN</t>
        </is>
      </c>
      <c r="B213" s="8" t="inlineStr">
        <is>
          <t>MCDN_#20</t>
        </is>
      </c>
      <c r="C213" s="8" t="inlineStr">
        <is>
          <t>2026-03-25_MCDN_at_HNTN</t>
        </is>
      </c>
      <c r="D213" s="8" t="inlineStr">
        <is>
          <t>Bats and pitches</t>
        </is>
      </c>
    </row>
    <row r="214" ht="15.75" customHeight="1" s="35">
      <c r="A214" s="8" t="inlineStr">
        <is>
          <t>MCDN</t>
        </is>
      </c>
      <c r="B214" s="8" t="inlineStr">
        <is>
          <t>MCDN_#21</t>
        </is>
      </c>
      <c r="C214" s="8" t="inlineStr">
        <is>
          <t>2026-03-25_MCDN_at_HNTN</t>
        </is>
      </c>
      <c r="D214" s="8" t="inlineStr">
        <is>
          <t>Bats and pitches</t>
        </is>
      </c>
    </row>
    <row r="215" ht="15.75" customHeight="1" s="35">
      <c r="A215" s="8" t="inlineStr">
        <is>
          <t>MCDN</t>
        </is>
      </c>
      <c r="B215" s="8" t="inlineStr">
        <is>
          <t>MCDN_#3</t>
        </is>
      </c>
      <c r="C215" s="8" t="inlineStr">
        <is>
          <t>2026-03-25_MCDN_at_HNTN</t>
        </is>
      </c>
    </row>
    <row r="216" ht="15.75" customHeight="1" s="35">
      <c r="A216" s="8" t="inlineStr">
        <is>
          <t>MCDN</t>
        </is>
      </c>
      <c r="B216" s="8" t="inlineStr">
        <is>
          <t>MCDN_#4</t>
        </is>
      </c>
      <c r="C216" s="8" t="inlineStr">
        <is>
          <t>2026-03-25_MCDN_at_HNTN</t>
        </is>
      </c>
    </row>
    <row r="217" ht="15.75" customHeight="1" s="35">
      <c r="A217" s="8" t="inlineStr">
        <is>
          <t>MCDN</t>
        </is>
      </c>
      <c r="B217" s="8" t="inlineStr">
        <is>
          <t>MCDN_#5</t>
        </is>
      </c>
      <c r="C217" s="8" t="inlineStr">
        <is>
          <t>2026-03-25_MCDN_at_HNTN</t>
        </is>
      </c>
    </row>
    <row r="218" ht="15.75" customHeight="1" s="35">
      <c r="A218" s="8" t="inlineStr">
        <is>
          <t>MCDN</t>
        </is>
      </c>
      <c r="B218" s="8" t="inlineStr">
        <is>
          <t>MCDN_#8</t>
        </is>
      </c>
      <c r="C218" s="8" t="inlineStr">
        <is>
          <t>2026-03-25_MCDN_at_HNTN</t>
        </is>
      </c>
    </row>
    <row r="219" ht="15.75" customHeight="1" s="35">
      <c r="A219" s="8" t="inlineStr">
        <is>
          <t>MRRT</t>
        </is>
      </c>
      <c r="B219" s="8" t="inlineStr">
        <is>
          <t>#2</t>
        </is>
      </c>
      <c r="C219" s="8" t="inlineStr">
        <is>
          <t>2026-03-14_NRTH_at_MRRT</t>
        </is>
      </c>
    </row>
    <row r="220" ht="15.75" customHeight="1" s="35">
      <c r="A220" s="8" t="inlineStr">
        <is>
          <t>MRRT</t>
        </is>
      </c>
      <c r="B220" s="8" t="inlineStr">
        <is>
          <t>#6</t>
        </is>
      </c>
      <c r="C220" s="8" t="inlineStr">
        <is>
          <t>2026-03-14_NRTH_at_MRRT</t>
        </is>
      </c>
    </row>
    <row r="221" ht="15.75" customHeight="1" s="35">
      <c r="A221" s="8" t="inlineStr">
        <is>
          <t>MRRT</t>
        </is>
      </c>
      <c r="B221" s="8" t="inlineStr">
        <is>
          <t>A Devito</t>
        </is>
      </c>
      <c r="C221" s="8" t="inlineStr">
        <is>
          <t>2026-03-14_NRTH_at_MRRT</t>
        </is>
      </c>
    </row>
    <row r="222" ht="15.75" customHeight="1" s="35">
      <c r="A222" s="8" t="inlineStr">
        <is>
          <t>MRRT</t>
        </is>
      </c>
      <c r="B222" s="8" t="inlineStr">
        <is>
          <t>A Hlavaty</t>
        </is>
      </c>
      <c r="C222" s="8" t="inlineStr">
        <is>
          <t>2026-03-14_NRTH_at_MRRT</t>
        </is>
      </c>
    </row>
    <row r="223" ht="15.75" customHeight="1" s="35">
      <c r="A223" s="8" t="inlineStr">
        <is>
          <t>MRRT</t>
        </is>
      </c>
      <c r="B223" s="8" t="inlineStr">
        <is>
          <t>A Schwendeman</t>
        </is>
      </c>
      <c r="C223" s="8" t="inlineStr">
        <is>
          <t>2026-03-14_NRTH_at_MRRT</t>
        </is>
      </c>
    </row>
    <row r="224" ht="15.75" customHeight="1" s="35">
      <c r="A224" s="8" t="inlineStr">
        <is>
          <t>MRRT</t>
        </is>
      </c>
      <c r="B224" s="8" t="inlineStr">
        <is>
          <t>B Balighian</t>
        </is>
      </c>
      <c r="C224" s="8" t="inlineStr">
        <is>
          <t>2026-03-14_NRTH_at_MRRT</t>
        </is>
      </c>
    </row>
    <row r="225" ht="15.75" customHeight="1" s="35">
      <c r="A225" s="8" t="inlineStr">
        <is>
          <t>MRRT</t>
        </is>
      </c>
      <c r="B225" s="8" t="inlineStr">
        <is>
          <t>J Devito</t>
        </is>
      </c>
      <c r="C225" s="8" t="inlineStr">
        <is>
          <t>2026-03-14_NRTH_at_MRRT</t>
        </is>
      </c>
    </row>
    <row r="226" ht="15.75" customHeight="1" s="35">
      <c r="A226" s="8" t="inlineStr">
        <is>
          <t>MRRT</t>
        </is>
      </c>
      <c r="B226" s="8" t="inlineStr">
        <is>
          <t>J Ketterer</t>
        </is>
      </c>
      <c r="C226" s="8" t="inlineStr">
        <is>
          <t>2026-03-14_NRTH_at_MRRT</t>
        </is>
      </c>
    </row>
    <row r="227" ht="15.75" customHeight="1" s="35">
      <c r="A227" s="8" t="inlineStr">
        <is>
          <t>MRRT</t>
        </is>
      </c>
      <c r="B227" s="8" t="inlineStr">
        <is>
          <t>J Yeich</t>
        </is>
      </c>
      <c r="C227" s="8" t="inlineStr">
        <is>
          <t>2026-03-14_NRTH_at_MRRT</t>
        </is>
      </c>
      <c r="D227" s="8" t="inlineStr">
        <is>
          <t>Bats and pitches</t>
        </is>
      </c>
    </row>
    <row r="228" ht="15.75" customHeight="1" s="35">
      <c r="A228" s="8" t="inlineStr">
        <is>
          <t>MRRT</t>
        </is>
      </c>
      <c r="B228" s="8" t="inlineStr">
        <is>
          <t>K Yarema</t>
        </is>
      </c>
      <c r="C228" s="8" t="inlineStr">
        <is>
          <t>2026-03-14_NRTH_at_MRRT</t>
        </is>
      </c>
    </row>
    <row r="229" ht="15.75" customHeight="1" s="35">
      <c r="A229" s="8" t="inlineStr">
        <is>
          <t>MRRT</t>
        </is>
      </c>
      <c r="B229" s="8" t="inlineStr">
        <is>
          <t>M Delmonte</t>
        </is>
      </c>
      <c r="C229" s="8" t="inlineStr">
        <is>
          <t>2026-03-14_NRTH_at_MRRT</t>
        </is>
      </c>
    </row>
    <row r="230" ht="15.75" customHeight="1" s="35">
      <c r="A230" s="8" t="inlineStr">
        <is>
          <t>MRRT</t>
        </is>
      </c>
      <c r="B230" s="8" t="inlineStr">
        <is>
          <t>M Parson</t>
        </is>
      </c>
      <c r="C230" s="8" t="inlineStr">
        <is>
          <t>2026-03-14_NRTH_at_MRRT</t>
        </is>
      </c>
    </row>
    <row r="231" ht="15.75" customHeight="1" s="35">
      <c r="A231" s="8" t="inlineStr">
        <is>
          <t>MRRT</t>
        </is>
      </c>
      <c r="B231" s="8" t="inlineStr">
        <is>
          <t>N Brown</t>
        </is>
      </c>
      <c r="C231" s="8" t="inlineStr">
        <is>
          <t>2026-03-14_NRTH_at_MRRT</t>
        </is>
      </c>
    </row>
    <row r="232" ht="15.75" customHeight="1" s="35">
      <c r="A232" s="8" t="inlineStr">
        <is>
          <t>MRRT</t>
        </is>
      </c>
      <c r="B232" s="8" t="inlineStr">
        <is>
          <t>O Snow</t>
        </is>
      </c>
      <c r="C232" s="8" t="inlineStr">
        <is>
          <t>2026-03-14_NRTH_at_MRRT</t>
        </is>
      </c>
    </row>
    <row r="233" ht="15.75" customHeight="1" s="35">
      <c r="A233" s="8" t="inlineStr">
        <is>
          <t>MRRT</t>
        </is>
      </c>
      <c r="B233" s="8" t="inlineStr">
        <is>
          <t>R Marsili</t>
        </is>
      </c>
      <c r="C233" s="8" t="inlineStr">
        <is>
          <t>2026-03-14_NRTH_at_MRRT</t>
        </is>
      </c>
      <c r="D233" s="8" t="inlineStr">
        <is>
          <t>Bats and pitches</t>
        </is>
      </c>
    </row>
    <row r="234" ht="15.75" customHeight="1" s="35">
      <c r="A234" s="8" t="inlineStr">
        <is>
          <t>MRRT</t>
        </is>
      </c>
      <c r="B234" s="8" t="inlineStr">
        <is>
          <t>S Grams</t>
        </is>
      </c>
      <c r="C234" s="8" t="inlineStr">
        <is>
          <t>2026-03-14_NRTH_at_MRRT</t>
        </is>
      </c>
    </row>
    <row r="235" ht="15.75" customHeight="1" s="35">
      <c r="A235" s="8" t="inlineStr">
        <is>
          <t>MRRT</t>
        </is>
      </c>
      <c r="B235" s="8" t="inlineStr">
        <is>
          <t>S Thomas</t>
        </is>
      </c>
      <c r="C235" s="8" t="inlineStr">
        <is>
          <t>2026-03-14_NRTH_at_MRRT</t>
        </is>
      </c>
      <c r="D235" s="8" t="inlineStr">
        <is>
          <t>Bats and pitches</t>
        </is>
      </c>
    </row>
    <row r="236" ht="15.75" customHeight="1" s="35">
      <c r="A236" s="8" t="inlineStr">
        <is>
          <t>MRRT</t>
        </is>
      </c>
      <c r="B236" s="8" t="inlineStr">
        <is>
          <t>T Rauscher</t>
        </is>
      </c>
      <c r="C236" s="8" t="inlineStr">
        <is>
          <t>2026-03-14_NRTH_at_MRRT</t>
        </is>
      </c>
    </row>
    <row r="237" ht="15.75" customHeight="1" s="35">
      <c r="A237" s="8" t="inlineStr">
        <is>
          <t>MRRT</t>
        </is>
      </c>
      <c r="B237" s="8" t="inlineStr">
        <is>
          <t>T Smith</t>
        </is>
      </c>
      <c r="C237" s="8" t="inlineStr">
        <is>
          <t>2026-03-14_NRTH_at_MRRT</t>
        </is>
      </c>
      <c r="D237" s="8" t="inlineStr">
        <is>
          <t>Bats and pitches</t>
        </is>
      </c>
    </row>
    <row r="238" ht="15.75" customHeight="1" s="35">
      <c r="A238" s="8" t="inlineStr">
        <is>
          <t>MRRT</t>
        </is>
      </c>
      <c r="B238" s="8" t="inlineStr">
        <is>
          <t>Z Magee</t>
        </is>
      </c>
      <c r="C238" s="8" t="inlineStr">
        <is>
          <t>2026-03-14_NRTH_at_MRRT</t>
        </is>
      </c>
    </row>
    <row r="239" ht="15.75" customHeight="1" s="35">
      <c r="A239" s="8" t="inlineStr">
        <is>
          <t>NRTH</t>
        </is>
      </c>
      <c r="B239" s="8" t="inlineStr">
        <is>
          <t>A Espejo</t>
        </is>
      </c>
      <c r="C239" s="8" t="inlineStr">
        <is>
          <t>2026-03-07_ELNR_at_NRTH</t>
        </is>
      </c>
      <c r="D239" s="8" t="inlineStr">
        <is>
          <t>Bats and pitches</t>
        </is>
      </c>
    </row>
    <row r="240" ht="15.75" customHeight="1" s="35">
      <c r="A240" s="8" t="inlineStr">
        <is>
          <t>NRTH</t>
        </is>
      </c>
      <c r="B240" s="8" t="inlineStr">
        <is>
          <t>A Harding</t>
        </is>
      </c>
      <c r="C240" s="8" t="inlineStr">
        <is>
          <t>2026-03-07_ELNR_at_NRTH</t>
        </is>
      </c>
      <c r="D240" s="8" t="inlineStr">
        <is>
          <t>Bats and pitches</t>
        </is>
      </c>
    </row>
    <row r="241" ht="15.75" customHeight="1" s="35">
      <c r="A241" s="8" t="inlineStr">
        <is>
          <t>NRTH</t>
        </is>
      </c>
      <c r="B241" s="8" t="inlineStr">
        <is>
          <t>A Thomas</t>
        </is>
      </c>
      <c r="C241" s="8" t="inlineStr">
        <is>
          <t>2026-03-07_ELNR_at_NRTH</t>
        </is>
      </c>
    </row>
    <row r="242" ht="15.75" customHeight="1" s="35">
      <c r="A242" s="8" t="inlineStr">
        <is>
          <t>NRTH</t>
        </is>
      </c>
      <c r="B242" s="8" t="inlineStr">
        <is>
          <t>A Williams</t>
        </is>
      </c>
      <c r="C242" s="8" t="inlineStr">
        <is>
          <t>2026-03-07_ELNR_at_NRTH</t>
        </is>
      </c>
    </row>
    <row r="243" ht="15.75" customHeight="1" s="35">
      <c r="A243" s="8" t="inlineStr">
        <is>
          <t>NRTH</t>
        </is>
      </c>
      <c r="B243" s="8" t="inlineStr">
        <is>
          <t>C Harrigan</t>
        </is>
      </c>
      <c r="C243" s="8" t="inlineStr">
        <is>
          <t>2026-03-26_THMS_at_NRTH</t>
        </is>
      </c>
    </row>
    <row r="244" ht="15.75" customHeight="1" s="35">
      <c r="A244" s="8" t="inlineStr">
        <is>
          <t>NRTH</t>
        </is>
      </c>
      <c r="B244" s="8" t="inlineStr">
        <is>
          <t>C Pettko</t>
        </is>
      </c>
      <c r="C244" s="8" t="inlineStr">
        <is>
          <t>2026-03-07_ELNR_at_NRTH</t>
        </is>
      </c>
      <c r="D244" s="8" t="inlineStr">
        <is>
          <t>Bats and pitches</t>
        </is>
      </c>
    </row>
    <row r="245" ht="15.75" customHeight="1" s="35">
      <c r="A245" s="8" t="inlineStr">
        <is>
          <t>NRTH</t>
        </is>
      </c>
      <c r="B245" s="8" t="inlineStr">
        <is>
          <t>E Zimmerman</t>
        </is>
      </c>
      <c r="C245" s="8" t="inlineStr">
        <is>
          <t>2026-03-07_ELNR_at_NRTH</t>
        </is>
      </c>
      <c r="D245" s="8" t="inlineStr">
        <is>
          <t>Bats and pitches</t>
        </is>
      </c>
    </row>
    <row r="246" ht="15.75" customHeight="1" s="35">
      <c r="A246" s="8" t="inlineStr">
        <is>
          <t>NRTH</t>
        </is>
      </c>
      <c r="B246" s="8" t="inlineStr">
        <is>
          <t>J Borawski</t>
        </is>
      </c>
      <c r="C246" s="8" t="inlineStr">
        <is>
          <t>2026-03-26_THMS_at_NRTH</t>
        </is>
      </c>
    </row>
    <row r="247" ht="15.75" customHeight="1" s="35">
      <c r="A247" s="8" t="inlineStr">
        <is>
          <t>NRTH</t>
        </is>
      </c>
      <c r="B247" s="8" t="inlineStr">
        <is>
          <t>J Smith</t>
        </is>
      </c>
      <c r="C247" s="8" t="inlineStr">
        <is>
          <t>2026-03-07_ELNR_at_NRTH</t>
        </is>
      </c>
      <c r="D247" s="8" t="inlineStr">
        <is>
          <t>Bats and pitches</t>
        </is>
      </c>
    </row>
    <row r="248" ht="15.75" customHeight="1" s="35">
      <c r="A248" s="8" t="inlineStr">
        <is>
          <t>NRTH</t>
        </is>
      </c>
      <c r="B248" s="8" t="inlineStr">
        <is>
          <t>NRTH_#1</t>
        </is>
      </c>
      <c r="C248" s="8" t="inlineStr">
        <is>
          <t>2026-03-18_NRTH_at_HNTN</t>
        </is>
      </c>
    </row>
    <row r="249" ht="15.75" customHeight="1" s="35">
      <c r="A249" s="8" t="inlineStr">
        <is>
          <t>NRTH</t>
        </is>
      </c>
      <c r="B249" s="8" t="inlineStr">
        <is>
          <t>NRTH_#10</t>
        </is>
      </c>
      <c r="C249" s="8" t="inlineStr">
        <is>
          <t>2026-03-18_NRTH_at_HNTN</t>
        </is>
      </c>
    </row>
    <row r="250" ht="15.75" customHeight="1" s="35">
      <c r="A250" s="8" t="inlineStr">
        <is>
          <t>NRTH</t>
        </is>
      </c>
      <c r="B250" s="8" t="inlineStr">
        <is>
          <t>NRTH_#11</t>
        </is>
      </c>
      <c r="C250" s="8" t="inlineStr">
        <is>
          <t>2026-03-18_NRTH_at_HNTN</t>
        </is>
      </c>
    </row>
    <row r="251" ht="15.75" customHeight="1" s="35">
      <c r="A251" s="8" t="inlineStr">
        <is>
          <t>NRTH</t>
        </is>
      </c>
      <c r="B251" s="8" t="inlineStr">
        <is>
          <t>NRTH_#13</t>
        </is>
      </c>
      <c r="C251" s="8" t="inlineStr">
        <is>
          <t>2026-03-18_NRTH_at_HNTN</t>
        </is>
      </c>
    </row>
    <row r="252" ht="15.75" customHeight="1" s="35">
      <c r="A252" s="8" t="inlineStr">
        <is>
          <t>NRTH</t>
        </is>
      </c>
      <c r="B252" s="8" t="inlineStr">
        <is>
          <t>NRTH_#16</t>
        </is>
      </c>
      <c r="C252" s="8" t="inlineStr">
        <is>
          <t>2026-03-18_NRTH_at_HNTN</t>
        </is>
      </c>
      <c r="D252" s="8" t="inlineStr">
        <is>
          <t>Bats and pitches</t>
        </is>
      </c>
    </row>
    <row r="253" ht="15.75" customHeight="1" s="35">
      <c r="A253" s="8" t="inlineStr">
        <is>
          <t>NRTH</t>
        </is>
      </c>
      <c r="B253" s="8" t="inlineStr">
        <is>
          <t>NRTH_#2</t>
        </is>
      </c>
      <c r="C253" s="8" t="inlineStr">
        <is>
          <t>2026-03-18_NRTH_at_HNTN</t>
        </is>
      </c>
    </row>
    <row r="254" ht="15.75" customHeight="1" s="35">
      <c r="A254" s="8" t="inlineStr">
        <is>
          <t>NRTH</t>
        </is>
      </c>
      <c r="B254" s="8" t="inlineStr">
        <is>
          <t>NRTH_#20</t>
        </is>
      </c>
      <c r="C254" s="8" t="inlineStr">
        <is>
          <t>2026-03-18_NRTH_at_HNTN</t>
        </is>
      </c>
    </row>
    <row r="255" ht="15.75" customHeight="1" s="35">
      <c r="A255" s="8" t="inlineStr">
        <is>
          <t>NRTH</t>
        </is>
      </c>
      <c r="B255" s="8" t="inlineStr">
        <is>
          <t>NRTH_#24</t>
        </is>
      </c>
      <c r="C255" s="8" t="inlineStr">
        <is>
          <t>2026-03-18_NRTH_at_HNTN</t>
        </is>
      </c>
    </row>
    <row r="256" ht="15.75" customHeight="1" s="35">
      <c r="A256" s="8" t="inlineStr">
        <is>
          <t>NRTH</t>
        </is>
      </c>
      <c r="B256" s="8" t="inlineStr">
        <is>
          <t>NRTH_#5</t>
        </is>
      </c>
      <c r="C256" s="8" t="inlineStr">
        <is>
          <t>2026-03-18_NRTH_at_HNTN</t>
        </is>
      </c>
    </row>
    <row r="257" ht="15.75" customHeight="1" s="35">
      <c r="A257" s="8" t="inlineStr">
        <is>
          <t>NRTH</t>
        </is>
      </c>
      <c r="B257" s="8" t="inlineStr">
        <is>
          <t>NRTH_#6</t>
        </is>
      </c>
      <c r="C257" s="8" t="inlineStr">
        <is>
          <t>2026-03-18_NRTH_at_HNTN</t>
        </is>
      </c>
    </row>
    <row r="258" ht="15.75" customHeight="1" s="35">
      <c r="A258" s="8" t="inlineStr">
        <is>
          <t>NRTH</t>
        </is>
      </c>
      <c r="B258" s="8" t="inlineStr">
        <is>
          <t>NRTH_#7</t>
        </is>
      </c>
      <c r="C258" s="8" t="inlineStr">
        <is>
          <t>2026-03-18_NRTH_at_HNTN</t>
        </is>
      </c>
      <c r="D258" s="8" t="inlineStr">
        <is>
          <t>Bats and pitches</t>
        </is>
      </c>
    </row>
    <row r="259" ht="15.75" customHeight="1" s="35">
      <c r="A259" s="8" t="inlineStr">
        <is>
          <t>NRTH</t>
        </is>
      </c>
      <c r="B259" s="8" t="inlineStr">
        <is>
          <t>NRTH_#8</t>
        </is>
      </c>
      <c r="C259" s="8" t="inlineStr">
        <is>
          <t>2026-03-18_NRTH_at_HNTN</t>
        </is>
      </c>
      <c r="D259" s="8" t="inlineStr">
        <is>
          <t>Pitcher only (no batting rows in log)</t>
        </is>
      </c>
    </row>
    <row r="260" ht="15.75" customHeight="1" s="35">
      <c r="A260" s="8" t="inlineStr">
        <is>
          <t>NRTH</t>
        </is>
      </c>
      <c r="B260" s="8" t="inlineStr">
        <is>
          <t>NRTH_#9</t>
        </is>
      </c>
      <c r="C260" s="8" t="inlineStr">
        <is>
          <t>2026-03-18_NRTH_at_HNTN</t>
        </is>
      </c>
      <c r="D260" s="8" t="inlineStr">
        <is>
          <t>Bats and pitches</t>
        </is>
      </c>
    </row>
    <row r="261" ht="15.75" customHeight="1" s="35">
      <c r="A261" s="8" t="inlineStr">
        <is>
          <t>NRTH</t>
        </is>
      </c>
      <c r="B261" s="8" t="inlineStr">
        <is>
          <t>NRTH_3B_Unknown</t>
        </is>
      </c>
      <c r="C261" s="8" t="inlineStr">
        <is>
          <t>2026-03-18_NRTH_at_HNTN</t>
        </is>
      </c>
    </row>
    <row r="262" ht="15.75" customHeight="1" s="35">
      <c r="A262" s="8" t="inlineStr">
        <is>
          <t>NRTH</t>
        </is>
      </c>
      <c r="B262" s="8" t="inlineStr">
        <is>
          <t>Pettro</t>
        </is>
      </c>
      <c r="C262" s="8" t="inlineStr">
        <is>
          <t>2026-04-01_RVRH_at_NRTH</t>
        </is>
      </c>
    </row>
    <row r="263" ht="15.75" customHeight="1" s="35">
      <c r="A263" s="8" t="inlineStr">
        <is>
          <t>NRTH</t>
        </is>
      </c>
      <c r="B263" s="8" t="inlineStr">
        <is>
          <t>S Dixon</t>
        </is>
      </c>
      <c r="C263" s="8" t="inlineStr">
        <is>
          <t>2026-03-07_ELNR_at_NRTH</t>
        </is>
      </c>
    </row>
    <row r="264" ht="15.75" customHeight="1" s="35">
      <c r="A264" s="8" t="inlineStr">
        <is>
          <t>NRTH</t>
        </is>
      </c>
      <c r="B264" s="8" t="inlineStr">
        <is>
          <t>T Roy</t>
        </is>
      </c>
      <c r="C264" s="8" t="inlineStr">
        <is>
          <t>2026-03-07_ELNR_at_NRTH</t>
        </is>
      </c>
      <c r="D264" s="8" t="inlineStr">
        <is>
          <t>Bats and pitches</t>
        </is>
      </c>
    </row>
    <row r="265" ht="15.75" customHeight="1" s="35">
      <c r="A265" s="8" t="inlineStr">
        <is>
          <t>NRTH</t>
        </is>
      </c>
      <c r="B265" s="8" t="inlineStr">
        <is>
          <t>W Kwisnek</t>
        </is>
      </c>
      <c r="C265" s="8" t="inlineStr">
        <is>
          <t>2026-03-07_ELNR_at_NRTH</t>
        </is>
      </c>
      <c r="D265" s="8" t="inlineStr">
        <is>
          <t>Bats and pitches</t>
        </is>
      </c>
    </row>
    <row r="266" ht="15.75" customHeight="1" s="35">
      <c r="A266" s="8" t="inlineStr">
        <is>
          <t>NRTH</t>
        </is>
      </c>
      <c r="B266" s="8" t="inlineStr">
        <is>
          <t>Z Bowman</t>
        </is>
      </c>
      <c r="C266" s="8" t="inlineStr">
        <is>
          <t>2026-03-07_ELNR_at_NRTH</t>
        </is>
      </c>
      <c r="D266" s="8" t="inlineStr">
        <is>
          <t>Bats and pitches</t>
        </is>
      </c>
    </row>
    <row r="267" ht="15.75" customHeight="1" s="35">
      <c r="A267" s="8" t="inlineStr">
        <is>
          <t>OKDL</t>
        </is>
      </c>
      <c r="B267" s="8" t="inlineStr">
        <is>
          <t>B Yowell</t>
        </is>
      </c>
      <c r="C267" s="8" t="inlineStr">
        <is>
          <t>2026-03-14_GLNL_at_OKDL</t>
        </is>
      </c>
      <c r="D267" s="8" t="inlineStr">
        <is>
          <t>Pitcher only (no batting rows in log)</t>
        </is>
      </c>
    </row>
    <row r="268" ht="15.75" customHeight="1" s="35">
      <c r="A268" s="8" t="inlineStr">
        <is>
          <t>OKDL</t>
        </is>
      </c>
      <c r="B268" s="8" t="inlineStr">
        <is>
          <t>C DeWaal</t>
        </is>
      </c>
      <c r="C268" s="8" t="inlineStr">
        <is>
          <t>2026-03-14_GLNL_at_OKDL</t>
        </is>
      </c>
    </row>
    <row r="269" ht="15.75" customHeight="1" s="35">
      <c r="A269" s="8" t="inlineStr">
        <is>
          <t>OKDL</t>
        </is>
      </c>
      <c r="B269" s="8" t="inlineStr">
        <is>
          <t>C Scarzello</t>
        </is>
      </c>
      <c r="C269" s="8" t="inlineStr">
        <is>
          <t>2026-03-14_GLNL_at_OKDL</t>
        </is>
      </c>
    </row>
    <row r="270" ht="15.75" customHeight="1" s="35">
      <c r="A270" s="8" t="inlineStr">
        <is>
          <t>OKDL</t>
        </is>
      </c>
      <c r="B270" s="8" t="inlineStr">
        <is>
          <t>C Thompson</t>
        </is>
      </c>
      <c r="C270" s="8" t="inlineStr">
        <is>
          <t>2026-03-14_GLNL_at_OKDL</t>
        </is>
      </c>
      <c r="D270" s="8" t="inlineStr">
        <is>
          <t>Bats and pitches</t>
        </is>
      </c>
    </row>
    <row r="271" ht="15.75" customHeight="1" s="35">
      <c r="A271" s="8" t="inlineStr">
        <is>
          <t>OKDL</t>
        </is>
      </c>
      <c r="B271" s="8" t="inlineStr">
        <is>
          <t>D O'Conner</t>
        </is>
      </c>
      <c r="C271" s="8" t="inlineStr">
        <is>
          <t>2026-03-14_GLNL_at_OKDL</t>
        </is>
      </c>
    </row>
    <row r="272" ht="15.75" customHeight="1" s="35">
      <c r="A272" s="8" t="inlineStr">
        <is>
          <t>OKDL</t>
        </is>
      </c>
      <c r="B272" s="8" t="inlineStr">
        <is>
          <t>G Beaver</t>
        </is>
      </c>
      <c r="C272" s="8" t="inlineStr">
        <is>
          <t>2026-03-14_GLNL_at_OKDL</t>
        </is>
      </c>
    </row>
    <row r="273" ht="15.75" customHeight="1" s="35">
      <c r="A273" s="8" t="inlineStr">
        <is>
          <t>OKDL</t>
        </is>
      </c>
      <c r="B273" s="8" t="inlineStr">
        <is>
          <t>K Huynh</t>
        </is>
      </c>
      <c r="C273" s="8" t="inlineStr">
        <is>
          <t>2026-03-14_GLNL_at_OKDL</t>
        </is>
      </c>
    </row>
    <row r="274" ht="15.75" customHeight="1" s="35">
      <c r="A274" s="8" t="inlineStr">
        <is>
          <t>OKDL</t>
        </is>
      </c>
      <c r="B274" s="8" t="inlineStr">
        <is>
          <t>L Patterson</t>
        </is>
      </c>
      <c r="C274" s="8" t="inlineStr">
        <is>
          <t>2026-03-14_GLNL_at_OKDL</t>
        </is>
      </c>
    </row>
    <row r="275" ht="15.75" customHeight="1" s="35">
      <c r="A275" s="8" t="inlineStr">
        <is>
          <t>OKDL</t>
        </is>
      </c>
      <c r="B275" s="8" t="inlineStr">
        <is>
          <t>L Rosenberg</t>
        </is>
      </c>
      <c r="C275" s="8" t="inlineStr">
        <is>
          <t>2026-03-14_GLNL_at_OKDL</t>
        </is>
      </c>
    </row>
    <row r="276" ht="15.75" customHeight="1" s="35">
      <c r="A276" s="8" t="inlineStr">
        <is>
          <t>OKDL</t>
        </is>
      </c>
      <c r="B276" s="8" t="inlineStr">
        <is>
          <t>N Noweski</t>
        </is>
      </c>
      <c r="C276" s="8" t="inlineStr">
        <is>
          <t>2026-03-14_GLNL_at_OKDL</t>
        </is>
      </c>
    </row>
    <row r="277" ht="15.75" customHeight="1" s="35">
      <c r="A277" s="8" t="inlineStr">
        <is>
          <t>OKDL</t>
        </is>
      </c>
      <c r="B277" s="8" t="inlineStr">
        <is>
          <t>P Dix</t>
        </is>
      </c>
      <c r="C277" s="8" t="inlineStr">
        <is>
          <t>2026-03-14_GLNL_at_OKDL</t>
        </is>
      </c>
      <c r="D277" s="8" t="inlineStr">
        <is>
          <t>Bats and pitches</t>
        </is>
      </c>
    </row>
    <row r="278" ht="15.75" customHeight="1" s="35">
      <c r="A278" s="8" t="inlineStr">
        <is>
          <t>OLDM</t>
        </is>
      </c>
      <c r="B278" s="8" t="inlineStr">
        <is>
          <t>B Rzepkoski</t>
        </is>
      </c>
      <c r="C278" s="8" t="inlineStr">
        <is>
          <t>2026-04-01_OLDM_at_RVRH</t>
        </is>
      </c>
      <c r="D278" s="8" t="inlineStr">
        <is>
          <t>Bats and pitches</t>
        </is>
      </c>
    </row>
    <row r="279" ht="15.75" customHeight="1" s="35">
      <c r="A279" s="8" t="inlineStr">
        <is>
          <t>OLDM</t>
        </is>
      </c>
      <c r="B279" s="8" t="inlineStr">
        <is>
          <t>C Bonner</t>
        </is>
      </c>
      <c r="C279" s="8" t="inlineStr">
        <is>
          <t>2026-04-01_OLDM_at_RVRH</t>
        </is>
      </c>
    </row>
    <row r="280" ht="15.75" customHeight="1" s="35">
      <c r="A280" s="8" t="inlineStr">
        <is>
          <t>OLDM</t>
        </is>
      </c>
      <c r="B280" s="8" t="inlineStr">
        <is>
          <t>C Hairston</t>
        </is>
      </c>
      <c r="C280" s="8" t="inlineStr">
        <is>
          <t>2026-04-01_OLDM_at_RVRH</t>
        </is>
      </c>
    </row>
    <row r="281" ht="15.75" customHeight="1" s="35">
      <c r="A281" s="8" t="inlineStr">
        <is>
          <t>OLDM</t>
        </is>
      </c>
      <c r="B281" s="8" t="inlineStr">
        <is>
          <t>C Koreck</t>
        </is>
      </c>
      <c r="C281" s="8" t="inlineStr">
        <is>
          <t>2026-04-01_OLDM_at_RVRH</t>
        </is>
      </c>
      <c r="D281" s="8" t="inlineStr">
        <is>
          <t>Bats and pitches</t>
        </is>
      </c>
    </row>
    <row r="282" ht="15.75" customHeight="1" s="35">
      <c r="A282" s="8" t="inlineStr">
        <is>
          <t>OLDM</t>
        </is>
      </c>
      <c r="B282" s="8" t="inlineStr">
        <is>
          <t>J Wilbon</t>
        </is>
      </c>
      <c r="C282" s="8" t="inlineStr">
        <is>
          <t>2026-04-01_OLDM_at_RVRH</t>
        </is>
      </c>
    </row>
    <row r="283" ht="15.75" customHeight="1" s="35">
      <c r="A283" s="8" t="inlineStr">
        <is>
          <t>OLDM</t>
        </is>
      </c>
      <c r="B283" s="8" t="inlineStr">
        <is>
          <t>K Poucher</t>
        </is>
      </c>
      <c r="C283" s="8" t="inlineStr">
        <is>
          <t>2026-04-01_OLDM_at_RVRH</t>
        </is>
      </c>
    </row>
    <row r="284" ht="15.75" customHeight="1" s="35">
      <c r="A284" s="8" t="inlineStr">
        <is>
          <t>OLDM</t>
        </is>
      </c>
      <c r="B284" s="8" t="inlineStr">
        <is>
          <t>L McConville</t>
        </is>
      </c>
      <c r="C284" s="8" t="inlineStr">
        <is>
          <t>2026-04-01_OLDM_at_RVRH</t>
        </is>
      </c>
    </row>
    <row r="285" ht="15.75" customHeight="1" s="35">
      <c r="A285" s="8" t="inlineStr">
        <is>
          <t>OLDM</t>
        </is>
      </c>
      <c r="B285" s="8" t="inlineStr">
        <is>
          <t>M Dauer-McGarrett</t>
        </is>
      </c>
      <c r="C285" s="8" t="inlineStr">
        <is>
          <t>2026-04-01_OLDM_at_RVRH</t>
        </is>
      </c>
    </row>
    <row r="286" ht="15.75" customHeight="1" s="35">
      <c r="A286" s="8" t="inlineStr">
        <is>
          <t>OLDM</t>
        </is>
      </c>
      <c r="B286" s="8" t="inlineStr">
        <is>
          <t>R Harting</t>
        </is>
      </c>
      <c r="C286" s="8" t="inlineStr">
        <is>
          <t>2026-04-01_OLDM_at_RVRH</t>
        </is>
      </c>
      <c r="D286" s="8" t="inlineStr">
        <is>
          <t>Pitcher only (no batting rows in log)</t>
        </is>
      </c>
    </row>
    <row r="287" ht="15.75" customHeight="1" s="35">
      <c r="A287" s="8" t="inlineStr">
        <is>
          <t>OLDM</t>
        </is>
      </c>
      <c r="B287" s="8" t="inlineStr">
        <is>
          <t>S Perron</t>
        </is>
      </c>
      <c r="C287" s="8" t="inlineStr">
        <is>
          <t>2026-04-01_OLDM_at_RVRH</t>
        </is>
      </c>
    </row>
    <row r="288" ht="15.75" customHeight="1" s="35">
      <c r="A288" s="8" t="inlineStr">
        <is>
          <t>OLDM</t>
        </is>
      </c>
      <c r="B288" s="8" t="inlineStr">
        <is>
          <t>T Martini</t>
        </is>
      </c>
      <c r="C288" s="8" t="inlineStr">
        <is>
          <t>2026-04-01_OLDM_at_RVRH</t>
        </is>
      </c>
      <c r="D288" s="8" t="inlineStr">
        <is>
          <t>Bats and pitches</t>
        </is>
      </c>
    </row>
    <row r="289" ht="15.75" customHeight="1" s="35">
      <c r="A289" s="8" t="inlineStr">
        <is>
          <t>OLDM</t>
        </is>
      </c>
      <c r="B289" s="8" t="inlineStr">
        <is>
          <t>T Richmond</t>
        </is>
      </c>
      <c r="C289" s="8" t="inlineStr">
        <is>
          <t>2026-04-01_OLDM_at_RVRH</t>
        </is>
      </c>
      <c r="D289" s="8" t="inlineStr">
        <is>
          <t>Bats and pitches</t>
        </is>
      </c>
    </row>
    <row r="290" ht="15.75" customHeight="1" s="35">
      <c r="A290" s="8" t="inlineStr">
        <is>
          <t>OLDM</t>
        </is>
      </c>
      <c r="B290" s="8" t="inlineStr">
        <is>
          <t>T Thompson</t>
        </is>
      </c>
      <c r="C290" s="8" t="inlineStr">
        <is>
          <t>2026-04-01_OLDM_at_RVRH</t>
        </is>
      </c>
    </row>
    <row r="291" ht="15.75" customHeight="1" s="35">
      <c r="A291" s="8" t="inlineStr">
        <is>
          <t>PTXN</t>
        </is>
      </c>
      <c r="B291" s="8" t="inlineStr">
        <is>
          <t>B Cowan</t>
        </is>
      </c>
      <c r="C291" s="8" t="inlineStr">
        <is>
          <t>2026-03-20_PTXN_at_NRTH</t>
        </is>
      </c>
    </row>
    <row r="292" ht="15.75" customHeight="1" s="35">
      <c r="A292" s="8" t="inlineStr">
        <is>
          <t>PTXN</t>
        </is>
      </c>
      <c r="B292" s="8" t="inlineStr">
        <is>
          <t>C Jones</t>
        </is>
      </c>
      <c r="C292" s="8" t="inlineStr">
        <is>
          <t>2026-03-20_PTXN_at_NRTH</t>
        </is>
      </c>
    </row>
    <row r="293" ht="15.75" customHeight="1" s="35">
      <c r="A293" s="8" t="inlineStr">
        <is>
          <t>PTXN</t>
        </is>
      </c>
      <c r="B293" s="8" t="inlineStr">
        <is>
          <t>C White</t>
        </is>
      </c>
      <c r="C293" s="8" t="inlineStr">
        <is>
          <t>2026-03-20_PTXN_at_NRTH</t>
        </is>
      </c>
      <c r="D293" s="8" t="inlineStr">
        <is>
          <t>Bats and pitches</t>
        </is>
      </c>
    </row>
    <row r="294" ht="15.75" customHeight="1" s="35">
      <c r="A294" s="8" t="inlineStr">
        <is>
          <t>PTXN</t>
        </is>
      </c>
      <c r="B294" s="8" t="inlineStr">
        <is>
          <t>D Bradley</t>
        </is>
      </c>
      <c r="C294" s="8" t="inlineStr">
        <is>
          <t>2026-03-20_PTXN_at_NRTH</t>
        </is>
      </c>
      <c r="D294" s="8" t="inlineStr">
        <is>
          <t>Bats and pitches</t>
        </is>
      </c>
    </row>
    <row r="295" ht="15.75" customHeight="1" s="35">
      <c r="A295" s="8" t="inlineStr">
        <is>
          <t>PTXN</t>
        </is>
      </c>
      <c r="B295" s="8" t="inlineStr">
        <is>
          <t>L Powell</t>
        </is>
      </c>
      <c r="C295" s="8" t="inlineStr">
        <is>
          <t>2026-03-20_PTXN_at_NRTH</t>
        </is>
      </c>
    </row>
    <row r="296" ht="15.75" customHeight="1" s="35">
      <c r="A296" s="8" t="inlineStr">
        <is>
          <t>PTXN</t>
        </is>
      </c>
      <c r="B296" s="8" t="inlineStr">
        <is>
          <t>N Kelly</t>
        </is>
      </c>
      <c r="C296" s="8" t="inlineStr">
        <is>
          <t>2026-03-20_PTXN_at_NRTH</t>
        </is>
      </c>
    </row>
    <row r="297" ht="15.75" customHeight="1" s="35">
      <c r="A297" s="8" t="inlineStr">
        <is>
          <t>PTXN</t>
        </is>
      </c>
      <c r="B297" s="8" t="inlineStr">
        <is>
          <t>N Sands</t>
        </is>
      </c>
      <c r="C297" s="8" t="inlineStr">
        <is>
          <t>2026-03-20_PTXN_at_NRTH</t>
        </is>
      </c>
    </row>
    <row r="298" ht="15.75" customHeight="1" s="35">
      <c r="A298" s="8" t="inlineStr">
        <is>
          <t>PTXN</t>
        </is>
      </c>
      <c r="B298" s="8" t="inlineStr">
        <is>
          <t>PTXN_3B_Unknown</t>
        </is>
      </c>
      <c r="C298" s="8" t="inlineStr">
        <is>
          <t>2026-03-23_PTXN_at_HNTN</t>
        </is>
      </c>
    </row>
    <row r="299" ht="15.75" customHeight="1" s="35">
      <c r="A299" s="8" t="inlineStr">
        <is>
          <t>PTXN</t>
        </is>
      </c>
      <c r="B299" s="8" t="inlineStr">
        <is>
          <t>R Whitney</t>
        </is>
      </c>
      <c r="C299" s="8" t="inlineStr">
        <is>
          <t>2026-03-20_PTXN_at_NRTH</t>
        </is>
      </c>
      <c r="D299" s="8" t="inlineStr">
        <is>
          <t>Bats and pitches</t>
        </is>
      </c>
    </row>
    <row r="300" ht="15.75" customHeight="1" s="35">
      <c r="A300" s="8" t="inlineStr">
        <is>
          <t>PTXN</t>
        </is>
      </c>
      <c r="B300" s="8" t="inlineStr">
        <is>
          <t>T Lakey</t>
        </is>
      </c>
      <c r="C300" s="8" t="inlineStr">
        <is>
          <t>2026-03-20_PTXN_at_NRTH</t>
        </is>
      </c>
      <c r="D300" s="8" t="inlineStr">
        <is>
          <t>Bats and pitches</t>
        </is>
      </c>
    </row>
    <row r="301" ht="15.75" customHeight="1" s="35">
      <c r="A301" s="8" t="inlineStr">
        <is>
          <t>RVRH</t>
        </is>
      </c>
      <c r="B301" s="8" t="inlineStr">
        <is>
          <t>A Contreras</t>
        </is>
      </c>
      <c r="C301" s="8" t="inlineStr">
        <is>
          <t>2026-03-10_RVRH_at_WSTF</t>
        </is>
      </c>
      <c r="E301" s="8" t="n">
        <v>9</v>
      </c>
    </row>
    <row r="302" ht="15.75" customHeight="1" s="35">
      <c r="A302" s="8" t="inlineStr">
        <is>
          <t>RVRH</t>
        </is>
      </c>
      <c r="B302" s="8" t="inlineStr">
        <is>
          <t>A Fields</t>
        </is>
      </c>
      <c r="C302" s="8" t="inlineStr">
        <is>
          <t>2026-03-10_RVRH_at_WSTF</t>
        </is>
      </c>
      <c r="E302" s="8" t="n">
        <v>7</v>
      </c>
    </row>
    <row r="303" ht="15.75" customHeight="1" s="35">
      <c r="A303" s="8" t="inlineStr">
        <is>
          <t>RVRH</t>
        </is>
      </c>
      <c r="B303" s="8" t="inlineStr">
        <is>
          <t>A Jensen</t>
        </is>
      </c>
      <c r="C303" s="8" t="inlineStr">
        <is>
          <t>2026-04-01_OLDM_at_RVRH</t>
        </is>
      </c>
    </row>
    <row r="304" ht="15.75" customHeight="1" s="35">
      <c r="A304" s="8" t="inlineStr">
        <is>
          <t>RVRH</t>
        </is>
      </c>
      <c r="B304" s="8" t="inlineStr">
        <is>
          <t>A Wu</t>
        </is>
      </c>
      <c r="C304" s="8" t="inlineStr">
        <is>
          <t>2026-03-21_RVRH_at_GLFR</t>
        </is>
      </c>
      <c r="D304" s="8" t="inlineStr">
        <is>
          <t>Bats and pitches</t>
        </is>
      </c>
    </row>
    <row r="305" ht="15.75" customHeight="1" s="35">
      <c r="A305" s="8" t="inlineStr">
        <is>
          <t>RVRH</t>
        </is>
      </c>
      <c r="B305" s="8" t="inlineStr">
        <is>
          <t>B Bixby</t>
        </is>
      </c>
      <c r="C305" s="8" t="inlineStr">
        <is>
          <t>2026-03-10_RVRH_at_WSTF</t>
        </is>
      </c>
    </row>
    <row r="306" ht="15.75" customHeight="1" s="35">
      <c r="A306" s="8" t="inlineStr">
        <is>
          <t>RVRH</t>
        </is>
      </c>
      <c r="B306" s="8" t="inlineStr">
        <is>
          <t>B Mougey</t>
        </is>
      </c>
      <c r="C306" s="8" t="inlineStr">
        <is>
          <t>2026-03-10_RVRH_at_WSTF</t>
        </is>
      </c>
    </row>
    <row r="307" ht="15.75" customHeight="1" s="35">
      <c r="A307" s="8" t="inlineStr">
        <is>
          <t>RVRH</t>
        </is>
      </c>
      <c r="B307" s="8" t="inlineStr">
        <is>
          <t>C McClellan</t>
        </is>
      </c>
      <c r="C307" s="8" t="inlineStr">
        <is>
          <t>2026-03-27_GLNL_at_RVRH</t>
        </is>
      </c>
    </row>
    <row r="308" ht="15.75" customHeight="1" s="35">
      <c r="A308" s="8" t="inlineStr">
        <is>
          <t>RVRH</t>
        </is>
      </c>
      <c r="B308" s="8" t="inlineStr">
        <is>
          <t>C Naecker</t>
        </is>
      </c>
      <c r="C308" s="8" t="inlineStr">
        <is>
          <t>2026-03-10_RVRH_at_WSTF</t>
        </is>
      </c>
      <c r="E308" s="8" t="n">
        <v>5</v>
      </c>
    </row>
    <row r="309" ht="15.75" customHeight="1" s="35">
      <c r="A309" s="8" t="inlineStr">
        <is>
          <t>RVRH</t>
        </is>
      </c>
      <c r="B309" s="8" t="inlineStr">
        <is>
          <t>C Nichols</t>
        </is>
      </c>
      <c r="C309" s="8" t="inlineStr">
        <is>
          <t>2026-03-10_RVRH_at_WSTF</t>
        </is>
      </c>
      <c r="D309" s="8" t="inlineStr">
        <is>
          <t>Bats and pitches</t>
        </is>
      </c>
    </row>
    <row r="310" ht="15.75" customHeight="1" s="35">
      <c r="A310" s="8" t="inlineStr">
        <is>
          <t>RVRH</t>
        </is>
      </c>
      <c r="B310" s="8" t="inlineStr">
        <is>
          <t>C Reis</t>
        </is>
      </c>
      <c r="C310" s="8" t="inlineStr">
        <is>
          <t>2026-03-10_RVRH_at_WSTF</t>
        </is>
      </c>
      <c r="D310" s="8" t="inlineStr">
        <is>
          <t>Bats and pitches</t>
        </is>
      </c>
      <c r="E310" s="8" t="n">
        <v>2</v>
      </c>
    </row>
    <row r="311" ht="15.75" customHeight="1" s="35">
      <c r="A311" s="8" t="inlineStr">
        <is>
          <t>RVRH</t>
        </is>
      </c>
      <c r="B311" s="8" t="inlineStr">
        <is>
          <t>E McCoy</t>
        </is>
      </c>
      <c r="C311" s="8" t="inlineStr">
        <is>
          <t>2026-03-10_RVRH_at_WSTF</t>
        </is>
      </c>
      <c r="D311" s="8" t="inlineStr">
        <is>
          <t>Bats and pitches</t>
        </is>
      </c>
      <c r="E311" s="8" t="n">
        <v>8</v>
      </c>
    </row>
    <row r="312" ht="15.75" customHeight="1" s="35">
      <c r="A312" s="8" t="inlineStr">
        <is>
          <t>RVRH</t>
        </is>
      </c>
      <c r="B312" s="8" t="inlineStr">
        <is>
          <t>E Skolkin</t>
        </is>
      </c>
      <c r="C312" s="8" t="inlineStr">
        <is>
          <t>2026-03-10_RVRH_at_WSTF</t>
        </is>
      </c>
      <c r="D312" s="8" t="inlineStr">
        <is>
          <t>Bats and pitches</t>
        </is>
      </c>
    </row>
    <row r="313" ht="15.75" customHeight="1" s="35">
      <c r="A313" s="8" t="inlineStr">
        <is>
          <t>RVRH</t>
        </is>
      </c>
      <c r="B313" s="8" t="inlineStr">
        <is>
          <t>G Dang</t>
        </is>
      </c>
      <c r="C313" s="8" t="inlineStr">
        <is>
          <t>2026-03-10_RVRH_at_WSTF</t>
        </is>
      </c>
      <c r="E313" s="8" t="n">
        <v>6</v>
      </c>
    </row>
    <row r="314" ht="15.75" customHeight="1" s="35">
      <c r="A314" s="8" t="inlineStr">
        <is>
          <t>RVRH</t>
        </is>
      </c>
      <c r="B314" s="8" t="inlineStr">
        <is>
          <t>H Zhang</t>
        </is>
      </c>
      <c r="C314" s="8" t="inlineStr">
        <is>
          <t>2026-03-10_RVRH_at_WSTF</t>
        </is>
      </c>
      <c r="D314" s="8" t="inlineStr">
        <is>
          <t>Bats and pitches</t>
        </is>
      </c>
      <c r="E314" s="8" t="n">
        <v>4</v>
      </c>
    </row>
    <row r="315" ht="15.75" customHeight="1" s="35">
      <c r="A315" s="8" t="inlineStr">
        <is>
          <t>RVRH</t>
        </is>
      </c>
      <c r="B315" s="8" t="inlineStr">
        <is>
          <t>J Jenkins</t>
        </is>
      </c>
      <c r="C315" s="8" t="inlineStr">
        <is>
          <t>2026-03-10_RVRH_at_WSTF</t>
        </is>
      </c>
      <c r="D315" s="8" t="inlineStr">
        <is>
          <t>Pitcher only (no batting rows in log)</t>
        </is>
      </c>
    </row>
    <row r="316" ht="15.75" customHeight="1" s="35">
      <c r="A316" s="8" t="inlineStr">
        <is>
          <t>RVRH</t>
        </is>
      </c>
      <c r="B316" s="8" t="inlineStr">
        <is>
          <t>J Norwood</t>
        </is>
      </c>
      <c r="C316" s="8" t="inlineStr">
        <is>
          <t>2026-03-10_RVRH_at_WSTF</t>
        </is>
      </c>
      <c r="D316" s="8" t="inlineStr">
        <is>
          <t>Bats and pitches</t>
        </is>
      </c>
      <c r="E316" s="8" t="n">
        <v>3</v>
      </c>
    </row>
    <row r="317" ht="15.75" customHeight="1" s="35">
      <c r="A317" s="8" t="inlineStr">
        <is>
          <t>RVRH</t>
        </is>
      </c>
      <c r="B317" s="8" t="inlineStr">
        <is>
          <t>L Kreisl</t>
        </is>
      </c>
      <c r="C317" s="8" t="inlineStr">
        <is>
          <t>2026-03-10_RVRH_at_WSTF</t>
        </is>
      </c>
    </row>
    <row r="318" ht="15.75" customHeight="1" s="35">
      <c r="A318" s="8" t="inlineStr">
        <is>
          <t>RVRH</t>
        </is>
      </c>
      <c r="B318" s="8" t="inlineStr">
        <is>
          <t>R Miller</t>
        </is>
      </c>
      <c r="C318" s="8" t="inlineStr">
        <is>
          <t>2026-03-21_RVRH_at_GLFR</t>
        </is>
      </c>
    </row>
    <row r="319" ht="15.75" customHeight="1" s="35">
      <c r="A319" s="8" t="inlineStr">
        <is>
          <t>RVRH</t>
        </is>
      </c>
      <c r="B319" s="8" t="inlineStr">
        <is>
          <t>R Ronayne</t>
        </is>
      </c>
      <c r="C319" s="8" t="inlineStr">
        <is>
          <t>2026-03-10_RVRH_at_WSTF</t>
        </is>
      </c>
      <c r="D319" s="8" t="inlineStr">
        <is>
          <t>Bats and pitches</t>
        </is>
      </c>
    </row>
    <row r="320" ht="15.75" customHeight="1" s="35">
      <c r="A320" s="8" t="inlineStr">
        <is>
          <t>RVRH</t>
        </is>
      </c>
      <c r="B320" s="8" t="inlineStr">
        <is>
          <t>R Walsh</t>
        </is>
      </c>
      <c r="C320" s="8" t="inlineStr">
        <is>
          <t>2026-03-10_RVRH_at_WSTF</t>
        </is>
      </c>
      <c r="D320" s="8" t="inlineStr">
        <is>
          <t>Bats and pitches</t>
        </is>
      </c>
      <c r="E320" s="8" t="n">
        <v>1</v>
      </c>
    </row>
    <row r="321" ht="15.75" customHeight="1" s="35">
      <c r="A321" s="8" t="inlineStr">
        <is>
          <t>SHRW</t>
        </is>
      </c>
      <c r="B321" s="8" t="inlineStr">
        <is>
          <t>A Jenkins</t>
        </is>
      </c>
      <c r="C321" s="8" t="inlineStr">
        <is>
          <t>2026-03-30_SHRW_at_GLNL</t>
        </is>
      </c>
    </row>
    <row r="322" ht="15.75" customHeight="1" s="35">
      <c r="A322" s="8" t="inlineStr">
        <is>
          <t>SHRW</t>
        </is>
      </c>
      <c r="B322" s="8" t="inlineStr">
        <is>
          <t>C Calandro</t>
        </is>
      </c>
      <c r="C322" s="8" t="inlineStr">
        <is>
          <t>2026-03-30_SHRW_at_GLNL</t>
        </is>
      </c>
    </row>
    <row r="323" ht="15.75" customHeight="1" s="35">
      <c r="A323" s="8" t="inlineStr">
        <is>
          <t>SHRW</t>
        </is>
      </c>
      <c r="B323" s="8" t="inlineStr">
        <is>
          <t>C Crismond</t>
        </is>
      </c>
      <c r="C323" s="8" t="inlineStr">
        <is>
          <t>2026-03-30_SHRW_at_GLNL</t>
        </is>
      </c>
      <c r="D323" s="8" t="inlineStr">
        <is>
          <t>Pitcher only (no batting rows in log)</t>
        </is>
      </c>
    </row>
    <row r="324" ht="15.75" customHeight="1" s="35">
      <c r="A324" s="8" t="inlineStr">
        <is>
          <t>SHRW</t>
        </is>
      </c>
      <c r="B324" s="8" t="inlineStr">
        <is>
          <t>C Flickinger</t>
        </is>
      </c>
      <c r="C324" s="8" t="inlineStr">
        <is>
          <t>2026-03-30_SHRW_at_GLNL</t>
        </is>
      </c>
    </row>
    <row r="325" ht="15.75" customHeight="1" s="35">
      <c r="A325" s="8" t="inlineStr">
        <is>
          <t>SHRW</t>
        </is>
      </c>
      <c r="B325" s="8" t="inlineStr">
        <is>
          <t>C Jagannathan</t>
        </is>
      </c>
      <c r="C325" s="8" t="inlineStr">
        <is>
          <t>2026-03-30_SHRW_at_GLNL</t>
        </is>
      </c>
    </row>
    <row r="326" ht="15.75" customHeight="1" s="35">
      <c r="A326" s="8" t="inlineStr">
        <is>
          <t>SHRW</t>
        </is>
      </c>
      <c r="B326" s="8" t="inlineStr">
        <is>
          <t>C Sweeney-Strawberry</t>
        </is>
      </c>
      <c r="C326" s="8" t="inlineStr">
        <is>
          <t>2026-03-30_SHRW_at_GLNL</t>
        </is>
      </c>
    </row>
    <row r="327" ht="15.75" customHeight="1" s="35">
      <c r="A327" s="8" t="inlineStr">
        <is>
          <t>SHRW</t>
        </is>
      </c>
      <c r="B327" s="8" t="inlineStr">
        <is>
          <t>J Bender</t>
        </is>
      </c>
      <c r="C327" s="8" t="inlineStr">
        <is>
          <t>2026-03-30_SHRW_at_GLNL</t>
        </is>
      </c>
    </row>
    <row r="328" ht="15.75" customHeight="1" s="35">
      <c r="A328" s="8" t="inlineStr">
        <is>
          <t>SHRW</t>
        </is>
      </c>
      <c r="B328" s="8" t="inlineStr">
        <is>
          <t>J Berger</t>
        </is>
      </c>
      <c r="C328" s="8" t="inlineStr">
        <is>
          <t>2026-03-30_SHRW_at_GLNL</t>
        </is>
      </c>
    </row>
    <row r="329" ht="15.75" customHeight="1" s="35">
      <c r="A329" s="8" t="inlineStr">
        <is>
          <t>SHRW</t>
        </is>
      </c>
      <c r="B329" s="8" t="inlineStr">
        <is>
          <t>J Sarita</t>
        </is>
      </c>
      <c r="C329" s="8" t="inlineStr">
        <is>
          <t>2026-03-30_SHRW_at_GLNL</t>
        </is>
      </c>
    </row>
    <row r="330" ht="15.75" customHeight="1" s="35">
      <c r="A330" s="8" t="inlineStr">
        <is>
          <t>SHRW</t>
        </is>
      </c>
      <c r="B330" s="8" t="inlineStr">
        <is>
          <t>K Blake</t>
        </is>
      </c>
      <c r="C330" s="8" t="inlineStr">
        <is>
          <t>2026-03-30_SHRW_at_GLNL</t>
        </is>
      </c>
    </row>
    <row r="331" ht="15.75" customHeight="1" s="35">
      <c r="A331" s="8" t="inlineStr">
        <is>
          <t>SHRW</t>
        </is>
      </c>
      <c r="B331" s="8" t="inlineStr">
        <is>
          <t>L Gisriel</t>
        </is>
      </c>
      <c r="C331" s="8" t="inlineStr">
        <is>
          <t>2026-03-30_SHRW_at_GLNL</t>
        </is>
      </c>
      <c r="D331" s="8" t="inlineStr">
        <is>
          <t>Pitcher only (no batting rows in log)</t>
        </is>
      </c>
    </row>
    <row r="332" ht="15.75" customHeight="1" s="35">
      <c r="A332" s="8" t="inlineStr">
        <is>
          <t>ST.C</t>
        </is>
      </c>
      <c r="B332" s="8" t="inlineStr">
        <is>
          <t>C Stokes</t>
        </is>
      </c>
      <c r="C332" s="8" t="inlineStr">
        <is>
          <t>2026-03-23_NRTH_at_ST.C</t>
        </is>
      </c>
      <c r="D332" s="8" t="inlineStr">
        <is>
          <t>Pitcher only (no batting rows in log)</t>
        </is>
      </c>
    </row>
    <row r="333" ht="15.75" customHeight="1" s="35">
      <c r="A333" s="8" t="inlineStr">
        <is>
          <t>ST.C</t>
        </is>
      </c>
      <c r="B333" s="8" t="inlineStr">
        <is>
          <t>D Tyler</t>
        </is>
      </c>
      <c r="C333" s="8" t="inlineStr">
        <is>
          <t>2026-03-23_NRTH_at_ST.C</t>
        </is>
      </c>
    </row>
    <row r="334" ht="15.75" customHeight="1" s="35">
      <c r="A334" s="8" t="inlineStr">
        <is>
          <t>ST.C</t>
        </is>
      </c>
      <c r="B334" s="8" t="inlineStr">
        <is>
          <t>D Vauss</t>
        </is>
      </c>
      <c r="C334" s="8" t="inlineStr">
        <is>
          <t>2026-03-23_NRTH_at_ST.C</t>
        </is>
      </c>
    </row>
    <row r="335" ht="15.75" customHeight="1" s="35">
      <c r="A335" s="8" t="inlineStr">
        <is>
          <t>ST.C</t>
        </is>
      </c>
      <c r="B335" s="8" t="inlineStr">
        <is>
          <t>E Paredes</t>
        </is>
      </c>
      <c r="C335" s="8" t="inlineStr">
        <is>
          <t>2026-03-23_NRTH_at_ST.C</t>
        </is>
      </c>
    </row>
    <row r="336" ht="15.75" customHeight="1" s="35">
      <c r="A336" s="8" t="inlineStr">
        <is>
          <t>ST.C</t>
        </is>
      </c>
      <c r="B336" s="8" t="inlineStr">
        <is>
          <t>K Giwa-Agbomeirele</t>
        </is>
      </c>
      <c r="C336" s="8" t="inlineStr">
        <is>
          <t>2026-03-23_NRTH_at_ST.C</t>
        </is>
      </c>
    </row>
    <row r="337" ht="15.75" customHeight="1" s="35">
      <c r="A337" s="8" t="inlineStr">
        <is>
          <t>ST.C</t>
        </is>
      </c>
      <c r="B337" s="8" t="inlineStr">
        <is>
          <t>K Queen</t>
        </is>
      </c>
      <c r="C337" s="8" t="inlineStr">
        <is>
          <t>2026-03-23_NRTH_at_ST.C</t>
        </is>
      </c>
    </row>
    <row r="338" ht="15.75" customHeight="1" s="35">
      <c r="A338" s="8" t="inlineStr">
        <is>
          <t>ST.C</t>
        </is>
      </c>
      <c r="B338" s="8" t="inlineStr">
        <is>
          <t>M Minick</t>
        </is>
      </c>
      <c r="C338" s="8" t="inlineStr">
        <is>
          <t>2026-03-23_NRTH_at_ST.C</t>
        </is>
      </c>
      <c r="D338" s="8" t="inlineStr">
        <is>
          <t>Bats and pitches</t>
        </is>
      </c>
    </row>
    <row r="339" ht="15.75" customHeight="1" s="35">
      <c r="A339" s="8" t="inlineStr">
        <is>
          <t>ST.C</t>
        </is>
      </c>
      <c r="B339" s="8" t="inlineStr">
        <is>
          <t>Parker</t>
        </is>
      </c>
      <c r="C339" s="8" t="inlineStr">
        <is>
          <t>2026-03-23_NRTH_at_ST.C</t>
        </is>
      </c>
    </row>
    <row r="340" ht="15.75" customHeight="1" s="35">
      <c r="A340" s="8" t="inlineStr">
        <is>
          <t>ST.C</t>
        </is>
      </c>
      <c r="B340" s="8" t="inlineStr">
        <is>
          <t>R Generette</t>
        </is>
      </c>
      <c r="C340" s="8" t="inlineStr">
        <is>
          <t>2026-03-23_NRTH_at_ST.C</t>
        </is>
      </c>
    </row>
    <row r="341" ht="15.75" customHeight="1" s="35">
      <c r="A341" s="8" t="inlineStr">
        <is>
          <t>ST.C</t>
        </is>
      </c>
      <c r="B341" s="8" t="inlineStr">
        <is>
          <t>T Hyde</t>
        </is>
      </c>
      <c r="C341" s="8" t="inlineStr">
        <is>
          <t>2026-03-23_NRTH_at_ST.C</t>
        </is>
      </c>
      <c r="D341" s="8" t="inlineStr">
        <is>
          <t>Bats and pitches</t>
        </is>
      </c>
    </row>
    <row r="342" ht="15.75" customHeight="1" s="35">
      <c r="A342" s="8" t="inlineStr">
        <is>
          <t>SRVR</t>
        </is>
      </c>
      <c r="B342" s="8" t="inlineStr">
        <is>
          <t>SRVR_#1</t>
        </is>
      </c>
      <c r="C342" s="8" t="inlineStr">
        <is>
          <t>2026-03-14_HNTN_at_SRVR</t>
        </is>
      </c>
    </row>
    <row r="343" ht="15.75" customHeight="1" s="35">
      <c r="A343" s="8" t="inlineStr">
        <is>
          <t>SRVR</t>
        </is>
      </c>
      <c r="B343" s="8" t="inlineStr">
        <is>
          <t>SRVR_#2</t>
        </is>
      </c>
      <c r="C343" s="8" t="inlineStr">
        <is>
          <t>2026-03-14_HNTN_at_SRVR</t>
        </is>
      </c>
    </row>
    <row r="344" ht="15.75" customHeight="1" s="35">
      <c r="A344" s="8" t="inlineStr">
        <is>
          <t>SRVR</t>
        </is>
      </c>
      <c r="B344" s="8" t="inlineStr">
        <is>
          <t>SRVR_#3</t>
        </is>
      </c>
      <c r="C344" s="8" t="inlineStr">
        <is>
          <t>2026-03-14_HNTN_at_SRVR</t>
        </is>
      </c>
    </row>
    <row r="345" ht="15.75" customHeight="1" s="35">
      <c r="A345" s="8" t="inlineStr">
        <is>
          <t>SRVR</t>
        </is>
      </c>
      <c r="B345" s="8" t="inlineStr">
        <is>
          <t>SRVR_#4</t>
        </is>
      </c>
      <c r="C345" s="8" t="inlineStr">
        <is>
          <t>2026-03-14_HNTN_at_SRVR</t>
        </is>
      </c>
    </row>
    <row r="346" ht="15.75" customHeight="1" s="35">
      <c r="A346" s="8" t="inlineStr">
        <is>
          <t>SRVR</t>
        </is>
      </c>
      <c r="B346" s="8" t="inlineStr">
        <is>
          <t>SRVR_#5</t>
        </is>
      </c>
      <c r="C346" s="8" t="inlineStr">
        <is>
          <t>2026-03-14_HNTN_at_SRVR</t>
        </is>
      </c>
    </row>
    <row r="347" ht="15.75" customHeight="1" s="35">
      <c r="A347" s="8" t="inlineStr">
        <is>
          <t>SRVR</t>
        </is>
      </c>
      <c r="B347" s="8" t="inlineStr">
        <is>
          <t>SRVR_#6</t>
        </is>
      </c>
      <c r="C347" s="8" t="inlineStr">
        <is>
          <t>2026-03-14_HNTN_at_SRVR</t>
        </is>
      </c>
    </row>
    <row r="348" ht="15.75" customHeight="1" s="35">
      <c r="A348" s="8" t="inlineStr">
        <is>
          <t>SRVR</t>
        </is>
      </c>
      <c r="B348" s="8" t="inlineStr">
        <is>
          <t>SRVR_#7</t>
        </is>
      </c>
      <c r="C348" s="8" t="inlineStr">
        <is>
          <t>2026-03-14_HNTN_at_SRVR</t>
        </is>
      </c>
    </row>
    <row r="349" ht="15.75" customHeight="1" s="35">
      <c r="A349" s="8" t="inlineStr">
        <is>
          <t>SRVR</t>
        </is>
      </c>
      <c r="B349" s="8" t="inlineStr">
        <is>
          <t>SRVR_#8</t>
        </is>
      </c>
      <c r="C349" s="8" t="inlineStr">
        <is>
          <t>2026-03-14_HNTN_at_SRVR</t>
        </is>
      </c>
    </row>
    <row r="350" ht="15.75" customHeight="1" s="35">
      <c r="A350" s="8" t="inlineStr">
        <is>
          <t>SRVR</t>
        </is>
      </c>
      <c r="B350" s="8" t="inlineStr">
        <is>
          <t>SRVR_#9</t>
        </is>
      </c>
      <c r="C350" s="8" t="inlineStr">
        <is>
          <t>2026-03-14_HNTN_at_SRVR</t>
        </is>
      </c>
    </row>
    <row r="351" ht="15.75" customHeight="1" s="35">
      <c r="A351" s="8" t="inlineStr">
        <is>
          <t>SRVR</t>
        </is>
      </c>
      <c r="B351" s="8" t="inlineStr">
        <is>
          <t>SRVR_3B_Unknown</t>
        </is>
      </c>
      <c r="C351" s="8" t="inlineStr">
        <is>
          <t>2026-03-14_HNTN_at_SRVR</t>
        </is>
      </c>
    </row>
    <row r="352" ht="15.75" customHeight="1" s="35">
      <c r="A352" s="8" t="inlineStr">
        <is>
          <t>SRVR</t>
        </is>
      </c>
      <c r="B352" s="8" t="inlineStr">
        <is>
          <t>SRVR_C_Unknown</t>
        </is>
      </c>
      <c r="C352" s="8" t="inlineStr">
        <is>
          <t>2026-03-14_HNTN_at_SRVR</t>
        </is>
      </c>
    </row>
    <row r="353" ht="15.75" customHeight="1" s="35">
      <c r="A353" s="8" t="inlineStr">
        <is>
          <t>SRVR</t>
        </is>
      </c>
      <c r="B353" s="8" t="inlineStr">
        <is>
          <t>SRVR_SP_Unknown</t>
        </is>
      </c>
      <c r="C353" s="8" t="inlineStr">
        <is>
          <t>2026-03-14_HNTN_at_SRVR</t>
        </is>
      </c>
      <c r="D353" s="8" t="inlineStr">
        <is>
          <t>Pitcher only (no batting rows in log)</t>
        </is>
      </c>
    </row>
    <row r="354" ht="15.75" customHeight="1" s="35">
      <c r="A354" s="8" t="inlineStr">
        <is>
          <t>SRVR</t>
        </is>
      </c>
      <c r="B354" s="8" t="inlineStr">
        <is>
          <t>SRVR_SS_Unknown</t>
        </is>
      </c>
      <c r="C354" s="8" t="inlineStr">
        <is>
          <t>2026-03-14_HNTN_at_SRVR</t>
        </is>
      </c>
    </row>
    <row r="355" ht="15.75" customHeight="1" s="35">
      <c r="A355" s="8" t="inlineStr">
        <is>
          <t>THMS</t>
        </is>
      </c>
      <c r="B355" s="8" t="inlineStr">
        <is>
          <t>#1</t>
        </is>
      </c>
      <c r="C355" s="8" t="inlineStr">
        <is>
          <t>2026-03-26_THMS_at_NRTH</t>
        </is>
      </c>
      <c r="D355" s="8" t="inlineStr">
        <is>
          <t>Bats and pitches</t>
        </is>
      </c>
    </row>
    <row r="356" ht="15.75" customHeight="1" s="35">
      <c r="A356" s="8" t="inlineStr">
        <is>
          <t>THMS</t>
        </is>
      </c>
      <c r="B356" s="8" t="inlineStr">
        <is>
          <t>#10</t>
        </is>
      </c>
      <c r="C356" s="8" t="inlineStr">
        <is>
          <t>2026-03-26_THMS_at_NRTH</t>
        </is>
      </c>
    </row>
    <row r="357" ht="15.75" customHeight="1" s="35">
      <c r="A357" s="8" t="inlineStr">
        <is>
          <t>THMS</t>
        </is>
      </c>
      <c r="B357" s="8" t="inlineStr">
        <is>
          <t>#11</t>
        </is>
      </c>
      <c r="C357" s="8" t="inlineStr">
        <is>
          <t>2026-03-26_THMS_at_NRTH</t>
        </is>
      </c>
    </row>
    <row r="358" ht="15.75" customHeight="1" s="35">
      <c r="A358" s="8" t="inlineStr">
        <is>
          <t>THMS</t>
        </is>
      </c>
      <c r="B358" s="8" t="inlineStr">
        <is>
          <t>#16</t>
        </is>
      </c>
      <c r="C358" s="8" t="inlineStr">
        <is>
          <t>2026-03-26_THMS_at_NRTH</t>
        </is>
      </c>
    </row>
    <row r="359" ht="15.75" customHeight="1" s="35">
      <c r="A359" s="8" t="inlineStr">
        <is>
          <t>THMS</t>
        </is>
      </c>
      <c r="B359" s="8" t="inlineStr">
        <is>
          <t>#17</t>
        </is>
      </c>
      <c r="C359" s="8" t="inlineStr">
        <is>
          <t>2026-03-26_THMS_at_NRTH</t>
        </is>
      </c>
      <c r="D359" s="8" t="inlineStr">
        <is>
          <t>Bats and pitches</t>
        </is>
      </c>
    </row>
    <row r="360" ht="15.75" customHeight="1" s="35">
      <c r="A360" s="8" t="inlineStr">
        <is>
          <t>THMS</t>
        </is>
      </c>
      <c r="B360" s="8" t="inlineStr">
        <is>
          <t>#2</t>
        </is>
      </c>
      <c r="C360" s="8" t="inlineStr">
        <is>
          <t>2026-03-26_THMS_at_NRTH</t>
        </is>
      </c>
    </row>
    <row r="361" ht="15.75" customHeight="1" s="35">
      <c r="A361" s="8" t="inlineStr">
        <is>
          <t>THMS</t>
        </is>
      </c>
      <c r="B361" s="8" t="inlineStr">
        <is>
          <t>#21</t>
        </is>
      </c>
      <c r="C361" s="8" t="inlineStr">
        <is>
          <t>2026-03-26_THMS_at_NRTH</t>
        </is>
      </c>
    </row>
    <row r="362" ht="15.75" customHeight="1" s="35">
      <c r="A362" s="8" t="inlineStr">
        <is>
          <t>THMS</t>
        </is>
      </c>
      <c r="B362" s="8" t="inlineStr">
        <is>
          <t>#22</t>
        </is>
      </c>
      <c r="C362" s="8" t="inlineStr">
        <is>
          <t>2026-03-26_THMS_at_NRTH</t>
        </is>
      </c>
    </row>
    <row r="363" ht="15.75" customHeight="1" s="35">
      <c r="A363" s="8" t="inlineStr">
        <is>
          <t>THMS</t>
        </is>
      </c>
      <c r="B363" s="8" t="inlineStr">
        <is>
          <t>#4</t>
        </is>
      </c>
      <c r="C363" s="8" t="inlineStr">
        <is>
          <t>2026-03-26_THMS_at_NRTH</t>
        </is>
      </c>
    </row>
    <row r="364" ht="15.75" customHeight="1" s="35">
      <c r="A364" s="8" t="inlineStr">
        <is>
          <t>THMS</t>
        </is>
      </c>
      <c r="B364" s="8" t="inlineStr">
        <is>
          <t>#8</t>
        </is>
      </c>
      <c r="C364" s="8" t="inlineStr">
        <is>
          <t>2026-03-26_THMS_at_NRTH</t>
        </is>
      </c>
    </row>
    <row r="365" ht="15.75" customHeight="1" s="35">
      <c r="A365" s="8" t="inlineStr">
        <is>
          <t>WLDL</t>
        </is>
      </c>
      <c r="B365" s="8" t="inlineStr">
        <is>
          <t>A Lindsay</t>
        </is>
      </c>
      <c r="C365" s="8" t="inlineStr">
        <is>
          <t>2026-03-23_WLDL_at_RVRH</t>
        </is>
      </c>
    </row>
    <row r="366" ht="15.75" customHeight="1" s="35">
      <c r="A366" s="8" t="inlineStr">
        <is>
          <t>WLDL</t>
        </is>
      </c>
      <c r="B366" s="8" t="inlineStr">
        <is>
          <t>B Habershon</t>
        </is>
      </c>
      <c r="C366" s="8" t="inlineStr">
        <is>
          <t>2026-03-23_WLDL_at_RVRH</t>
        </is>
      </c>
      <c r="D366" s="8" t="inlineStr">
        <is>
          <t>Bats and pitches</t>
        </is>
      </c>
    </row>
    <row r="367" ht="15.75" customHeight="1" s="35">
      <c r="A367" s="8" t="inlineStr">
        <is>
          <t>WLDL</t>
        </is>
      </c>
      <c r="B367" s="8" t="inlineStr">
        <is>
          <t>D Bouadi</t>
        </is>
      </c>
      <c r="C367" s="8" t="inlineStr">
        <is>
          <t>2026-03-23_WLDL_at_RVRH</t>
        </is>
      </c>
    </row>
    <row r="368" ht="15.75" customHeight="1" s="35">
      <c r="A368" s="8" t="inlineStr">
        <is>
          <t>WLDL</t>
        </is>
      </c>
      <c r="B368" s="8" t="inlineStr">
        <is>
          <t>D Coleman</t>
        </is>
      </c>
      <c r="C368" s="8" t="inlineStr">
        <is>
          <t>2026-03-23_WLDL_at_RVRH</t>
        </is>
      </c>
    </row>
    <row r="369" ht="15.75" customHeight="1" s="35">
      <c r="A369" s="8" t="inlineStr">
        <is>
          <t>WLDL</t>
        </is>
      </c>
      <c r="B369" s="8" t="inlineStr">
        <is>
          <t>D Linares</t>
        </is>
      </c>
      <c r="C369" s="8" t="inlineStr">
        <is>
          <t>2026-03-23_WLDL_at_RVRH</t>
        </is>
      </c>
    </row>
    <row r="370" ht="15.75" customHeight="1" s="35">
      <c r="A370" s="8" t="inlineStr">
        <is>
          <t>WLDL</t>
        </is>
      </c>
      <c r="B370" s="8" t="inlineStr">
        <is>
          <t>D Tang</t>
        </is>
      </c>
      <c r="C370" s="8" t="inlineStr">
        <is>
          <t>2026-03-23_WLDL_at_RVRH</t>
        </is>
      </c>
    </row>
    <row r="371" ht="15.75" customHeight="1" s="35">
      <c r="A371" s="8" t="inlineStr">
        <is>
          <t>WLDL</t>
        </is>
      </c>
      <c r="B371" s="8" t="inlineStr">
        <is>
          <t>E Griffiths</t>
        </is>
      </c>
      <c r="C371" s="8" t="inlineStr">
        <is>
          <t>2026-03-23_WLDL_at_RVRH</t>
        </is>
      </c>
    </row>
    <row r="372" ht="15.75" customHeight="1" s="35">
      <c r="A372" s="8" t="inlineStr">
        <is>
          <t>WLDL</t>
        </is>
      </c>
      <c r="B372" s="8" t="inlineStr">
        <is>
          <t>J Bunnell</t>
        </is>
      </c>
      <c r="C372" s="8" t="inlineStr">
        <is>
          <t>2026-03-23_WLDL_at_RVRH</t>
        </is>
      </c>
    </row>
    <row r="373" ht="15.75" customHeight="1" s="35">
      <c r="A373" s="8" t="inlineStr">
        <is>
          <t>WLDL</t>
        </is>
      </c>
      <c r="B373" s="8" t="inlineStr">
        <is>
          <t>J Nguyen</t>
        </is>
      </c>
      <c r="C373" s="8" t="inlineStr">
        <is>
          <t>2026-03-23_WLDL_at_RVRH</t>
        </is>
      </c>
    </row>
    <row r="374" ht="15.75" customHeight="1" s="35">
      <c r="A374" s="8" t="inlineStr">
        <is>
          <t>WLDL</t>
        </is>
      </c>
      <c r="B374" s="8" t="inlineStr">
        <is>
          <t>N Dalesio</t>
        </is>
      </c>
      <c r="C374" s="8" t="inlineStr">
        <is>
          <t>2026-03-23_WLDL_at_RVRH</t>
        </is>
      </c>
    </row>
    <row r="375" ht="15.75" customHeight="1" s="35">
      <c r="A375" s="8" t="inlineStr">
        <is>
          <t>WLDL</t>
        </is>
      </c>
      <c r="B375" s="8" t="inlineStr">
        <is>
          <t>N Gilchrist</t>
        </is>
      </c>
      <c r="C375" s="8" t="inlineStr">
        <is>
          <t>2026-03-23_WLDL_at_RVRH</t>
        </is>
      </c>
    </row>
    <row r="376" ht="15.75" customHeight="1" s="35">
      <c r="A376" s="8" t="inlineStr">
        <is>
          <t>WLDL</t>
        </is>
      </c>
      <c r="B376" s="8" t="inlineStr">
        <is>
          <t>R Schmidt</t>
        </is>
      </c>
      <c r="C376" s="8" t="inlineStr">
        <is>
          <t>2026-03-23_WLDL_at_RVRH</t>
        </is>
      </c>
      <c r="D376" s="8" t="inlineStr">
        <is>
          <t>Bats and pitches</t>
        </is>
      </c>
    </row>
    <row r="377" ht="15.75" customHeight="1" s="35">
      <c r="A377" s="8" t="inlineStr">
        <is>
          <t>WLDL</t>
        </is>
      </c>
      <c r="B377" s="8" t="inlineStr">
        <is>
          <t>T Sommer</t>
        </is>
      </c>
      <c r="C377" s="8" t="inlineStr">
        <is>
          <t>2026-03-23_WLDL_at_RVRH</t>
        </is>
      </c>
      <c r="D377" s="8" t="inlineStr">
        <is>
          <t>Bats and pitches</t>
        </is>
      </c>
    </row>
    <row r="378" ht="15.75" customHeight="1" s="35">
      <c r="A378" s="8" t="inlineStr">
        <is>
          <t>WLDL</t>
        </is>
      </c>
      <c r="B378" s="8" t="inlineStr">
        <is>
          <t>W Switzer</t>
        </is>
      </c>
      <c r="C378" s="8" t="inlineStr">
        <is>
          <t>2026-03-23_WLDL_at_RVRH</t>
        </is>
      </c>
    </row>
    <row r="379" ht="15.75" customHeight="1" s="35">
      <c r="A379" s="8" t="inlineStr">
        <is>
          <t>WSTF</t>
        </is>
      </c>
      <c r="B379" s="8" t="inlineStr">
        <is>
          <t>WSTF_#1</t>
        </is>
      </c>
      <c r="C379" s="8" t="inlineStr">
        <is>
          <t>2026-03-10_RVRH_at_WSTF</t>
        </is>
      </c>
      <c r="D379" s="8" t="inlineStr">
        <is>
          <t>Bats and pitches</t>
        </is>
      </c>
    </row>
    <row r="380" ht="15.75" customHeight="1" s="35">
      <c r="A380" s="8" t="inlineStr">
        <is>
          <t>WSTF</t>
        </is>
      </c>
      <c r="B380" s="8" t="inlineStr">
        <is>
          <t>WSTF_#2</t>
        </is>
      </c>
      <c r="C380" s="8" t="inlineStr">
        <is>
          <t>2026-03-10_RVRH_at_WSTF</t>
        </is>
      </c>
      <c r="D380" s="8" t="inlineStr">
        <is>
          <t>Bats and pitches</t>
        </is>
      </c>
    </row>
    <row r="381" ht="15.75" customHeight="1" s="35">
      <c r="A381" s="8" t="inlineStr">
        <is>
          <t>WSTF</t>
        </is>
      </c>
      <c r="B381" s="8" t="inlineStr">
        <is>
          <t>WSTF_#3</t>
        </is>
      </c>
      <c r="C381" s="8" t="inlineStr">
        <is>
          <t>2026-03-10_RVRH_at_WSTF</t>
        </is>
      </c>
      <c r="D381" s="8" t="inlineStr">
        <is>
          <t>Bats and pitches</t>
        </is>
      </c>
    </row>
    <row r="382" ht="15.75" customHeight="1" s="35">
      <c r="A382" s="8" t="inlineStr">
        <is>
          <t>WSTF</t>
        </is>
      </c>
      <c r="B382" s="8" t="inlineStr">
        <is>
          <t>WSTF_#4</t>
        </is>
      </c>
      <c r="C382" s="8" t="inlineStr">
        <is>
          <t>2026-03-10_RVRH_at_WSTF</t>
        </is>
      </c>
    </row>
    <row r="383" ht="15.75" customHeight="1" s="35">
      <c r="A383" s="8" t="inlineStr">
        <is>
          <t>WSTF</t>
        </is>
      </c>
      <c r="B383" s="8" t="inlineStr">
        <is>
          <t>WSTF_#5</t>
        </is>
      </c>
      <c r="C383" s="8" t="inlineStr">
        <is>
          <t>2026-03-10_RVRH_at_WSTF</t>
        </is>
      </c>
    </row>
    <row r="384" ht="15.75" customHeight="1" s="35">
      <c r="A384" s="8" t="inlineStr">
        <is>
          <t>WSTF</t>
        </is>
      </c>
      <c r="B384" s="8" t="inlineStr">
        <is>
          <t>WSTF_#6</t>
        </is>
      </c>
      <c r="C384" s="8" t="inlineStr">
        <is>
          <t>2026-03-10_RVRH_at_WSTF</t>
        </is>
      </c>
    </row>
    <row r="385" ht="15.75" customHeight="1" s="35">
      <c r="A385" s="8" t="inlineStr">
        <is>
          <t>WSTF</t>
        </is>
      </c>
      <c r="B385" s="8" t="inlineStr">
        <is>
          <t>WSTF_#7</t>
        </is>
      </c>
      <c r="C385" s="8" t="inlineStr">
        <is>
          <t>2026-03-10_RVRH_at_WSTF</t>
        </is>
      </c>
    </row>
    <row r="386" ht="15.75" customHeight="1" s="35">
      <c r="A386" s="8" t="inlineStr">
        <is>
          <t>WSTF</t>
        </is>
      </c>
      <c r="B386" s="8" t="inlineStr">
        <is>
          <t>WSTF_#8</t>
        </is>
      </c>
      <c r="C386" s="8" t="inlineStr">
        <is>
          <t>2026-03-10_RVRH_at_WSTF</t>
        </is>
      </c>
      <c r="D386" s="8" t="inlineStr">
        <is>
          <t>Bats and pitches</t>
        </is>
      </c>
    </row>
    <row r="387" ht="15.75" customHeight="1" s="35">
      <c r="A387" s="8" t="inlineStr">
        <is>
          <t>WSTF</t>
        </is>
      </c>
      <c r="B387" s="8" t="inlineStr">
        <is>
          <t>WSTF_#9</t>
        </is>
      </c>
      <c r="C387" s="8" t="inlineStr">
        <is>
          <t>2026-03-10_RVRH_at_WSTF</t>
        </is>
      </c>
      <c r="D387" s="8" t="inlineStr">
        <is>
          <t>Bats and pitches</t>
        </is>
      </c>
    </row>
    <row r="388" ht="15.75" customHeight="1" s="35">
      <c r="A388" s="8" t="inlineStr">
        <is>
          <t>WTTN</t>
        </is>
      </c>
      <c r="B388" s="8" t="inlineStr">
        <is>
          <t>A Grainger</t>
        </is>
      </c>
      <c r="C388" s="8" t="inlineStr">
        <is>
          <t>2026-03-14_WTTN_at_RVRH</t>
        </is>
      </c>
    </row>
    <row r="389" ht="15.75" customHeight="1" s="35">
      <c r="A389" s="8" t="inlineStr">
        <is>
          <t>WTTN</t>
        </is>
      </c>
      <c r="B389" s="8" t="inlineStr">
        <is>
          <t>A Yang</t>
        </is>
      </c>
      <c r="C389" s="8" t="inlineStr">
        <is>
          <t>2026-03-14_WTTN_at_RVRH</t>
        </is>
      </c>
    </row>
    <row r="390" ht="15.75" customHeight="1" s="35">
      <c r="A390" s="8" t="inlineStr">
        <is>
          <t>WTTN</t>
        </is>
      </c>
      <c r="B390" s="8" t="inlineStr">
        <is>
          <t>B Graham</t>
        </is>
      </c>
      <c r="C390" s="8" t="inlineStr">
        <is>
          <t>2026-03-14_WTTN_at_RVRH</t>
        </is>
      </c>
      <c r="D390" s="8" t="inlineStr">
        <is>
          <t>Pitcher only (no batting rows in log)</t>
        </is>
      </c>
    </row>
    <row r="391" ht="15.75" customHeight="1" s="35">
      <c r="A391" s="8" t="inlineStr">
        <is>
          <t>WTTN</t>
        </is>
      </c>
      <c r="B391" s="8" t="inlineStr">
        <is>
          <t>J Allen</t>
        </is>
      </c>
      <c r="C391" s="8" t="inlineStr">
        <is>
          <t>2026-03-14_WTTN_at_RVRH</t>
        </is>
      </c>
      <c r="D391" s="8" t="inlineStr">
        <is>
          <t>Bats and pitches</t>
        </is>
      </c>
    </row>
    <row r="392" ht="15.75" customHeight="1" s="35">
      <c r="A392" s="8" t="inlineStr">
        <is>
          <t>WTTN</t>
        </is>
      </c>
      <c r="B392" s="8" t="inlineStr">
        <is>
          <t>J Arnold</t>
        </is>
      </c>
      <c r="C392" s="8" t="inlineStr">
        <is>
          <t>2026-03-14_WTTN_at_RVRH</t>
        </is>
      </c>
    </row>
    <row r="393" ht="15.75" customHeight="1" s="35">
      <c r="A393" s="8" t="inlineStr">
        <is>
          <t>WTTN</t>
        </is>
      </c>
      <c r="B393" s="8" t="inlineStr">
        <is>
          <t>J Reid</t>
        </is>
      </c>
      <c r="C393" s="8" t="inlineStr">
        <is>
          <t>2026-03-14_WTTN_at_RVRH</t>
        </is>
      </c>
    </row>
    <row r="394" ht="15.75" customHeight="1" s="35">
      <c r="A394" s="8" t="inlineStr">
        <is>
          <t>WTTN</t>
        </is>
      </c>
      <c r="B394" s="8" t="inlineStr">
        <is>
          <t>K Schmelzer</t>
        </is>
      </c>
      <c r="C394" s="8" t="inlineStr">
        <is>
          <t>2026-03-14_WTTN_at_RVRH</t>
        </is>
      </c>
    </row>
    <row r="395" ht="15.75" customHeight="1" s="35">
      <c r="A395" s="8" t="inlineStr">
        <is>
          <t>WTTN</t>
        </is>
      </c>
      <c r="B395" s="8" t="inlineStr">
        <is>
          <t>L Avila</t>
        </is>
      </c>
      <c r="C395" s="8" t="inlineStr">
        <is>
          <t>2026-03-14_WTTN_at_RVRH</t>
        </is>
      </c>
      <c r="D395" s="8" t="inlineStr">
        <is>
          <t>Bats and pitches</t>
        </is>
      </c>
    </row>
    <row r="396" ht="15.75" customHeight="1" s="35">
      <c r="A396" s="8" t="inlineStr">
        <is>
          <t>WTTN</t>
        </is>
      </c>
      <c r="B396" s="8" t="inlineStr">
        <is>
          <t>L Phillips</t>
        </is>
      </c>
      <c r="C396" s="8" t="inlineStr">
        <is>
          <t>2026-03-14_WTTN_at_RVRH</t>
        </is>
      </c>
      <c r="D396" s="8" t="inlineStr">
        <is>
          <t>Pitcher only (no batting rows in log)</t>
        </is>
      </c>
    </row>
    <row r="397" ht="15.75" customHeight="1" s="35">
      <c r="A397" s="8" t="inlineStr">
        <is>
          <t>WTTN</t>
        </is>
      </c>
      <c r="B397" s="8" t="inlineStr">
        <is>
          <t>N Zweig</t>
        </is>
      </c>
      <c r="C397" s="8" t="inlineStr">
        <is>
          <t>2026-03-14_WTTN_at_RVRH</t>
        </is>
      </c>
    </row>
    <row r="398" ht="15.75" customHeight="1" s="35">
      <c r="A398" s="8" t="inlineStr">
        <is>
          <t>WTTN</t>
        </is>
      </c>
      <c r="B398" s="8" t="inlineStr">
        <is>
          <t>T Cornet</t>
        </is>
      </c>
      <c r="C398" s="8" t="inlineStr">
        <is>
          <t>2026-03-14_WTTN_at_RVRH</t>
        </is>
      </c>
      <c r="D398" s="8" t="inlineStr">
        <is>
          <t>Bats and pitches</t>
        </is>
      </c>
    </row>
    <row r="399" ht="15.75" customHeight="1" s="35">
      <c r="A399" s="8" t="inlineStr">
        <is>
          <t>WTTN</t>
        </is>
      </c>
      <c r="B399" s="8" t="inlineStr">
        <is>
          <t>WTTN_1B</t>
        </is>
      </c>
      <c r="C399" s="8" t="inlineStr">
        <is>
          <t>2026-03-14_WTTN_at_RVRH</t>
        </is>
      </c>
    </row>
    <row r="400" ht="15.75" customHeight="1" s="35">
      <c r="A400" s="8" t="inlineStr">
        <is>
          <t>WTTN</t>
        </is>
      </c>
      <c r="B400" s="8" t="inlineStr">
        <is>
          <t>WTTN_SS</t>
        </is>
      </c>
      <c r="C400" s="8" t="inlineStr">
        <is>
          <t>2026-03-14_WTTN_at_RVRH</t>
        </is>
      </c>
    </row>
    <row r="401" ht="15.75" customHeight="1" s="35">
      <c r="A401" s="8" t="inlineStr">
        <is>
          <t>DMSC</t>
        </is>
      </c>
      <c r="B401" s="8" t="inlineStr">
        <is>
          <t>Holden</t>
        </is>
      </c>
      <c r="C401" s="8" t="inlineStr">
        <is>
          <t>2026-03-31_DMSC_at_HWRD</t>
        </is>
      </c>
      <c r="D401" s="8" t="inlineStr">
        <is>
          <t>Single name only visible in box score; last name not captured. Flagged for review.</t>
        </is>
      </c>
    </row>
    <row r="402" ht="15.75" customHeight="1" s="35">
      <c r="A402" s="8" t="inlineStr">
        <is>
          <t>DMSC</t>
        </is>
      </c>
      <c r="B402" s="8" t="inlineStr">
        <is>
          <t>Colton Dewing</t>
        </is>
      </c>
      <c r="C402" s="8" t="inlineStr">
        <is>
          <t>2026-03-31_DMSC_at_HWRD</t>
        </is>
      </c>
    </row>
    <row r="403" ht="15.75" customHeight="1" s="35">
      <c r="A403" s="8" t="inlineStr">
        <is>
          <t>DMSC</t>
        </is>
      </c>
      <c r="B403" s="8" t="inlineStr">
        <is>
          <t>Ethan Nguyen</t>
        </is>
      </c>
      <c r="C403" s="8" t="inlineStr">
        <is>
          <t>2026-03-31_DMSC_at_HWRD</t>
        </is>
      </c>
    </row>
    <row r="404" ht="15.75" customHeight="1" s="35">
      <c r="A404" s="8" t="inlineStr">
        <is>
          <t>DMSC</t>
        </is>
      </c>
      <c r="B404" s="8" t="inlineStr">
        <is>
          <t>Tyler Luskey</t>
        </is>
      </c>
      <c r="C404" s="8" t="inlineStr">
        <is>
          <t>2026-03-31_DMSC_at_HWRD</t>
        </is>
      </c>
    </row>
    <row r="405" ht="15.75" customHeight="1" s="35">
      <c r="A405" s="8" t="inlineStr">
        <is>
          <t>DMSC</t>
        </is>
      </c>
      <c r="B405" s="8" t="inlineStr">
        <is>
          <t>Zach Westbrooks</t>
        </is>
      </c>
      <c r="C405" s="8" t="inlineStr">
        <is>
          <t>2026-03-31_DMSC_at_HWRD</t>
        </is>
      </c>
    </row>
    <row r="406" ht="15.75" customHeight="1" s="35">
      <c r="A406" s="8" t="inlineStr">
        <is>
          <t>DMSC</t>
        </is>
      </c>
      <c r="B406" s="8" t="inlineStr">
        <is>
          <t>Brady Stewart</t>
        </is>
      </c>
      <c r="C406" s="8" t="inlineStr">
        <is>
          <t>2026-03-31_DMSC_at_HWRD</t>
        </is>
      </c>
    </row>
    <row r="407" ht="15.75" customHeight="1" s="35">
      <c r="A407" s="8" t="inlineStr">
        <is>
          <t>DMSC</t>
        </is>
      </c>
      <c r="B407" s="8" t="inlineStr">
        <is>
          <t>Thomas Malouf</t>
        </is>
      </c>
      <c r="C407" s="8" t="inlineStr">
        <is>
          <t>2026-03-31_DMSC_at_HWRD</t>
        </is>
      </c>
      <c r="D407" s="8" t="inlineStr">
        <is>
          <t>Pitcher only (no batting rows in log)</t>
        </is>
      </c>
    </row>
    <row r="408" ht="15.75" customHeight="1" s="35">
      <c r="A408" s="8" t="inlineStr">
        <is>
          <t>HWRD</t>
        </is>
      </c>
      <c r="B408" s="8" t="inlineStr">
        <is>
          <t>Ryan Song</t>
        </is>
      </c>
      <c r="C408" s="8" t="inlineStr">
        <is>
          <t>2026-03-31_DMSC_at_HWRD</t>
        </is>
      </c>
    </row>
    <row r="409" ht="15.75" customHeight="1" s="35">
      <c r="A409" s="8" t="inlineStr">
        <is>
          <t>HWRD</t>
        </is>
      </c>
      <c r="B409" s="8" t="inlineStr">
        <is>
          <t>Nick Davis</t>
        </is>
      </c>
      <c r="C409" s="8" t="inlineStr">
        <is>
          <t>2026-03-31_DMSC_at_HWRD</t>
        </is>
      </c>
    </row>
    <row r="410" ht="15.75" customHeight="1" s="35">
      <c r="A410" s="8" t="inlineStr">
        <is>
          <t>HWRD</t>
        </is>
      </c>
      <c r="B410" s="8" t="inlineStr">
        <is>
          <t>Gibson Martin</t>
        </is>
      </c>
      <c r="C410" s="8" t="inlineStr">
        <is>
          <t>2026-03-31_DMSC_at_HWRD</t>
        </is>
      </c>
      <c r="D410" s="8" t="inlineStr">
        <is>
          <t>Bats and pitches</t>
        </is>
      </c>
    </row>
    <row r="411" ht="15.75" customHeight="1" s="35">
      <c r="A411" s="8" t="inlineStr">
        <is>
          <t>HWRD</t>
        </is>
      </c>
      <c r="B411" s="8" t="inlineStr">
        <is>
          <t>Creighton Lombardi-Gerber</t>
        </is>
      </c>
      <c r="C411" s="8" t="inlineStr">
        <is>
          <t>2026-03-31_DMSC_at_HWRD</t>
        </is>
      </c>
    </row>
    <row r="412" ht="15.75" customHeight="1" s="35">
      <c r="A412" s="8" t="inlineStr">
        <is>
          <t>HWRD</t>
        </is>
      </c>
      <c r="B412" s="8" t="inlineStr">
        <is>
          <t>Ryan Su</t>
        </is>
      </c>
      <c r="C412" s="8" t="inlineStr">
        <is>
          <t>2026-03-31_DMSC_at_HWRD</t>
        </is>
      </c>
    </row>
    <row r="413" ht="15.75" customHeight="1" s="35">
      <c r="A413" s="8" t="inlineStr">
        <is>
          <t>HWRD</t>
        </is>
      </c>
      <c r="B413" s="8" t="inlineStr">
        <is>
          <t>Max Parise</t>
        </is>
      </c>
      <c r="C413" s="8" t="inlineStr">
        <is>
          <t>2026-03-31_DMSC_at_HWRD</t>
        </is>
      </c>
    </row>
    <row r="414" ht="15.75" customHeight="1" s="35">
      <c r="A414" s="8" t="inlineStr">
        <is>
          <t>HWRD</t>
        </is>
      </c>
      <c r="B414" s="8" t="inlineStr">
        <is>
          <t>Thomas Estrada</t>
        </is>
      </c>
      <c r="C414" s="8" t="inlineStr">
        <is>
          <t>2026-03-31_DMSC_at_HWRD</t>
        </is>
      </c>
      <c r="D414" s="8" t="inlineStr">
        <is>
          <t>Pitcher only (no batting rows in log)</t>
        </is>
      </c>
    </row>
    <row r="415" ht="15.75" customHeight="1" s="35">
      <c r="A415" s="8" t="inlineStr">
        <is>
          <t>HWRD</t>
        </is>
      </c>
      <c r="B415" s="8" t="inlineStr">
        <is>
          <t>Jimmy Spitz</t>
        </is>
      </c>
      <c r="C415" s="8" t="inlineStr">
        <is>
          <t>2026-03-21_HWRD_at_HMMN</t>
        </is>
      </c>
    </row>
    <row r="416" ht="15.75" customHeight="1" s="35">
      <c r="A416" s="8" t="inlineStr">
        <is>
          <t>HMMN</t>
        </is>
      </c>
      <c r="B416" s="8" t="inlineStr">
        <is>
          <t>Darsh Bhatt</t>
        </is>
      </c>
      <c r="C416" s="8" t="inlineStr">
        <is>
          <t>2026-03-21_HWRD_at_HMMN</t>
        </is>
      </c>
      <c r="D416" s="8" t="inlineStr">
        <is>
          <t>Bats and pitches</t>
        </is>
      </c>
    </row>
    <row r="417" ht="15.75" customHeight="1" s="35">
      <c r="A417" s="8" t="inlineStr">
        <is>
          <t>CRFT</t>
        </is>
      </c>
      <c r="B417" s="8" t="inlineStr">
        <is>
          <t>Marcell Brown-Mitchell</t>
        </is>
      </c>
      <c r="C417" s="8" t="inlineStr">
        <is>
          <t>2026-03-31_HWRD_at_CRFT</t>
        </is>
      </c>
    </row>
    <row r="418" ht="15.75" customHeight="1" s="35">
      <c r="A418" s="8" t="inlineStr">
        <is>
          <t>CRFT</t>
        </is>
      </c>
      <c r="B418" s="8" t="inlineStr">
        <is>
          <t>Billy White</t>
        </is>
      </c>
      <c r="C418" s="8" t="inlineStr">
        <is>
          <t>2026-03-31_HWRD_at_CRFT</t>
        </is>
      </c>
    </row>
    <row r="419" ht="15.75" customHeight="1" s="35">
      <c r="A419" s="8" t="inlineStr">
        <is>
          <t>CRFT</t>
        </is>
      </c>
      <c r="B419" s="8" t="inlineStr">
        <is>
          <t>Jason Gifford</t>
        </is>
      </c>
      <c r="C419" s="8" t="inlineStr">
        <is>
          <t>2026-03-31_HWRD_at_CRFT</t>
        </is>
      </c>
    </row>
    <row r="420" ht="15.75" customHeight="1" s="35">
      <c r="A420" s="8" t="inlineStr">
        <is>
          <t>CRFT</t>
        </is>
      </c>
      <c r="B420" s="8" t="inlineStr">
        <is>
          <t>Evan Colgan</t>
        </is>
      </c>
      <c r="C420" s="8" t="inlineStr">
        <is>
          <t>2026-03-31_HWRD_at_CRFT</t>
        </is>
      </c>
    </row>
    <row r="421" ht="15.75" customHeight="1" s="35">
      <c r="A421" s="8" t="inlineStr">
        <is>
          <t>CRFT</t>
        </is>
      </c>
      <c r="B421" s="8" t="inlineStr">
        <is>
          <t>Nathan Truman</t>
        </is>
      </c>
      <c r="C421" s="8" t="inlineStr">
        <is>
          <t>2026-03-31_HWRD_at_CRFT</t>
        </is>
      </c>
    </row>
    <row r="422" ht="15.75" customHeight="1" s="35">
      <c r="A422" s="8" t="inlineStr">
        <is>
          <t>CRFT</t>
        </is>
      </c>
      <c r="B422" s="8" t="inlineStr">
        <is>
          <t>Xander Bejar</t>
        </is>
      </c>
      <c r="C422" s="8" t="inlineStr">
        <is>
          <t>2026-03-31_HWRD_at_CRFT</t>
        </is>
      </c>
      <c r="D422" s="8" t="inlineStr">
        <is>
          <t>Bats and pitches</t>
        </is>
      </c>
    </row>
    <row r="423" ht="15.75" customHeight="1" s="35">
      <c r="A423" s="8" t="inlineStr">
        <is>
          <t>CRFT</t>
        </is>
      </c>
      <c r="B423" s="8" t="inlineStr">
        <is>
          <t>CRFT_#10</t>
        </is>
      </c>
      <c r="C423" s="8" t="inlineStr">
        <is>
          <t>2026-03-31_HWRD_at_CRFT</t>
        </is>
      </c>
      <c r="D423" s="8" t="inlineStr">
        <is>
          <t>Bats and pitches</t>
        </is>
      </c>
    </row>
    <row r="424" ht="15.75" customHeight="1" s="35">
      <c r="A424" s="8" t="inlineStr">
        <is>
          <t>CRFT</t>
        </is>
      </c>
      <c r="B424" s="8" t="inlineStr">
        <is>
          <t>Kaleb Willis</t>
        </is>
      </c>
      <c r="C424" s="8" t="inlineStr">
        <is>
          <t>2026-03-31_HWRD_at_CRFT</t>
        </is>
      </c>
    </row>
    <row r="425" ht="15.75" customHeight="1" s="35">
      <c r="A425" s="8" t="inlineStr">
        <is>
          <t>CRFT</t>
        </is>
      </c>
      <c r="B425" s="8" t="inlineStr">
        <is>
          <t>Logan Davis</t>
        </is>
      </c>
      <c r="C425" s="8" t="inlineStr">
        <is>
          <t>2026-03-31_HWRD_at_CRFT</t>
        </is>
      </c>
    </row>
    <row r="426" ht="15.75" customHeight="1" s="35">
      <c r="A426" s="8" t="inlineStr">
        <is>
          <t>CRFT</t>
        </is>
      </c>
      <c r="B426" s="8" t="inlineStr">
        <is>
          <t>Joe Hammock</t>
        </is>
      </c>
      <c r="C426" s="8" t="inlineStr">
        <is>
          <t>2026-03-31_HWRD_at_CRFT</t>
        </is>
      </c>
    </row>
    <row r="427" ht="15.75" customHeight="1" s="35">
      <c r="A427" s="8" t="inlineStr">
        <is>
          <t>CRFT</t>
        </is>
      </c>
      <c r="B427" s="8" t="inlineStr">
        <is>
          <t>Aaron Weber</t>
        </is>
      </c>
      <c r="C427" s="8" t="inlineStr">
        <is>
          <t>2026-03-31_HWRD_at_CRFT</t>
        </is>
      </c>
    </row>
    <row r="428" ht="15.75" customHeight="1" s="35">
      <c r="A428" s="8" t="inlineStr">
        <is>
          <t>CRFT</t>
        </is>
      </c>
      <c r="B428" s="8" t="inlineStr">
        <is>
          <t>Michael Seery</t>
        </is>
      </c>
      <c r="C428" s="8" t="inlineStr">
        <is>
          <t>2026-03-31_HWRD_at_CRFT</t>
        </is>
      </c>
      <c r="D428" s="8" t="inlineStr">
        <is>
          <t>Pitcher only (no batting rows in log)</t>
        </is>
      </c>
    </row>
    <row r="429" ht="15.75" customHeight="1" s="35">
      <c r="A429" s="8" t="inlineStr">
        <is>
          <t>MRRT</t>
        </is>
      </c>
      <c r="B429" s="8" t="inlineStr">
        <is>
          <t>Alex Montgomery</t>
        </is>
      </c>
      <c r="C429" s="8" t="inlineStr">
        <is>
          <t>2026-03-30_HWRD_at_MRRT</t>
        </is>
      </c>
    </row>
    <row r="430" ht="15.75" customHeight="1" s="35">
      <c r="A430" s="8" t="inlineStr">
        <is>
          <t>CPPN</t>
        </is>
      </c>
      <c r="B430" s="8" t="inlineStr">
        <is>
          <t>J Spencer</t>
        </is>
      </c>
      <c r="C430" s="8" t="inlineStr">
        <is>
          <t>2026-03-23_CPPN_at_PLYV</t>
        </is>
      </c>
    </row>
    <row r="431" ht="15.75" customHeight="1" s="35">
      <c r="A431" s="8" t="inlineStr">
        <is>
          <t>CPPN</t>
        </is>
      </c>
      <c r="B431" s="8" t="inlineStr">
        <is>
          <t>K Diggs</t>
        </is>
      </c>
      <c r="C431" s="8" t="inlineStr">
        <is>
          <t>2026-03-23_CPPN_at_PLYV</t>
        </is>
      </c>
    </row>
    <row r="432" ht="15.75" customHeight="1" s="35">
      <c r="A432" s="8" t="inlineStr">
        <is>
          <t>CPPN</t>
        </is>
      </c>
      <c r="B432" s="8" t="inlineStr">
        <is>
          <t>J Whitehead</t>
        </is>
      </c>
      <c r="C432" s="8" t="inlineStr">
        <is>
          <t>2026-03-23_CPPN_at_PLYV</t>
        </is>
      </c>
      <c r="D432" s="8" t="inlineStr">
        <is>
          <t>Bats and pitches</t>
        </is>
      </c>
    </row>
    <row r="433" ht="15.75" customHeight="1" s="35">
      <c r="A433" s="8" t="inlineStr">
        <is>
          <t>CPPN</t>
        </is>
      </c>
      <c r="B433" s="8" t="inlineStr">
        <is>
          <t>J Hardy</t>
        </is>
      </c>
      <c r="C433" s="8" t="inlineStr">
        <is>
          <t>2026-03-23_CPPN_at_PLYV</t>
        </is>
      </c>
      <c r="D433" s="8" t="inlineStr">
        <is>
          <t>Bats and pitches</t>
        </is>
      </c>
    </row>
    <row r="434" ht="15.75" customHeight="1" s="35">
      <c r="A434" s="8" t="inlineStr">
        <is>
          <t>CPPN</t>
        </is>
      </c>
      <c r="B434" s="8" t="inlineStr">
        <is>
          <t>A Sterrette</t>
        </is>
      </c>
      <c r="C434" s="8" t="inlineStr">
        <is>
          <t>2026-03-23_CPPN_at_PLYV</t>
        </is>
      </c>
    </row>
    <row r="435" ht="15.75" customHeight="1" s="35">
      <c r="A435" s="8" t="inlineStr">
        <is>
          <t>CPPN</t>
        </is>
      </c>
      <c r="B435" s="8" t="inlineStr">
        <is>
          <t>J Trusty</t>
        </is>
      </c>
      <c r="C435" s="8" t="inlineStr">
        <is>
          <t>2026-03-23_CPPN_at_PLYV</t>
        </is>
      </c>
    </row>
    <row r="436" ht="15.75" customHeight="1" s="35">
      <c r="A436" s="8" t="inlineStr">
        <is>
          <t>CPPN</t>
        </is>
      </c>
      <c r="B436" s="8" t="inlineStr">
        <is>
          <t>H Rodwell</t>
        </is>
      </c>
      <c r="C436" s="8" t="inlineStr">
        <is>
          <t>2026-03-23_CPPN_at_PLYV</t>
        </is>
      </c>
    </row>
    <row r="437" ht="15.75" customHeight="1" s="35">
      <c r="A437" s="8" t="inlineStr">
        <is>
          <t>CPPN</t>
        </is>
      </c>
      <c r="B437" s="8" t="inlineStr">
        <is>
          <t>M Garrett</t>
        </is>
      </c>
      <c r="C437" s="8" t="inlineStr">
        <is>
          <t>2026-03-23_CPPN_at_PLYV</t>
        </is>
      </c>
    </row>
    <row r="438" ht="15.75" customHeight="1" s="35">
      <c r="A438" s="8" t="inlineStr">
        <is>
          <t>CPPN</t>
        </is>
      </c>
      <c r="B438" s="8" t="inlineStr">
        <is>
          <t>K Rice</t>
        </is>
      </c>
      <c r="C438" s="8" t="inlineStr">
        <is>
          <t>2026-03-23_CPPN_at_PLYV</t>
        </is>
      </c>
      <c r="D438" s="8" t="inlineStr">
        <is>
          <t>Bats and pitches</t>
        </is>
      </c>
    </row>
    <row r="439" ht="15.75" customHeight="1" s="35">
      <c r="A439" s="8" t="inlineStr">
        <is>
          <t>PLYV</t>
        </is>
      </c>
      <c r="B439" s="8" t="inlineStr">
        <is>
          <t>Julian Robin</t>
        </is>
      </c>
      <c r="C439" s="8" t="inlineStr">
        <is>
          <t>2026-03-23_CPPN_at_PLYV</t>
        </is>
      </c>
    </row>
    <row r="440" ht="15.75" customHeight="1" s="35">
      <c r="A440" s="8" t="inlineStr">
        <is>
          <t>PLYV</t>
        </is>
      </c>
      <c r="B440" s="8" t="inlineStr">
        <is>
          <t>Lucas Bryant</t>
        </is>
      </c>
      <c r="C440" s="8" t="inlineStr">
        <is>
          <t>2026-03-23_CPPN_at_PLYV</t>
        </is>
      </c>
      <c r="E440" s="8" t="n">
        <v>7</v>
      </c>
    </row>
    <row r="441" ht="15.75" customHeight="1" s="35">
      <c r="A441" s="8" t="inlineStr">
        <is>
          <t>PLYV</t>
        </is>
      </c>
      <c r="B441" s="8" t="inlineStr">
        <is>
          <t>Nathaniel Barry</t>
        </is>
      </c>
      <c r="C441" s="8" t="inlineStr">
        <is>
          <t>2026-03-23_CPPN_at_PLYV</t>
        </is>
      </c>
    </row>
    <row r="442" ht="15.75" customHeight="1" s="35">
      <c r="A442" s="8" t="inlineStr">
        <is>
          <t>PLYV</t>
        </is>
      </c>
      <c r="B442" s="8" t="inlineStr">
        <is>
          <t>Ashton Hill</t>
        </is>
      </c>
      <c r="C442" s="8" t="inlineStr">
        <is>
          <t>2026-03-23_CPPN_at_PLYV</t>
        </is>
      </c>
    </row>
    <row r="443" ht="15.75" customHeight="1" s="35">
      <c r="A443" s="8" t="inlineStr">
        <is>
          <t>PLYV</t>
        </is>
      </c>
      <c r="B443" s="8" t="inlineStr">
        <is>
          <t>Kingston Antonio</t>
        </is>
      </c>
      <c r="C443" s="8" t="inlineStr">
        <is>
          <t>2026-03-23_CPPN_at_PLYV</t>
        </is>
      </c>
      <c r="E443" s="8" t="n">
        <v>3</v>
      </c>
    </row>
    <row r="444" ht="15.75" customHeight="1" s="35">
      <c r="A444" s="8" t="inlineStr">
        <is>
          <t>PLYV</t>
        </is>
      </c>
      <c r="B444" s="8" t="inlineStr">
        <is>
          <t>Max Freeman</t>
        </is>
      </c>
      <c r="C444" s="8" t="inlineStr">
        <is>
          <t>2026-03-23_CPPN_at_PLYV</t>
        </is>
      </c>
      <c r="D444" s="8" t="inlineStr">
        <is>
          <t>Bats and pitches</t>
        </is>
      </c>
    </row>
    <row r="445" ht="15.75" customHeight="1" s="35">
      <c r="A445" s="8" t="inlineStr">
        <is>
          <t>PLYV</t>
        </is>
      </c>
      <c r="B445" s="8" t="inlineStr">
        <is>
          <t>Jakeem Mcbride</t>
        </is>
      </c>
      <c r="C445" s="8" t="inlineStr">
        <is>
          <t>2026-03-23_CPPN_at_PLYV</t>
        </is>
      </c>
      <c r="E445" s="8" t="n">
        <v>4</v>
      </c>
    </row>
    <row r="446" ht="15.75" customHeight="1" s="35">
      <c r="A446" s="8" t="inlineStr">
        <is>
          <t>PLYV</t>
        </is>
      </c>
      <c r="B446" s="8" t="inlineStr">
        <is>
          <t>Ian Dickensheets</t>
        </is>
      </c>
      <c r="C446" s="8" t="inlineStr">
        <is>
          <t>2026-03-23_CPPN_at_PLYV</t>
        </is>
      </c>
      <c r="E446" s="8" t="n">
        <v>4</v>
      </c>
    </row>
    <row r="447" ht="15.75" customHeight="1" s="35">
      <c r="A447" s="8" t="inlineStr">
        <is>
          <t>PLYV</t>
        </is>
      </c>
      <c r="B447" s="8" t="inlineStr">
        <is>
          <t>Ikram Khan</t>
        </is>
      </c>
      <c r="C447" s="8" t="inlineStr">
        <is>
          <t>2026-03-23_CPPN_at_PLYV</t>
        </is>
      </c>
      <c r="E447" s="8" t="n">
        <v>5</v>
      </c>
    </row>
    <row r="448" ht="15.75" customHeight="1" s="35">
      <c r="A448" s="8" t="inlineStr">
        <is>
          <t>PLYV</t>
        </is>
      </c>
      <c r="B448" s="8" t="inlineStr">
        <is>
          <t>Hayden Flipovitz</t>
        </is>
      </c>
      <c r="C448" s="8" t="inlineStr">
        <is>
          <t>2026-03-23_CPPN_at_PLYV</t>
        </is>
      </c>
      <c r="E448" s="8" t="n">
        <v>6</v>
      </c>
    </row>
    <row r="449" ht="15.75" customHeight="1" s="35">
      <c r="A449" s="8" t="inlineStr">
        <is>
          <t>PLYV</t>
        </is>
      </c>
      <c r="B449" s="8" t="inlineStr">
        <is>
          <t>Zachariah Lawrence</t>
        </is>
      </c>
      <c r="C449" s="8" t="inlineStr">
        <is>
          <t>2026-03-23_CPPN_at_PLYV</t>
        </is>
      </c>
    </row>
    <row r="450" ht="15.75" customHeight="1" s="35">
      <c r="A450" s="8" t="inlineStr">
        <is>
          <t>PLYV</t>
        </is>
      </c>
      <c r="B450" s="8" t="inlineStr">
        <is>
          <t>Roman Girardi</t>
        </is>
      </c>
      <c r="C450" s="8" t="inlineStr">
        <is>
          <t>2026-03-23_CPPN_at_PLYV</t>
        </is>
      </c>
      <c r="E450" s="8" t="n">
        <v>9</v>
      </c>
    </row>
    <row r="451" ht="15.75" customHeight="1" s="35">
      <c r="A451" s="8" t="inlineStr">
        <is>
          <t>PLYV</t>
        </is>
      </c>
      <c r="B451" s="8" t="inlineStr">
        <is>
          <t>Krishtain Mcleod</t>
        </is>
      </c>
      <c r="C451" s="8" t="inlineStr">
        <is>
          <t>2026-03-23_CPPN_at_PLYV</t>
        </is>
      </c>
    </row>
    <row r="452" ht="15.75" customHeight="1" s="35">
      <c r="A452" s="8" t="inlineStr">
        <is>
          <t>PLYV</t>
        </is>
      </c>
      <c r="B452" s="8" t="inlineStr">
        <is>
          <t>Joshua Tyree</t>
        </is>
      </c>
      <c r="C452" s="8" t="inlineStr">
        <is>
          <t>2026-03-23_CPPN_at_PLYV</t>
        </is>
      </c>
      <c r="E452" s="8" t="n">
        <v>1</v>
      </c>
    </row>
    <row r="453" ht="15.75" customHeight="1" s="35">
      <c r="A453" s="8" t="inlineStr">
        <is>
          <t>PLYV</t>
        </is>
      </c>
      <c r="B453" s="8" t="inlineStr">
        <is>
          <t>Shane King</t>
        </is>
      </c>
      <c r="C453" s="8" t="inlineStr">
        <is>
          <t>2026-03-25_DGLS_at_PLYV</t>
        </is>
      </c>
    </row>
    <row r="454" ht="15.75" customHeight="1" s="35">
      <c r="A454" s="8" t="inlineStr">
        <is>
          <t>PLYV</t>
        </is>
      </c>
      <c r="B454" s="8" t="inlineStr">
        <is>
          <t>Kaden Wooden</t>
        </is>
      </c>
      <c r="C454" s="8" t="inlineStr">
        <is>
          <t>2026-03-25_DGLS_at_PLYV</t>
        </is>
      </c>
      <c r="E454" s="8" t="n">
        <v>8</v>
      </c>
    </row>
    <row r="455" ht="15.75" customHeight="1" s="35">
      <c r="A455" s="8" t="inlineStr">
        <is>
          <t>PLYV</t>
        </is>
      </c>
      <c r="B455" s="8" t="inlineStr">
        <is>
          <t>Daniel Hong</t>
        </is>
      </c>
      <c r="C455" s="8" t="inlineStr">
        <is>
          <t>2026-03-25_DGLS_at_PLYV</t>
        </is>
      </c>
    </row>
    <row r="456" ht="15.75" customHeight="1" s="35">
      <c r="A456" s="8" t="inlineStr">
        <is>
          <t>PLYV</t>
        </is>
      </c>
      <c r="B456" s="8" t="inlineStr">
        <is>
          <t>Coleman Bryant</t>
        </is>
      </c>
      <c r="C456" s="8" t="inlineStr">
        <is>
          <t>2026-03-25_DGLS_at_PLYV</t>
        </is>
      </c>
      <c r="E456" s="8" t="n">
        <v>2</v>
      </c>
    </row>
    <row r="457" ht="15.75" customHeight="1" s="35">
      <c r="A457" s="8" t="inlineStr">
        <is>
          <t>PLYV</t>
        </is>
      </c>
      <c r="B457" s="8" t="inlineStr">
        <is>
          <t>Henry Overton</t>
        </is>
      </c>
      <c r="C457" s="8" t="inlineStr">
        <is>
          <t>2026-03-25_DGLS_at_PLYV</t>
        </is>
      </c>
    </row>
    <row r="458" ht="15.75" customHeight="1" s="35">
      <c r="A458" s="8" t="inlineStr">
        <is>
          <t>PLYV</t>
        </is>
      </c>
      <c r="B458" s="8" t="inlineStr">
        <is>
          <t>Kai Ely</t>
        </is>
      </c>
      <c r="C458" s="8" t="inlineStr">
        <is>
          <t>2026-03-25_DGLS_at_PLYV</t>
        </is>
      </c>
    </row>
    <row r="459" ht="15.75" customHeight="1" s="35">
      <c r="A459" s="8" t="inlineStr">
        <is>
          <t>DGLS</t>
        </is>
      </c>
      <c r="B459" s="8" t="inlineStr">
        <is>
          <t>Shaul Klein</t>
        </is>
      </c>
      <c r="C459" s="8" t="inlineStr">
        <is>
          <t>2026-03-25_DGLS_at_PLYV</t>
        </is>
      </c>
    </row>
    <row r="460" ht="15.75" customHeight="1" s="35">
      <c r="A460" s="8" t="inlineStr">
        <is>
          <t>DGLS</t>
        </is>
      </c>
      <c r="B460" s="8" t="inlineStr">
        <is>
          <t>leonard jones</t>
        </is>
      </c>
      <c r="C460" s="8" t="inlineStr">
        <is>
          <t>2026-03-25_DGLS_at_PLYV</t>
        </is>
      </c>
    </row>
    <row r="461" ht="15.75" customHeight="1" s="35">
      <c r="A461" s="8" t="inlineStr">
        <is>
          <t>DGLS</t>
        </is>
      </c>
      <c r="B461" s="8" t="inlineStr">
        <is>
          <t>Wilner Vergel-Rivero</t>
        </is>
      </c>
      <c r="C461" s="8" t="inlineStr">
        <is>
          <t>2026-03-25_DGLS_at_PLYV</t>
        </is>
      </c>
      <c r="D461" s="8" t="inlineStr">
        <is>
          <t>Bats and pitches</t>
        </is>
      </c>
    </row>
    <row r="462" ht="15.75" customHeight="1" s="35">
      <c r="A462" s="8" t="inlineStr">
        <is>
          <t>DGLS</t>
        </is>
      </c>
      <c r="B462" s="8" t="inlineStr">
        <is>
          <t>Nuinner Vergel-Rivero</t>
        </is>
      </c>
      <c r="C462" s="8" t="inlineStr">
        <is>
          <t>2026-03-25_DGLS_at_PLYV</t>
        </is>
      </c>
    </row>
    <row r="463" ht="15.75" customHeight="1" s="35">
      <c r="A463" s="8" t="inlineStr">
        <is>
          <t>DGLS</t>
        </is>
      </c>
      <c r="B463" s="8" t="inlineStr">
        <is>
          <t>Luis Alegria Gonzalez</t>
        </is>
      </c>
      <c r="C463" s="8" t="inlineStr">
        <is>
          <t>2026-03-25_DGLS_at_PLYV</t>
        </is>
      </c>
    </row>
    <row r="464" ht="15.75" customHeight="1" s="35">
      <c r="A464" s="8" t="inlineStr">
        <is>
          <t>DGLS</t>
        </is>
      </c>
      <c r="B464" s="8" t="inlineStr">
        <is>
          <t>Deivid Mendoza</t>
        </is>
      </c>
      <c r="C464" s="8" t="inlineStr">
        <is>
          <t>2026-03-25_DGLS_at_PLYV</t>
        </is>
      </c>
      <c r="D464" s="8" t="inlineStr">
        <is>
          <t>Bats and pitches</t>
        </is>
      </c>
    </row>
    <row r="465" ht="15.75" customHeight="1" s="35">
      <c r="A465" s="8" t="inlineStr">
        <is>
          <t>DGLS</t>
        </is>
      </c>
      <c r="B465" s="8" t="inlineStr">
        <is>
          <t>Peyton-Antonio White</t>
        </is>
      </c>
      <c r="C465" s="8" t="inlineStr">
        <is>
          <t>2026-03-25_DGLS_at_PLYV</t>
        </is>
      </c>
    </row>
    <row r="466" ht="15.75" customHeight="1" s="35">
      <c r="A466" s="8" t="inlineStr">
        <is>
          <t>DGLS</t>
        </is>
      </c>
      <c r="B466" s="8" t="inlineStr">
        <is>
          <t>Isaac Montufar Reyes</t>
        </is>
      </c>
      <c r="C466" s="8" t="inlineStr">
        <is>
          <t>2026-03-25_DGLS_at_PLYV</t>
        </is>
      </c>
      <c r="D466" s="8" t="inlineStr">
        <is>
          <t>Bats and pitches</t>
        </is>
      </c>
    </row>
    <row r="467" ht="15.75" customHeight="1" s="35">
      <c r="A467" s="8" t="inlineStr">
        <is>
          <t>DGLS</t>
        </is>
      </c>
      <c r="B467" s="8" t="inlineStr">
        <is>
          <t>Marquise Hernandez</t>
        </is>
      </c>
      <c r="C467" s="8" t="inlineStr">
        <is>
          <t>2026-03-25_DGLS_at_PLYV</t>
        </is>
      </c>
    </row>
    <row r="468" ht="15.75" customHeight="1" s="35">
      <c r="A468" s="8" t="inlineStr">
        <is>
          <t>DGLS</t>
        </is>
      </c>
      <c r="B468" s="8" t="inlineStr">
        <is>
          <t>Nehemiah Ford</t>
        </is>
      </c>
      <c r="C468" s="8" t="inlineStr">
        <is>
          <t>2026-03-25_DGLS_at_PLYV</t>
        </is>
      </c>
    </row>
    <row r="469" ht="15.75" customHeight="1" s="35">
      <c r="A469" s="8" t="inlineStr">
        <is>
          <t>FRST</t>
        </is>
      </c>
      <c r="B469" s="8" t="inlineStr">
        <is>
          <t>Timpson</t>
        </is>
      </c>
      <c r="C469" s="8" t="inlineStr">
        <is>
          <t>2026-03-27_FRST_at_PLYV</t>
        </is>
      </c>
    </row>
    <row r="470" ht="15.75" customHeight="1" s="35">
      <c r="A470" s="8" t="inlineStr">
        <is>
          <t>FRST</t>
        </is>
      </c>
      <c r="B470" s="8" t="inlineStr">
        <is>
          <t>Grant</t>
        </is>
      </c>
      <c r="C470" s="8" t="inlineStr">
        <is>
          <t>2026-03-27_FRST_at_PLYV</t>
        </is>
      </c>
    </row>
    <row r="471" ht="15.75" customHeight="1" s="35">
      <c r="A471" s="8" t="inlineStr">
        <is>
          <t>FRST</t>
        </is>
      </c>
      <c r="B471" s="8" t="inlineStr">
        <is>
          <t>Lucas</t>
        </is>
      </c>
      <c r="C471" s="8" t="inlineStr">
        <is>
          <t>2026-03-27_FRST_at_PLYV</t>
        </is>
      </c>
    </row>
    <row r="472" ht="15.75" customHeight="1" s="35">
      <c r="A472" s="8" t="inlineStr">
        <is>
          <t>FRST</t>
        </is>
      </c>
      <c r="B472" s="8" t="inlineStr">
        <is>
          <t>Bostic</t>
        </is>
      </c>
      <c r="C472" s="8" t="inlineStr">
        <is>
          <t>2026-03-27_FRST_at_PLYV</t>
        </is>
      </c>
    </row>
    <row r="473" ht="15.75" customHeight="1" s="35">
      <c r="A473" s="8" t="inlineStr">
        <is>
          <t>FRST</t>
        </is>
      </c>
      <c r="B473" s="8" t="inlineStr">
        <is>
          <t>Riddick</t>
        </is>
      </c>
      <c r="C473" s="8" t="inlineStr">
        <is>
          <t>2026-03-27_FRST_at_PLYV</t>
        </is>
      </c>
      <c r="D473" s="8" t="inlineStr">
        <is>
          <t>Bats and pitches</t>
        </is>
      </c>
    </row>
    <row r="474" ht="15.75" customHeight="1" s="35">
      <c r="A474" s="8" t="inlineStr">
        <is>
          <t>FRST</t>
        </is>
      </c>
      <c r="B474" s="8" t="inlineStr">
        <is>
          <t>Jones</t>
        </is>
      </c>
      <c r="C474" s="8" t="inlineStr">
        <is>
          <t>2026-03-27_FRST_at_PLYV</t>
        </is>
      </c>
    </row>
    <row r="475" ht="15.75" customHeight="1" s="35">
      <c r="A475" s="8" t="inlineStr">
        <is>
          <t>FRST</t>
        </is>
      </c>
      <c r="B475" s="8" t="inlineStr">
        <is>
          <t>Wallington</t>
        </is>
      </c>
      <c r="C475" s="8" t="inlineStr">
        <is>
          <t>2026-03-27_FRST_at_PLYV</t>
        </is>
      </c>
    </row>
    <row r="476" ht="15.75" customHeight="1" s="35">
      <c r="A476" s="8" t="inlineStr">
        <is>
          <t>FRST</t>
        </is>
      </c>
      <c r="B476" s="8" t="inlineStr">
        <is>
          <t>Askew</t>
        </is>
      </c>
      <c r="C476" s="8" t="inlineStr">
        <is>
          <t>2026-03-27_FRST_at_PLYV</t>
        </is>
      </c>
    </row>
    <row r="477" ht="15.75" customHeight="1" s="35">
      <c r="A477" s="8" t="inlineStr">
        <is>
          <t>FRST</t>
        </is>
      </c>
      <c r="B477" s="8" t="inlineStr">
        <is>
          <t>Moore</t>
        </is>
      </c>
      <c r="C477" s="8" t="inlineStr">
        <is>
          <t>2026-03-27_FRST_at_PLYV</t>
        </is>
      </c>
    </row>
    <row r="478" ht="15.75" customHeight="1" s="35">
      <c r="A478" s="8" t="inlineStr">
        <is>
          <t>FRST</t>
        </is>
      </c>
      <c r="B478" s="8" t="inlineStr">
        <is>
          <t>Laboo</t>
        </is>
      </c>
      <c r="C478" s="8" t="inlineStr">
        <is>
          <t>2026-03-27_FRST_at_PLYV</t>
        </is>
      </c>
      <c r="D478" s="8" t="inlineStr">
        <is>
          <t>Bats and pitches</t>
        </is>
      </c>
    </row>
    <row r="479" ht="15.75" customHeight="1" s="35">
      <c r="A479" s="8" t="inlineStr">
        <is>
          <t>ESTR</t>
        </is>
      </c>
      <c r="B479" s="8" t="inlineStr">
        <is>
          <t>Rob Peterson</t>
        </is>
      </c>
      <c r="C479" s="8" t="inlineStr">
        <is>
          <t>2026-04-04_PLYV_at_ESTR</t>
        </is>
      </c>
    </row>
    <row r="480" ht="15.75" customHeight="1" s="35">
      <c r="A480" s="8" t="inlineStr">
        <is>
          <t>ESTR</t>
        </is>
      </c>
      <c r="B480" s="8" t="inlineStr">
        <is>
          <t>Isaac Strittmatter</t>
        </is>
      </c>
      <c r="C480" s="8" t="inlineStr">
        <is>
          <t>2026-04-04_PLYV_at_ESTR</t>
        </is>
      </c>
    </row>
    <row r="481" ht="15.75" customHeight="1" s="35">
      <c r="A481" s="8" t="inlineStr">
        <is>
          <t>ESTR</t>
        </is>
      </c>
      <c r="B481" s="8" t="inlineStr">
        <is>
          <t>Kingston Lawrence</t>
        </is>
      </c>
      <c r="C481" s="8" t="inlineStr">
        <is>
          <t>2026-04-04_PLYV_at_ESTR</t>
        </is>
      </c>
      <c r="D481" s="8" t="inlineStr">
        <is>
          <t>Bats and pitches</t>
        </is>
      </c>
    </row>
    <row r="482" ht="15.75" customHeight="1" s="35">
      <c r="A482" s="8" t="inlineStr">
        <is>
          <t>ESTR</t>
        </is>
      </c>
      <c r="B482" s="8" t="inlineStr">
        <is>
          <t>Nico Smith</t>
        </is>
      </c>
      <c r="C482" s="8" t="inlineStr">
        <is>
          <t>2026-04-04_PLYV_at_ESTR</t>
        </is>
      </c>
    </row>
    <row r="483" ht="15.75" customHeight="1" s="35">
      <c r="A483" s="8" t="inlineStr">
        <is>
          <t>ESTR</t>
        </is>
      </c>
      <c r="B483" s="8" t="inlineStr">
        <is>
          <t>Mason Glatt</t>
        </is>
      </c>
      <c r="C483" s="8" t="inlineStr">
        <is>
          <t>2026-04-04_PLYV_at_ESTR</t>
        </is>
      </c>
      <c r="D483" s="8" t="inlineStr">
        <is>
          <t>Bats and pitches</t>
        </is>
      </c>
    </row>
    <row r="484" ht="15.75" customHeight="1" s="35">
      <c r="A484" s="8" t="inlineStr">
        <is>
          <t>ESTR</t>
        </is>
      </c>
      <c r="B484" s="8" t="inlineStr">
        <is>
          <t>Paul Hester</t>
        </is>
      </c>
      <c r="C484" s="8" t="inlineStr">
        <is>
          <t>2026-04-04_PLYV_at_ESTR</t>
        </is>
      </c>
    </row>
    <row r="485" ht="15.75" customHeight="1" s="35">
      <c r="A485" s="8" t="inlineStr">
        <is>
          <t>ESTR</t>
        </is>
      </c>
      <c r="B485" s="8" t="inlineStr">
        <is>
          <t>Brody Evans</t>
        </is>
      </c>
      <c r="C485" s="8" t="inlineStr">
        <is>
          <t>2026-04-04_PLYV_at_ESTR</t>
        </is>
      </c>
    </row>
    <row r="486" ht="15.75" customHeight="1" s="35">
      <c r="A486" s="8" t="inlineStr">
        <is>
          <t>ESTR</t>
        </is>
      </c>
      <c r="B486" s="8" t="inlineStr">
        <is>
          <t>Logan Hickman</t>
        </is>
      </c>
      <c r="C486" s="8" t="inlineStr">
        <is>
          <t>2026-04-04_PLYV_at_ESTR</t>
        </is>
      </c>
    </row>
    <row r="487" ht="15.75" customHeight="1" s="35">
      <c r="A487" s="8" t="inlineStr">
        <is>
          <t>ESTR</t>
        </is>
      </c>
      <c r="B487" s="8" t="inlineStr">
        <is>
          <t>Nate Noyes</t>
        </is>
      </c>
      <c r="C487" s="8" t="inlineStr">
        <is>
          <t>2026-04-04_PLYV_at_ESTR</t>
        </is>
      </c>
      <c r="D487" s="8" t="inlineStr">
        <is>
          <t>Bats and pitches</t>
        </is>
      </c>
    </row>
    <row r="488" ht="15.75" customHeight="1" s="35">
      <c r="A488" s="8" t="inlineStr">
        <is>
          <t>ESTR</t>
        </is>
      </c>
      <c r="B488" s="8" t="inlineStr">
        <is>
          <t>Jonah Scott</t>
        </is>
      </c>
      <c r="C488" s="8" t="inlineStr">
        <is>
          <t>2026-04-04_PLYV_at_ESTR</t>
        </is>
      </c>
    </row>
    <row r="489" ht="15.75" customHeight="1" s="35">
      <c r="A489" s="8" t="inlineStr">
        <is>
          <t>ESTR</t>
        </is>
      </c>
      <c r="B489" s="8" t="inlineStr">
        <is>
          <t>Landry Evans</t>
        </is>
      </c>
      <c r="C489" s="8" t="inlineStr">
        <is>
          <t>2026-04-04_PLYV_at_ESTR</t>
        </is>
      </c>
    </row>
    <row r="490" ht="15.75" customHeight="1" s="35">
      <c r="A490" s="8" t="inlineStr">
        <is>
          <t>PRKS</t>
        </is>
      </c>
      <c r="B490" s="8" t="inlineStr">
        <is>
          <t>Dylan Katz</t>
        </is>
      </c>
      <c r="C490" s="8" t="inlineStr">
        <is>
          <t>2026-04-04_PRKS_at_PLYV</t>
        </is>
      </c>
      <c r="D490" s="8" t="inlineStr">
        <is>
          <t>Bats and pitches</t>
        </is>
      </c>
    </row>
    <row r="491" ht="15.75" customHeight="1" s="35">
      <c r="A491" s="8" t="inlineStr">
        <is>
          <t>PRKS</t>
        </is>
      </c>
      <c r="B491" s="8" t="inlineStr">
        <is>
          <t>Zach Chait</t>
        </is>
      </c>
      <c r="C491" s="8" t="inlineStr">
        <is>
          <t>2026-04-04_PRKS_at_PLYV</t>
        </is>
      </c>
    </row>
    <row r="492" ht="15.75" customHeight="1" s="35">
      <c r="A492" s="8" t="inlineStr">
        <is>
          <t>PRKS</t>
        </is>
      </c>
      <c r="B492" s="8" t="inlineStr">
        <is>
          <t>I Shapero</t>
        </is>
      </c>
      <c r="C492" s="8" t="inlineStr">
        <is>
          <t>2026-04-04_PRKS_at_PLYV</t>
        </is>
      </c>
      <c r="D492" s="8" t="inlineStr">
        <is>
          <t>Bats and pitches</t>
        </is>
      </c>
    </row>
    <row r="493" ht="15.75" customHeight="1" s="35">
      <c r="A493" s="8" t="inlineStr">
        <is>
          <t>PRKS</t>
        </is>
      </c>
      <c r="B493" s="8" t="inlineStr">
        <is>
          <t>Jack Rogers</t>
        </is>
      </c>
      <c r="C493" s="8" t="inlineStr">
        <is>
          <t>2026-04-04_PRKS_at_PLYV</t>
        </is>
      </c>
    </row>
    <row r="494" ht="15.75" customHeight="1" s="35">
      <c r="A494" s="8" t="inlineStr">
        <is>
          <t>PRKS</t>
        </is>
      </c>
      <c r="B494" s="8" t="inlineStr">
        <is>
          <t>True Bridgeford</t>
        </is>
      </c>
      <c r="C494" s="8" t="inlineStr">
        <is>
          <t>2026-04-04_PRKS_at_PLYV</t>
        </is>
      </c>
    </row>
    <row r="495" ht="15.75" customHeight="1" s="35">
      <c r="A495" s="8" t="inlineStr">
        <is>
          <t>PRKS</t>
        </is>
      </c>
      <c r="B495" s="8" t="inlineStr">
        <is>
          <t>Cam Blum</t>
        </is>
      </c>
      <c r="C495" s="8" t="inlineStr">
        <is>
          <t>2026-04-04_PRKS_at_PLYV</t>
        </is>
      </c>
      <c r="D495" s="8" t="inlineStr">
        <is>
          <t>Bats and pitches</t>
        </is>
      </c>
    </row>
    <row r="496" ht="15.75" customHeight="1" s="35">
      <c r="A496" s="8" t="inlineStr">
        <is>
          <t>PRKS</t>
        </is>
      </c>
      <c r="B496" s="8" t="inlineStr">
        <is>
          <t>J Pulley</t>
        </is>
      </c>
      <c r="C496" s="8" t="inlineStr">
        <is>
          <t>2026-04-04_PRKS_at_PLYV</t>
        </is>
      </c>
    </row>
    <row r="497" ht="15.75" customHeight="1" s="35">
      <c r="A497" s="8" t="inlineStr">
        <is>
          <t>PRKS</t>
        </is>
      </c>
      <c r="B497" s="8" t="inlineStr">
        <is>
          <t>Isaac Cohen</t>
        </is>
      </c>
      <c r="C497" s="8" t="inlineStr">
        <is>
          <t>2026-04-04_PRKS_at_PLYV</t>
        </is>
      </c>
    </row>
    <row r="498" ht="15.75" customHeight="1" s="35">
      <c r="A498" s="8" t="inlineStr">
        <is>
          <t>PRKS</t>
        </is>
      </c>
      <c r="B498" s="8" t="inlineStr">
        <is>
          <t>Luca Jordan</t>
        </is>
      </c>
      <c r="C498" s="8" t="inlineStr">
        <is>
          <t>2026-04-04_PRKS_at_PLYV</t>
        </is>
      </c>
    </row>
    <row r="499" ht="15.75" customHeight="1" s="35">
      <c r="A499" s="8" t="inlineStr">
        <is>
          <t>PRKS</t>
        </is>
      </c>
      <c r="B499" s="8" t="inlineStr">
        <is>
          <t>Kasra Haerian</t>
        </is>
      </c>
      <c r="C499" s="8" t="inlineStr">
        <is>
          <t>2026-04-04_PRKS_at_PLYV</t>
        </is>
      </c>
    </row>
    <row r="500" ht="15.75" customHeight="1" s="35">
      <c r="A500" s="8" t="inlineStr">
        <is>
          <t>PRKS</t>
        </is>
      </c>
      <c r="B500" s="8" t="inlineStr">
        <is>
          <t>Noah Tomasino</t>
        </is>
      </c>
      <c r="C500" s="8" t="inlineStr">
        <is>
          <t>2026-04-04_PRKS_at_PLYV</t>
        </is>
      </c>
    </row>
    <row r="501" ht="15.75" customHeight="1" s="35">
      <c r="A501" s="8" t="inlineStr">
        <is>
          <t>PRKS</t>
        </is>
      </c>
      <c r="B501" s="8" t="inlineStr">
        <is>
          <t>James Robbins</t>
        </is>
      </c>
      <c r="C501" s="8" t="inlineStr">
        <is>
          <t>2026-04-04_PRKS_at_PLYV</t>
        </is>
      </c>
      <c r="D501" s="8" t="inlineStr">
        <is>
          <t>Bats and pitches</t>
        </is>
      </c>
    </row>
    <row r="502" ht="15.75" customHeight="1" s="35">
      <c r="A502" s="8" t="inlineStr">
        <is>
          <t>MRRT</t>
        </is>
      </c>
      <c r="B502" s="8" t="inlineStr">
        <is>
          <t>A Montgomery</t>
        </is>
      </c>
      <c r="C502" s="8" t="inlineStr">
        <is>
          <t>2026-03-26_MRRT_at_CNTN</t>
        </is>
      </c>
      <c r="D502" s="8" t="inlineStr">
        <is>
          <t>Catcher. May be same player as "Alex Montgomery" (first seen 2026-03-30_HWRD_at_MRRT); player key follows first-initial+last-name format consistent with this game log.</t>
        </is>
      </c>
    </row>
    <row r="503" ht="15.75" customHeight="1" s="35">
      <c r="A503" s="8" t="inlineStr">
        <is>
          <t>CNTN</t>
        </is>
      </c>
      <c r="B503" s="8" t="inlineStr">
        <is>
          <t>A Banks</t>
        </is>
      </c>
      <c r="C503" s="8" t="inlineStr">
        <is>
          <t>2026-03-14_CNTN_at_WSTM</t>
        </is>
      </c>
    </row>
    <row r="504" ht="15.75" customHeight="1" s="35">
      <c r="A504" s="8" t="inlineStr">
        <is>
          <t>CNTN</t>
        </is>
      </c>
      <c r="B504" s="8" t="inlineStr">
        <is>
          <t>A Barrett</t>
        </is>
      </c>
      <c r="C504" s="8" t="inlineStr">
        <is>
          <t>2026-03-14_CNTN_at_WSTM</t>
        </is>
      </c>
      <c r="D504" s="8" t="inlineStr">
        <is>
          <t>Bats and pitches</t>
        </is>
      </c>
      <c r="E504" s="8" t="n">
        <v>4</v>
      </c>
    </row>
    <row r="505" ht="15.75" customHeight="1" s="35">
      <c r="A505" s="8" t="inlineStr">
        <is>
          <t>CNTN</t>
        </is>
      </c>
      <c r="B505" s="8" t="inlineStr">
        <is>
          <t>A Gauthier</t>
        </is>
      </c>
      <c r="C505" s="8" t="inlineStr">
        <is>
          <t>2026-03-14_CNTN_at_WSTM</t>
        </is>
      </c>
      <c r="E505" s="8" t="n">
        <v>1</v>
      </c>
    </row>
    <row r="506" ht="15.75" customHeight="1" s="35">
      <c r="A506" s="8" t="inlineStr">
        <is>
          <t>CNTN</t>
        </is>
      </c>
      <c r="B506" s="8" t="inlineStr">
        <is>
          <t>A Lee</t>
        </is>
      </c>
      <c r="C506" s="8" t="inlineStr">
        <is>
          <t>2026-03-14_CNTN_at_WSTM</t>
        </is>
      </c>
      <c r="D506" s="8" t="inlineStr">
        <is>
          <t>Bats and pitches</t>
        </is>
      </c>
    </row>
    <row r="507" ht="15.75" customHeight="1" s="35">
      <c r="A507" s="8" t="inlineStr">
        <is>
          <t>CNTN</t>
        </is>
      </c>
      <c r="B507" s="8" t="inlineStr">
        <is>
          <t>A Li</t>
        </is>
      </c>
      <c r="C507" s="8" t="inlineStr">
        <is>
          <t>2026-03-31_CRFT_at_CNTN</t>
        </is>
      </c>
    </row>
    <row r="508" ht="15.75" customHeight="1" s="35">
      <c r="A508" s="8" t="inlineStr">
        <is>
          <t>CNTN</t>
        </is>
      </c>
      <c r="B508" s="8" t="inlineStr">
        <is>
          <t>B Corrao</t>
        </is>
      </c>
      <c r="C508" s="8" t="inlineStr">
        <is>
          <t>2026-03-14_CNTN_at_WSTM</t>
        </is>
      </c>
      <c r="E508" s="8" t="n">
        <v>6</v>
      </c>
    </row>
    <row r="509" ht="15.75" customHeight="1" s="35">
      <c r="A509" s="8" t="inlineStr">
        <is>
          <t>CNTN</t>
        </is>
      </c>
      <c r="B509" s="8" t="inlineStr">
        <is>
          <t>B Harris</t>
        </is>
      </c>
      <c r="C509" s="8" t="inlineStr">
        <is>
          <t>2026-03-14_CNTN_at_WSTM</t>
        </is>
      </c>
      <c r="E509" s="8" t="n">
        <v>5</v>
      </c>
    </row>
    <row r="510" ht="15.75" customHeight="1" s="35">
      <c r="A510" s="8" t="inlineStr">
        <is>
          <t>CNTN</t>
        </is>
      </c>
      <c r="B510" s="8" t="inlineStr">
        <is>
          <t>B Johnston</t>
        </is>
      </c>
      <c r="C510" s="8" t="inlineStr">
        <is>
          <t>2026-03-14_CNTN_at_WSTM</t>
        </is>
      </c>
      <c r="D510" s="8" t="inlineStr">
        <is>
          <t>Bats and pitches</t>
        </is>
      </c>
    </row>
    <row r="511" ht="15.75" customHeight="1" s="35">
      <c r="A511" s="8" t="inlineStr">
        <is>
          <t>CNTN</t>
        </is>
      </c>
      <c r="B511" s="8" t="inlineStr">
        <is>
          <t>C Bade</t>
        </is>
      </c>
      <c r="C511" s="8" t="inlineStr">
        <is>
          <t>2026-03-14_CNTN_at_WSTM</t>
        </is>
      </c>
      <c r="E511" s="8" t="n">
        <v>3</v>
      </c>
    </row>
    <row r="512" ht="15.75" customHeight="1" s="35">
      <c r="A512" s="8" t="inlineStr">
        <is>
          <t>CNTN</t>
        </is>
      </c>
      <c r="B512" s="8" t="inlineStr">
        <is>
          <t>C Proescher</t>
        </is>
      </c>
      <c r="C512" s="8" t="inlineStr">
        <is>
          <t>2026-03-14_CNTN_at_WSTM</t>
        </is>
      </c>
      <c r="D512" s="8" t="inlineStr">
        <is>
          <t>Bats and pitches</t>
        </is>
      </c>
    </row>
    <row r="513" ht="15.75" customHeight="1" s="35">
      <c r="A513" s="8" t="inlineStr">
        <is>
          <t>CNTN</t>
        </is>
      </c>
      <c r="B513" s="8" t="inlineStr">
        <is>
          <t>C Stachera</t>
        </is>
      </c>
      <c r="C513" s="8" t="inlineStr">
        <is>
          <t>2026-03-14_CNTN_at_WSTM</t>
        </is>
      </c>
      <c r="D513" s="8" t="inlineStr">
        <is>
          <t>Bats and pitches</t>
        </is>
      </c>
      <c r="E513" s="8" t="n">
        <v>7</v>
      </c>
    </row>
    <row r="514" ht="15.75" customHeight="1" s="35">
      <c r="A514" s="8" t="inlineStr">
        <is>
          <t>CNTN</t>
        </is>
      </c>
      <c r="B514" s="8" t="inlineStr">
        <is>
          <t>D Hill</t>
        </is>
      </c>
      <c r="C514" s="8" t="inlineStr">
        <is>
          <t>2026-03-14_CNTN_at_WSTM</t>
        </is>
      </c>
      <c r="E514" s="8" t="n">
        <v>8</v>
      </c>
    </row>
    <row r="515" ht="15.75" customHeight="1" s="35">
      <c r="A515" s="8" t="inlineStr">
        <is>
          <t>CNTN</t>
        </is>
      </c>
      <c r="B515" s="8" t="inlineStr">
        <is>
          <t>E Ogg</t>
        </is>
      </c>
      <c r="C515" s="8" t="inlineStr">
        <is>
          <t>2026-03-14_CNTN_at_WSTM</t>
        </is>
      </c>
    </row>
    <row r="516" ht="15.75" customHeight="1" s="35">
      <c r="A516" s="8" t="inlineStr">
        <is>
          <t>CNTN</t>
        </is>
      </c>
      <c r="B516" s="8" t="inlineStr">
        <is>
          <t>E Ortiz</t>
        </is>
      </c>
      <c r="C516" s="8" t="inlineStr">
        <is>
          <t>2026-03-21_CNTN_at_WLDL</t>
        </is>
      </c>
    </row>
    <row r="517" ht="15.75" customHeight="1" s="35">
      <c r="A517" s="8" t="inlineStr">
        <is>
          <t>CNTN</t>
        </is>
      </c>
      <c r="B517" s="8" t="inlineStr">
        <is>
          <t>E Rayne</t>
        </is>
      </c>
      <c r="C517" s="8" t="inlineStr">
        <is>
          <t>2026-03-14_CNTN_at_WSTM</t>
        </is>
      </c>
      <c r="D517" s="8" t="inlineStr">
        <is>
          <t>Bats and pitches</t>
        </is>
      </c>
      <c r="E517" s="8" t="n">
        <v>2</v>
      </c>
    </row>
    <row r="518" ht="15.75" customHeight="1" s="35">
      <c r="A518" s="8" t="inlineStr">
        <is>
          <t>CNTN</t>
        </is>
      </c>
      <c r="B518" s="8" t="inlineStr">
        <is>
          <t>L Choe</t>
        </is>
      </c>
      <c r="C518" s="8" t="inlineStr">
        <is>
          <t>2026-03-14_CNTN_at_WSTM</t>
        </is>
      </c>
      <c r="E518" s="8" t="n">
        <v>9</v>
      </c>
    </row>
    <row r="519" ht="15.75" customHeight="1" s="35">
      <c r="A519" s="8" t="inlineStr">
        <is>
          <t>CNTN</t>
        </is>
      </c>
      <c r="B519" s="8" t="inlineStr">
        <is>
          <t>L Rivkin</t>
        </is>
      </c>
      <c r="C519" s="8" t="inlineStr">
        <is>
          <t>2026-03-14_CNTN_at_WSTM</t>
        </is>
      </c>
    </row>
    <row r="520" ht="15.75" customHeight="1" s="35">
      <c r="A520" s="8" t="inlineStr">
        <is>
          <t>CNTN</t>
        </is>
      </c>
      <c r="B520" s="8" t="inlineStr">
        <is>
          <t>W Sisolak</t>
        </is>
      </c>
      <c r="C520" s="8" t="inlineStr">
        <is>
          <t>2026-03-14_CNTN_at_WSTM</t>
        </is>
      </c>
    </row>
    <row r="521" ht="15.75" customHeight="1" s="35">
      <c r="A521" s="8" t="inlineStr">
        <is>
          <t>STHR</t>
        </is>
      </c>
      <c r="B521" s="8" t="inlineStr">
        <is>
          <t>A Richard</t>
        </is>
      </c>
      <c r="C521" s="8" t="inlineStr">
        <is>
          <t>2026-03-25_MDVR_at_STHR</t>
        </is>
      </c>
    </row>
    <row r="522" ht="15.75" customHeight="1" s="35">
      <c r="A522" s="8" t="inlineStr">
        <is>
          <t>STHR</t>
        </is>
      </c>
      <c r="B522" s="8" t="inlineStr">
        <is>
          <t>B Bowers</t>
        </is>
      </c>
      <c r="C522" s="8" t="inlineStr">
        <is>
          <t>2026-03-21_SVRN_at_STHR</t>
        </is>
      </c>
      <c r="E522" s="8" t="n">
        <v>6</v>
      </c>
    </row>
    <row r="523" ht="15.75" customHeight="1" s="35">
      <c r="A523" s="8" t="inlineStr">
        <is>
          <t>STHR</t>
        </is>
      </c>
      <c r="B523" s="8" t="inlineStr">
        <is>
          <t>B Crandell</t>
        </is>
      </c>
      <c r="C523" s="8" t="inlineStr">
        <is>
          <t>2026-03-21_SVRN_at_STHR</t>
        </is>
      </c>
      <c r="E523" s="8" t="n">
        <v>1</v>
      </c>
    </row>
    <row r="524" ht="15.75" customHeight="1" s="35">
      <c r="A524" s="8" t="inlineStr">
        <is>
          <t>STHR</t>
        </is>
      </c>
      <c r="B524" s="8" t="inlineStr">
        <is>
          <t>B Michaud</t>
        </is>
      </c>
      <c r="C524" s="8" t="inlineStr">
        <is>
          <t>2026-03-25_MDVR_at_STHR</t>
        </is>
      </c>
      <c r="D524" s="8" t="inlineStr">
        <is>
          <t>Bats and pitches</t>
        </is>
      </c>
    </row>
    <row r="525" ht="15.75" customHeight="1" s="35">
      <c r="A525" s="8" t="inlineStr">
        <is>
          <t>STHR</t>
        </is>
      </c>
      <c r="B525" s="8" t="inlineStr">
        <is>
          <t>C Parks</t>
        </is>
      </c>
      <c r="C525" s="8" t="inlineStr">
        <is>
          <t>2026-03-21_SVRN_at_STHR</t>
        </is>
      </c>
      <c r="D525" s="8" t="inlineStr">
        <is>
          <t>Bats and pitches</t>
        </is>
      </c>
      <c r="E525" s="8" t="n">
        <v>2</v>
      </c>
    </row>
    <row r="526" ht="15.75" customHeight="1" s="35">
      <c r="A526" s="8" t="inlineStr">
        <is>
          <t>STHR</t>
        </is>
      </c>
      <c r="B526" s="8" t="inlineStr">
        <is>
          <t>C Perkins</t>
        </is>
      </c>
      <c r="C526" s="8" t="inlineStr">
        <is>
          <t>2026-03-21_SVRN_at_STHR</t>
        </is>
      </c>
      <c r="E526" s="8" t="n">
        <v>9</v>
      </c>
    </row>
    <row r="527" ht="15.75" customHeight="1" s="35">
      <c r="A527" s="8" t="inlineStr">
        <is>
          <t>STHR</t>
        </is>
      </c>
      <c r="B527" s="8" t="inlineStr">
        <is>
          <t>G Bowen</t>
        </is>
      </c>
      <c r="C527" s="8" t="inlineStr">
        <is>
          <t>2026-03-23_STHR_at_SRVR</t>
        </is>
      </c>
      <c r="D527" s="8" t="inlineStr">
        <is>
          <t>Bats and pitches</t>
        </is>
      </c>
    </row>
    <row r="528" ht="15.75" customHeight="1" s="35">
      <c r="A528" s="8" t="inlineStr">
        <is>
          <t>STHR</t>
        </is>
      </c>
      <c r="B528" s="8" t="inlineStr">
        <is>
          <t>G Colhoun</t>
        </is>
      </c>
      <c r="C528" s="8" t="inlineStr">
        <is>
          <t>2026-03-25_MDVR_at_STHR</t>
        </is>
      </c>
    </row>
    <row r="529" ht="15.75" customHeight="1" s="35">
      <c r="A529" s="8" t="inlineStr">
        <is>
          <t>STHR</t>
        </is>
      </c>
      <c r="B529" s="8" t="inlineStr">
        <is>
          <t>G Crandell</t>
        </is>
      </c>
      <c r="C529" s="8" t="inlineStr">
        <is>
          <t>2026-03-21_SVRN_at_STHR</t>
        </is>
      </c>
      <c r="D529" s="8" t="inlineStr">
        <is>
          <t>Bats and pitches</t>
        </is>
      </c>
      <c r="E529" s="8" t="n">
        <v>3</v>
      </c>
    </row>
    <row r="530" ht="15.75" customHeight="1" s="35">
      <c r="A530" s="8" t="inlineStr">
        <is>
          <t>STHR</t>
        </is>
      </c>
      <c r="B530" s="8" t="inlineStr">
        <is>
          <t>G Godfrey</t>
        </is>
      </c>
      <c r="C530" s="8" t="inlineStr">
        <is>
          <t>2026-03-21_SVRN_at_STHR</t>
        </is>
      </c>
      <c r="D530" s="8" t="inlineStr">
        <is>
          <t>Bats and pitches</t>
        </is>
      </c>
    </row>
    <row r="531" ht="15.75" customHeight="1" s="35">
      <c r="A531" s="8" t="inlineStr">
        <is>
          <t>STHR</t>
        </is>
      </c>
      <c r="B531" s="8" t="inlineStr">
        <is>
          <t>G Perkins</t>
        </is>
      </c>
      <c r="C531" s="8" t="inlineStr">
        <is>
          <t>2026-03-25_MDVR_at_STHR</t>
        </is>
      </c>
      <c r="E531" s="8" t="n">
        <v>8</v>
      </c>
    </row>
    <row r="532" ht="15.75" customHeight="1" s="35">
      <c r="A532" s="8" t="inlineStr">
        <is>
          <t>STHR</t>
        </is>
      </c>
      <c r="B532" s="8" t="inlineStr">
        <is>
          <t>I Benson</t>
        </is>
      </c>
      <c r="C532" s="8" t="inlineStr">
        <is>
          <t>2026-03-21_SVRN_at_STHR</t>
        </is>
      </c>
      <c r="D532" s="8" t="inlineStr">
        <is>
          <t>Bats and pitches</t>
        </is>
      </c>
    </row>
    <row r="533" ht="15.75" customHeight="1" s="35">
      <c r="A533" s="8" t="inlineStr">
        <is>
          <t>STHR</t>
        </is>
      </c>
      <c r="B533" s="8" t="inlineStr">
        <is>
          <t>J Colton</t>
        </is>
      </c>
      <c r="C533" s="8" t="inlineStr">
        <is>
          <t>2026-03-21_SVRN_at_STHR</t>
        </is>
      </c>
      <c r="E533" s="8" t="n">
        <v>5</v>
      </c>
    </row>
    <row r="534" ht="15.75" customHeight="1" s="35">
      <c r="A534" s="8" t="inlineStr">
        <is>
          <t>STHR</t>
        </is>
      </c>
      <c r="B534" s="8" t="inlineStr">
        <is>
          <t>J Dunkerly</t>
        </is>
      </c>
      <c r="C534" s="8" t="inlineStr">
        <is>
          <t>2026-03-25_MDVR_at_STHR</t>
        </is>
      </c>
    </row>
    <row r="535" ht="15.75" customHeight="1" s="35">
      <c r="A535" s="8" t="inlineStr">
        <is>
          <t>STHR</t>
        </is>
      </c>
      <c r="B535" s="8" t="inlineStr">
        <is>
          <t>Jackson</t>
        </is>
      </c>
      <c r="C535" s="8" t="inlineStr">
        <is>
          <t>2026-03-14_NRTH_at_STHR</t>
        </is>
      </c>
      <c r="D535" s="8" t="inlineStr">
        <is>
          <t>Single name only in source — no last name available</t>
        </is>
      </c>
    </row>
    <row r="536" ht="15.75" customHeight="1" s="35">
      <c r="A536" s="8" t="inlineStr">
        <is>
          <t>STHR</t>
        </is>
      </c>
      <c r="B536" s="8" t="inlineStr">
        <is>
          <t>N Simmons</t>
        </is>
      </c>
      <c r="C536" s="8" t="inlineStr">
        <is>
          <t>2026-03-25_MDVR_at_STHR</t>
        </is>
      </c>
    </row>
    <row r="537" ht="15.75" customHeight="1" s="35">
      <c r="A537" s="8" t="inlineStr">
        <is>
          <t>STHR</t>
        </is>
      </c>
      <c r="B537" s="8" t="inlineStr">
        <is>
          <t>N Youmans</t>
        </is>
      </c>
      <c r="C537" s="8" t="inlineStr">
        <is>
          <t>2026-03-21_SVRN_at_STHR</t>
        </is>
      </c>
      <c r="D537" s="8" t="inlineStr">
        <is>
          <t>Bats and pitches</t>
        </is>
      </c>
      <c r="E537" s="8" t="n">
        <v>4</v>
      </c>
    </row>
    <row r="538" ht="15.75" customHeight="1" s="35">
      <c r="A538" s="8" t="inlineStr">
        <is>
          <t>STHR</t>
        </is>
      </c>
      <c r="B538" s="8" t="inlineStr">
        <is>
          <t>S Lopez</t>
        </is>
      </c>
      <c r="C538" s="8" t="inlineStr">
        <is>
          <t>2026-03-25_MDVR_at_STHR</t>
        </is>
      </c>
    </row>
    <row r="539" ht="15.75" customHeight="1" s="35">
      <c r="A539" s="8" t="inlineStr">
        <is>
          <t>STHR</t>
        </is>
      </c>
      <c r="B539" s="8" t="inlineStr">
        <is>
          <t>T Evan</t>
        </is>
      </c>
      <c r="C539" s="8" t="inlineStr">
        <is>
          <t>2026-03-25_MDVR_at_STHR</t>
        </is>
      </c>
      <c r="D539" s="8" t="inlineStr">
        <is>
          <t>Bats and pitches</t>
        </is>
      </c>
    </row>
    <row r="540" ht="15.75" customHeight="1" s="35">
      <c r="A540" s="8" t="inlineStr">
        <is>
          <t>STHR</t>
        </is>
      </c>
      <c r="B540" s="8" t="inlineStr">
        <is>
          <t>T Veith</t>
        </is>
      </c>
      <c r="C540" s="8" t="inlineStr">
        <is>
          <t>2026-03-25_MDVR_at_STHR</t>
        </is>
      </c>
    </row>
    <row r="541" ht="15.75" customHeight="1" s="35">
      <c r="A541" s="8" t="inlineStr">
        <is>
          <t>STHR</t>
        </is>
      </c>
      <c r="B541" s="8" t="inlineStr">
        <is>
          <t>W Thomas</t>
        </is>
      </c>
      <c r="C541" s="8" t="inlineStr">
        <is>
          <t>2026-03-21_SVRN_at_STHR</t>
        </is>
      </c>
      <c r="D541" s="8" t="inlineStr">
        <is>
          <t>Bats and pitches</t>
        </is>
      </c>
      <c r="E541" s="8" t="n">
        <v>7</v>
      </c>
    </row>
    <row r="542" ht="15.75" customHeight="1" s="35">
      <c r="A542" s="8" t="inlineStr">
        <is>
          <t>NRTH</t>
        </is>
      </c>
      <c r="B542" s="8" t="inlineStr">
        <is>
          <t>#13</t>
        </is>
      </c>
      <c r="C542" s="8" t="inlineStr">
        <is>
          <t>2026-03-14_NRTH_at_STHR</t>
        </is>
      </c>
      <c r="D542" s="8" t="inlineStr">
        <is>
          <t>Jersey number only — full name not in source logs; NRTH_#13 canonical form not applied (Batting sheet uses #13)</t>
        </is>
      </c>
    </row>
    <row r="543" ht="15.75" customHeight="1" s="35">
      <c r="A543" s="8" t="inlineStr">
        <is>
          <t>NRTH</t>
        </is>
      </c>
      <c r="B543" s="8" t="inlineStr">
        <is>
          <t>#19</t>
        </is>
      </c>
      <c r="C543" s="8" t="inlineStr">
        <is>
          <t>2026-03-14_NRTH_at_STHR</t>
        </is>
      </c>
      <c r="D543" s="8" t="inlineStr">
        <is>
          <t>Bats and pitches; Jersey number only — full name not in source logs; NRTH_#19 canonical form not applied (Batting sheet uses #19)</t>
        </is>
      </c>
    </row>
    <row r="544" ht="15.75" customHeight="1" s="35">
      <c r="A544" s="8" t="inlineStr">
        <is>
          <t>NRTH</t>
        </is>
      </c>
      <c r="B544" s="8" t="inlineStr">
        <is>
          <t>#3</t>
        </is>
      </c>
      <c r="C544" s="8" t="inlineStr">
        <is>
          <t>2026-03-14_NRTH_at_STHR</t>
        </is>
      </c>
      <c r="D544" s="8" t="inlineStr">
        <is>
          <t>Jersey number only — full name not in source logs; NRTH_#3 canonical form not applied (Batting sheet uses #3)</t>
        </is>
      </c>
    </row>
    <row r="545" ht="15.75" customHeight="1" s="35">
      <c r="A545" s="8" t="inlineStr">
        <is>
          <t>NRTH</t>
        </is>
      </c>
      <c r="B545" s="8" t="inlineStr">
        <is>
          <t>B Irvin</t>
        </is>
      </c>
      <c r="C545" s="8" t="inlineStr">
        <is>
          <t>2026-03-14_NRTH_at_STHR</t>
        </is>
      </c>
    </row>
    <row r="546" ht="15.75" customHeight="1" s="35">
      <c r="A546" s="8" t="inlineStr">
        <is>
          <t>NRTH</t>
        </is>
      </c>
      <c r="B546" s="8" t="inlineStr">
        <is>
          <t>C Douglas</t>
        </is>
      </c>
      <c r="C546" s="8" t="inlineStr">
        <is>
          <t>2026-03-14_NRTH_at_STHR</t>
        </is>
      </c>
    </row>
    <row r="547" ht="15.75" customHeight="1" s="35">
      <c r="A547" s="8" t="inlineStr">
        <is>
          <t>NRTH</t>
        </is>
      </c>
      <c r="B547" s="8" t="inlineStr">
        <is>
          <t>C Renzi</t>
        </is>
      </c>
      <c r="C547" s="8" t="inlineStr">
        <is>
          <t>2026-03-14_NRTH_at_STHR</t>
        </is>
      </c>
    </row>
    <row r="548" ht="15.75" customHeight="1" s="35">
      <c r="A548" s="8" t="inlineStr">
        <is>
          <t>NRTH</t>
        </is>
      </c>
      <c r="B548" s="8" t="inlineStr">
        <is>
          <t>D Rivera</t>
        </is>
      </c>
      <c r="C548" s="8" t="inlineStr">
        <is>
          <t>2026-03-14_NRTH_at_STHR</t>
        </is>
      </c>
    </row>
    <row r="549" ht="15.75" customHeight="1" s="35">
      <c r="A549" s="8" t="inlineStr">
        <is>
          <t>NRTH</t>
        </is>
      </c>
      <c r="B549" s="8" t="inlineStr">
        <is>
          <t>H Shepardson</t>
        </is>
      </c>
      <c r="C549" s="8" t="inlineStr">
        <is>
          <t>2026-03-14_NRTH_at_STHR</t>
        </is>
      </c>
    </row>
    <row r="550" ht="15.75" customHeight="1" s="35">
      <c r="A550" s="8" t="inlineStr">
        <is>
          <t>NRTH</t>
        </is>
      </c>
      <c r="B550" s="8" t="inlineStr">
        <is>
          <t>H Tyree</t>
        </is>
      </c>
      <c r="C550" s="8" t="inlineStr">
        <is>
          <t>2026-03-14_NRTH_at_STHR</t>
        </is>
      </c>
    </row>
    <row r="551" ht="15.75" customHeight="1" s="35">
      <c r="A551" s="8" t="inlineStr">
        <is>
          <t>NRTH</t>
        </is>
      </c>
      <c r="B551" s="8" t="inlineStr">
        <is>
          <t>J Holson</t>
        </is>
      </c>
      <c r="C551" s="8" t="inlineStr">
        <is>
          <t>2026-03-14_NRTH_at_STHR</t>
        </is>
      </c>
    </row>
    <row r="552" ht="15.75" customHeight="1" s="35">
      <c r="A552" s="8" t="inlineStr">
        <is>
          <t>NRTH</t>
        </is>
      </c>
      <c r="B552" s="8" t="inlineStr">
        <is>
          <t>O Fox</t>
        </is>
      </c>
      <c r="C552" s="8" t="inlineStr">
        <is>
          <t>2026-03-14_NRTH_at_STHR</t>
        </is>
      </c>
    </row>
    <row r="553" ht="15.75" customHeight="1" s="35">
      <c r="A553" s="8" t="inlineStr">
        <is>
          <t>NRTH</t>
        </is>
      </c>
      <c r="B553" s="8" t="inlineStr">
        <is>
          <t>O Surratt</t>
        </is>
      </c>
      <c r="C553" s="8" t="inlineStr">
        <is>
          <t>2026-03-14_NRTH_at_STHR</t>
        </is>
      </c>
    </row>
    <row r="554" ht="15.75" customHeight="1" s="35">
      <c r="A554" s="8" t="inlineStr">
        <is>
          <t>NRTH</t>
        </is>
      </c>
      <c r="B554" s="8" t="inlineStr">
        <is>
          <t>T Holson</t>
        </is>
      </c>
      <c r="C554" s="8" t="inlineStr">
        <is>
          <t>2026-03-14_NRTH_at_STHR</t>
        </is>
      </c>
    </row>
    <row r="555" ht="15.75" customHeight="1" s="35">
      <c r="A555" s="8" t="inlineStr">
        <is>
          <t>NRTH</t>
        </is>
      </c>
      <c r="B555" s="8" t="inlineStr">
        <is>
          <t>T Wilkins</t>
        </is>
      </c>
      <c r="C555" s="8" t="inlineStr">
        <is>
          <t>2026-03-14_NRTH_at_STHR</t>
        </is>
      </c>
    </row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FF0000"/>
    <outlinePr summaryBelow="1" summaryRight="1"/>
    <pageSetUpPr/>
  </sheetPr>
  <dimension ref="A1:C29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24" customWidth="1" style="35" min="1" max="1"/>
    <col width="42" customWidth="1" style="35" min="2" max="2"/>
    <col width="72" customWidth="1" style="35" min="3" max="3"/>
    <col width="8.710000000000001" customWidth="1" style="35" min="4" max="26"/>
  </cols>
  <sheetData>
    <row r="1" ht="19.5" customHeight="1" s="35">
      <c r="A1" s="9" t="inlineStr">
        <is>
          <t>RIVERHILL HAWKS — SCOUTING REPOSITORY: DERIVATION RULES</t>
        </is>
      </c>
      <c r="B1" s="10" t="n"/>
      <c r="C1" s="10" t="n"/>
    </row>
    <row r="2" ht="13.5" customHeight="1" s="35">
      <c r="A2" s="10" t="n"/>
      <c r="B2" s="10" t="n"/>
      <c r="C2" s="10" t="n"/>
    </row>
    <row r="3" ht="13.5" customHeight="1" s="35">
      <c r="A3" s="11" t="inlineStr">
        <is>
          <t>Rule</t>
        </is>
      </c>
      <c r="B3" s="11" t="inlineStr">
        <is>
          <t>Definition</t>
        </is>
      </c>
      <c r="C3" s="11" t="inlineStr">
        <is>
          <t>Source / Notes</t>
        </is>
      </c>
    </row>
    <row r="4" ht="13.5" customHeight="1" s="35">
      <c r="A4" s="12" t="inlineStr">
        <is>
          <t>AB</t>
        </is>
      </c>
      <c r="B4" s="10" t="inlineStr">
        <is>
          <t>PA − BB − HBP − SAC</t>
        </is>
      </c>
      <c r="C4" s="10" t="inlineStr">
        <is>
          <t>Reached-on-error and FC count as AB. Dropped 3rd strike counts as AB + K.</t>
        </is>
      </c>
    </row>
    <row r="5" ht="13.5" customHeight="1" s="35">
      <c r="A5" s="12" t="inlineStr">
        <is>
          <t>H</t>
        </is>
      </c>
      <c r="B5" s="10" t="inlineStr">
        <is>
          <t>1B + 2B + 3B + HR</t>
        </is>
      </c>
      <c r="C5" s="10" t="inlineStr">
        <is>
          <t>Reached-on-error does NOT count as H (counted as AB only).</t>
        </is>
      </c>
    </row>
    <row r="6" ht="13.5" customHeight="1" s="35">
      <c r="A6" s="12" t="inlineStr">
        <is>
          <t>R (batter)</t>
        </is>
      </c>
      <c r="B6" s="10" t="inlineStr">
        <is>
          <t>Runs scored by that player</t>
        </is>
      </c>
      <c r="C6" s="10" t="inlineStr">
        <is>
          <t>COURTESY RUNNER RULE: run credited to original player, not the CR. E.g. T1 play #3: B Bixby (CR for R Walsh) scores → R Walsh R+1, B Bixby R unchanged.</t>
        </is>
      </c>
    </row>
    <row r="7" ht="13.5" customHeight="1" s="35">
      <c r="A7" s="12" t="inlineStr">
        <is>
          <t>RBI</t>
        </is>
      </c>
      <c r="B7" s="10" t="inlineStr">
        <is>
          <t>Runs that score as a direct result of the batter's PA</t>
        </is>
      </c>
      <c r="C7" s="10" t="inlineStr">
        <is>
          <t>Productive out RBI counted (e.g. C Naecker T1 GO, J Norwood scores = 1 RBI).</t>
        </is>
      </c>
    </row>
    <row r="8" ht="13.5" customHeight="1" s="35">
      <c r="A8" s="12" t="inlineStr">
        <is>
          <t>SB / CS</t>
        </is>
      </c>
      <c r="B8" s="10" t="inlineStr">
        <is>
          <t>Stolen bases and caught stealing per player</t>
        </is>
      </c>
      <c r="C8" s="10" t="inlineStr">
        <is>
          <t>Often embedded within pitch sequences (Section 4) rather than logged as discrete plays. Extract from mid-AB notations in Section 4.</t>
        </is>
      </c>
    </row>
    <row r="9" ht="13.5" customHeight="1" s="35">
      <c r="A9" s="12" t="inlineStr">
        <is>
          <t>Outs_Recorded (pitcher)</t>
        </is>
      </c>
      <c r="B9" s="10" t="inlineStr">
        <is>
          <t>Count of outs attributed to pitcher's tenure</t>
        </is>
      </c>
      <c r="C9" s="10" t="inlineStr">
        <is>
          <t>Derive from Section 3 'Outs (End of Play)' column during pitcher's active innings. DO NOT use inning count. Handles partial innings cleanly. IP = Outs_Recorded/3 via formula.</t>
        </is>
      </c>
    </row>
    <row r="10" ht="13.5" customHeight="1" s="35">
      <c r="A10" s="12" t="inlineStr">
        <is>
          <t>R_Allowed (pitcher)</t>
        </is>
      </c>
      <c r="B10" s="10" t="inlineStr">
        <is>
          <t>Runs that score while the pitcher is on the mound</t>
        </is>
      </c>
      <c r="C10" s="10" t="inlineStr">
        <is>
          <t>Charged to the pitcher active when the run scores, regardless of who put the runner on base.</t>
        </is>
      </c>
    </row>
    <row r="11" ht="13.5" customHeight="1" s="35">
      <c r="A11" s="12" t="inlineStr">
        <is>
          <t>WP</t>
        </is>
      </c>
      <c r="B11" s="10" t="inlineStr">
        <is>
          <t>Wild pitches — embedded in Section 4 pitch sequences</t>
        </is>
      </c>
      <c r="C11" s="10" t="inlineStr">
        <is>
          <t>E.g. play #40 pitch seq includes '#6 advances to 3rd on wild pitch' → J Jenkins WP+1.</t>
        </is>
      </c>
    </row>
    <row r="12" ht="13.5" customHeight="1" s="35">
      <c r="A12" s="12" t="inlineStr">
        <is>
          <t>PB</t>
        </is>
      </c>
      <c r="B12" s="10" t="inlineStr">
        <is>
          <t>Passed ball — embedded in Section 4 pitch sequences</t>
        </is>
      </c>
      <c r="C12" s="10" t="inlineStr">
        <is>
          <t>E.g. play #61 pitch seq: 'R Miller advances to 2nd on passed ball'. NOT currently tracked in Pitching schema — note in pitcher Notes column.</t>
        </is>
      </c>
    </row>
    <row r="13" ht="13.5" customHeight="1" s="35">
      <c r="A13" s="12" t="inlineStr">
        <is>
          <t>Player key (opponent)</t>
        </is>
      </c>
      <c r="B13" s="10" t="inlineStr">
        <is>
          <t>Format: [OPP_CODE]_#[NUMBER] — no spaces</t>
        </is>
      </c>
      <c r="C13" s="10" t="inlineStr">
        <is>
          <t>Example: WSTF_#4. Consistent format required for SUMIF/COUNTIF across games.</t>
        </is>
      </c>
    </row>
    <row r="14" ht="13.5" customHeight="1" s="35">
      <c r="A14" s="12" t="inlineStr">
        <is>
          <t>SAC</t>
        </is>
      </c>
      <c r="B14" s="10" t="inlineStr">
        <is>
          <t>Sacrifice bunt or fly — default 0 unless Outcome field explicitly states 'sacrifice'</t>
        </is>
      </c>
      <c r="C14" s="10" t="inlineStr">
        <is>
          <t>Productive groundouts are NOT sacrifices. This game: SAC = 0 for all players (no explicit sacrifice coded in log).</t>
        </is>
      </c>
    </row>
    <row r="15" ht="13.5" customHeight="1" s="35">
      <c r="A15" s="12" t="inlineStr">
        <is>
          <t>GDP</t>
        </is>
      </c>
      <c r="B15" s="10" t="inlineStr">
        <is>
          <t>Grounded into double play</t>
        </is>
      </c>
      <c r="C15" s="10" t="inlineStr">
        <is>
          <t>Outcome field contains 'double play'. E.g. WSTF_#1 play #64.</t>
        </is>
      </c>
    </row>
    <row r="16" ht="13.5" customHeight="1" s="35">
      <c r="A16" s="12" t="inlineStr">
        <is>
          <t>FC</t>
        </is>
      </c>
      <c r="B16" s="10" t="inlineStr">
        <is>
          <t>Fielder's Choice — counts as AB, not a hit</t>
        </is>
      </c>
      <c r="C16" s="10" t="inlineStr">
        <is>
          <t>Tracked separately to support clean AB derivation and avoid ambiguity.</t>
        </is>
      </c>
    </row>
    <row r="17" ht="13.5" customHeight="1" s="35">
      <c r="A17" s="12" t="inlineStr">
        <is>
          <t>QA_Flag_Count</t>
        </is>
      </c>
      <c r="B17" s="10" t="inlineStr">
        <is>
          <t>Count of checked [x] flags in Section 5 of source markdown</t>
        </is>
      </c>
      <c r="C17" s="10" t="inlineStr">
        <is>
          <t>Game_01.md has 10 active flags. Review Notes columns for flag references.</t>
        </is>
      </c>
    </row>
    <row r="18" ht="13.5" customHeight="1" s="35">
      <c r="A18" s="12" t="n"/>
      <c r="B18" s="10" t="n"/>
      <c r="C18" s="10" t="n"/>
    </row>
    <row r="19" ht="13.5" customHeight="1" s="35">
      <c r="A19" s="12" t="inlineStr">
        <is>
          <t>FORMULAS TO BUILD IN EXCEL (examples)</t>
        </is>
      </c>
      <c r="B19" s="10" t="n"/>
      <c r="C19" s="10" t="n"/>
    </row>
    <row r="20" ht="13.5" customHeight="1" s="35">
      <c r="A20" s="10" t="inlineStr">
        <is>
          <t>AVG</t>
        </is>
      </c>
      <c r="B20" s="10">
        <f>H/AB</f>
        <v/>
      </c>
      <c r="C20" s="10" t="inlineStr">
        <is>
          <t>Batting average</t>
        </is>
      </c>
    </row>
    <row r="21" ht="13.5" customHeight="1" s="35">
      <c r="A21" s="13" t="inlineStr">
        <is>
          <t>OBP</t>
        </is>
      </c>
      <c r="B21" s="13">
        <f>(H+BB+HBP)/(AB+BB+HBP+SAC)</f>
        <v/>
      </c>
      <c r="C21" s="13" t="inlineStr">
        <is>
          <t>On-base percentage</t>
        </is>
      </c>
    </row>
    <row r="22" ht="13.5" customHeight="1" s="35">
      <c r="A22" s="12" t="inlineStr">
        <is>
          <t>SLG</t>
        </is>
      </c>
      <c r="B22" s="10">
        <f>(1B + 2*2B + 3*3B + 4*HR)/AB</f>
        <v/>
      </c>
      <c r="C22" s="10" t="inlineStr">
        <is>
          <t>Slugging percentage</t>
        </is>
      </c>
    </row>
    <row r="23" ht="13.5" customHeight="1" s="35">
      <c r="A23" s="12" t="inlineStr">
        <is>
          <t>OPS</t>
        </is>
      </c>
      <c r="B23" s="10">
        <f>OBP+SLG</f>
        <v/>
      </c>
      <c r="C23" s="10" t="inlineStr">
        <is>
          <t>On-base plus slugging</t>
        </is>
      </c>
    </row>
    <row r="24" ht="13.5" customHeight="1" s="35">
      <c r="A24" s="12" t="inlineStr">
        <is>
          <t>TB</t>
        </is>
      </c>
      <c r="B24" s="10">
        <f>1B + 2*2B + 3*3B + 4*HR</f>
        <v/>
      </c>
      <c r="C24" s="10" t="inlineStr">
        <is>
          <t>Total bases</t>
        </is>
      </c>
    </row>
    <row r="25" ht="13.5" customHeight="1" s="35">
      <c r="A25" s="12" t="inlineStr">
        <is>
          <t>IP</t>
        </is>
      </c>
      <c r="B25" s="10">
        <f>Outs_Recorded/3</f>
        <v/>
      </c>
      <c r="C25" s="10" t="inlineStr">
        <is>
          <t>Innings pitched</t>
        </is>
      </c>
    </row>
    <row r="26" ht="13.5" customHeight="1" s="35">
      <c r="A26" s="12" t="inlineStr">
        <is>
          <t>WHIP</t>
        </is>
      </c>
      <c r="B26" s="10">
        <f>(BB_Allowed+H_Allowed)/IP</f>
        <v/>
      </c>
      <c r="C26" s="10" t="inlineStr">
        <is>
          <t>Walks + hits per inning pitched</t>
        </is>
      </c>
    </row>
    <row r="27" ht="13.5" customHeight="1" s="35">
      <c r="A27" s="12" t="inlineStr">
        <is>
          <t>K/BB</t>
        </is>
      </c>
      <c r="B27" s="10">
        <f>K/BB_Allowed</f>
        <v/>
      </c>
      <c r="C27" s="10" t="inlineStr">
        <is>
          <t>Strikeout-to-walk ratio</t>
        </is>
      </c>
    </row>
    <row r="28" ht="13.5" customHeight="1" s="35">
      <c r="A28" s="12" t="inlineStr">
        <is>
          <t>BB%</t>
        </is>
      </c>
      <c r="B28" s="10">
        <f>BB/PA</f>
        <v/>
      </c>
      <c r="C28" s="10" t="inlineStr">
        <is>
          <t>Walk rate (batter)</t>
        </is>
      </c>
    </row>
    <row r="29" ht="13.5" customHeight="1" s="35">
      <c r="A29" s="12" t="inlineStr">
        <is>
          <t>K%</t>
        </is>
      </c>
      <c r="B29" s="10">
        <f>K/PA</f>
        <v/>
      </c>
      <c r="C29" s="10" t="inlineStr">
        <is>
          <t>Strikeout rate (batter)</t>
        </is>
      </c>
    </row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5" min="1" max="1"/>
    <col width="8.710000000000001" customWidth="1" style="35" min="2" max="2"/>
    <col width="14" customWidth="1" style="35" min="3" max="3"/>
    <col width="8.710000000000001" customWidth="1" style="35" min="4" max="8"/>
    <col width="14" customWidth="1" style="35" min="9" max="9"/>
    <col width="8.710000000000001" customWidth="1" style="35" min="10" max="26"/>
  </cols>
  <sheetData>
    <row r="1">
      <c r="A1" s="14" t="inlineStr">
        <is>
          <t>CLASS 2A PLAYOFF THREAT ASSESSMENT</t>
        </is>
      </c>
    </row>
    <row r="2">
      <c r="A2" s="15" t="inlineStr">
        <is>
          <t>Auto-updates as new games are added to Game_Log</t>
        </is>
      </c>
    </row>
    <row r="4">
      <c r="A4" s="16" t="inlineStr">
        <is>
          <t>Team</t>
        </is>
      </c>
      <c r="B4" s="16" t="inlineStr">
        <is>
          <t>Games_Played</t>
        </is>
      </c>
      <c r="C4" s="16" t="inlineStr">
        <is>
          <t>Est_Record</t>
        </is>
      </c>
      <c r="D4" s="16" t="inlineStr">
        <is>
          <t>Runs_Per_Game</t>
        </is>
      </c>
      <c r="E4" s="16" t="inlineStr">
        <is>
          <t>Team_AVG</t>
        </is>
      </c>
      <c r="F4" s="16" t="inlineStr">
        <is>
          <t>Team_ERA</t>
        </is>
      </c>
      <c r="G4" s="16" t="inlineStr">
        <is>
          <t>Errors_Per_Game</t>
        </is>
      </c>
      <c r="H4" s="16" t="inlineStr">
        <is>
          <t>Threat_Score</t>
        </is>
      </c>
      <c r="I4" s="16" t="inlineStr">
        <is>
          <t>Threat_Level</t>
        </is>
      </c>
    </row>
    <row r="5">
      <c r="A5" s="17" t="inlineStr">
        <is>
          <t>HNTN</t>
        </is>
      </c>
      <c r="B5" s="17">
        <f>COUNTIF(Game_Log!$D$2:$D$5000,A5)</f>
        <v/>
      </c>
      <c r="C5" s="17" t="inlineStr">
        <is>
          <t>See Game_Log</t>
        </is>
      </c>
      <c r="D5" s="17">
        <f>IFERROR(SUMIFS(Batting!$M$2:$M$5000,Batting!$D$2:$D$5000,A5)/B5,"Insufficient Data")</f>
        <v/>
      </c>
      <c r="E5" s="18">
        <f>IFERROR(SUMIFS(Batting!$H$2:$H$5000,Batting!$D$2:$D$5000,A5)/SUMIFS(Batting!$G$2:$G$5000,Batting!$D$2:$D$5000,A5),"Insufficient Data")</f>
        <v/>
      </c>
      <c r="F5" s="19">
        <f>IFERROR((SUMIFS(Pitching!$Q$2:$Q$5000,Pitching!$D$2:$D$5000,A5)*7)/(SUMIFS(Pitching!$F$2:$F$5000,Pitching!$D$2:$D$5000,A5)/3),"Insufficient Data")</f>
        <v/>
      </c>
      <c r="G5" s="20">
        <f>IFERROR(COUNTIFS(Fielding!$D$2:$D$5000,A5)/B5,"Insufficient Data")</f>
        <v/>
      </c>
      <c r="H5" s="20">
        <f>IFERROR((D5/1.5)*0.4+(10-(F5/1.5))*0.4+(10-G5*2)*0.2,0)</f>
        <v/>
      </c>
      <c r="I5" s="17">
        <f>IF(H5&gt;=7.5,"EXTREME",IF(H5&gt;=6,"HIGH",IF(H5&gt;=4,"MEDIUM","LOW")))</f>
        <v/>
      </c>
    </row>
    <row r="6">
      <c r="A6" s="17" t="inlineStr">
        <is>
          <t>NRTH</t>
        </is>
      </c>
      <c r="B6" s="17">
        <f>COUNTIF(Game_Log!$D$2:$D$5000,A6)</f>
        <v/>
      </c>
      <c r="C6" s="17" t="inlineStr">
        <is>
          <t>See Game_Log</t>
        </is>
      </c>
      <c r="D6" s="17">
        <f>IFERROR(SUMIFS(Batting!$M$2:$M$5000,Batting!$D$2:$D$5000,A6)/B6,"Insufficient Data")</f>
        <v/>
      </c>
      <c r="E6" s="18">
        <f>IFERROR(SUMIFS(Batting!$H$2:$H$5000,Batting!$D$2:$D$5000,A6)/SUMIFS(Batting!$G$2:$G$5000,Batting!$D$2:$D$5000,A6),"Insufficient Data")</f>
        <v/>
      </c>
      <c r="F6" s="19">
        <f>IFERROR((SUMIFS(Pitching!$Q$2:$Q$5000,Pitching!$D$2:$D$5000,A6)*7)/(SUMIFS(Pitching!$F$2:$F$5000,Pitching!$D$2:$D$5000,A6)/3),"Insufficient Data")</f>
        <v/>
      </c>
      <c r="G6" s="20">
        <f>IFERROR(COUNTIFS(Fielding!$D$2:$D$5000,A6)/B6,"Insufficient Data")</f>
        <v/>
      </c>
      <c r="H6" s="20">
        <f>IFERROR((D6/1.5)*0.4+(10-(F6/1.5))*0.4+(10-G6*2)*0.2,0)</f>
        <v/>
      </c>
      <c r="I6" s="17">
        <f>IF(H6&gt;=7.5,"EXTREME",IF(H6&gt;=6,"HIGH",IF(H6&gt;=4,"MEDIUM","LOW")))</f>
        <v/>
      </c>
    </row>
    <row r="7">
      <c r="A7" s="17" t="inlineStr">
        <is>
          <t>GLNL</t>
        </is>
      </c>
      <c r="B7" s="17">
        <f>COUNTIF(Game_Log!$D$2:$D$5000,A7)</f>
        <v/>
      </c>
      <c r="C7" s="17" t="inlineStr">
        <is>
          <t>See Game_Log</t>
        </is>
      </c>
      <c r="D7" s="17">
        <f>IFERROR(SUMIFS(Batting!$M$2:$M$5000,Batting!$D$2:$D$5000,A7)/B7,"Insufficient Data")</f>
        <v/>
      </c>
      <c r="E7" s="18">
        <f>IFERROR(SUMIFS(Batting!$H$2:$H$5000,Batting!$D$2:$D$5000,A7)/SUMIFS(Batting!$G$2:$G$5000,Batting!$D$2:$D$5000,A7),"Insufficient Data")</f>
        <v/>
      </c>
      <c r="F7" s="19">
        <f>IFERROR((SUMIFS(Pitching!$Q$2:$Q$5000,Pitching!$D$2:$D$5000,A7)*7)/(SUMIFS(Pitching!$F$2:$F$5000,Pitching!$D$2:$D$5000,A7)/3),"Insufficient Data")</f>
        <v/>
      </c>
      <c r="G7" s="20">
        <f>IFERROR(COUNTIFS(Fielding!$D$2:$D$5000,A7)/B7,"Insufficient Data")</f>
        <v/>
      </c>
      <c r="H7" s="20">
        <f>IFERROR((D7/1.5)*0.4+(10-(F7/1.5))*0.4+(10-G7*2)*0.2,0)</f>
        <v/>
      </c>
      <c r="I7" s="17">
        <f>IF(H7&gt;=7.5,"EXTREME",IF(H7&gt;=6,"HIGH",IF(H7&gt;=4,"MEDIUM","LOW")))</f>
        <v/>
      </c>
    </row>
    <row r="8">
      <c r="A8" s="17" t="inlineStr">
        <is>
          <t>CNTN</t>
        </is>
      </c>
      <c r="B8" s="17">
        <f>COUNTIF(Game_Log!$D$2:$D$5000,A8)</f>
        <v/>
      </c>
      <c r="C8" s="17" t="inlineStr">
        <is>
          <t>See Game_Log</t>
        </is>
      </c>
      <c r="D8" s="17">
        <f>IFERROR(SUMIFS(Batting!$M$2:$M$5000,Batting!$D$2:$D$5000,A8)/B8,"Insufficient Data")</f>
        <v/>
      </c>
      <c r="E8" s="18">
        <f>IFERROR(SUMIFS(Batting!$H$2:$H$5000,Batting!$D$2:$D$5000,A8)/SUMIFS(Batting!$G$2:$G$5000,Batting!$D$2:$D$5000,A8),"Insufficient Data")</f>
        <v/>
      </c>
      <c r="F8" s="19">
        <f>IFERROR((SUMIFS(Pitching!$Q$2:$Q$5000,Pitching!$D$2:$D$5000,A8)*7)/(SUMIFS(Pitching!$F$2:$F$5000,Pitching!$D$2:$D$5000,A8)/3),"Insufficient Data")</f>
        <v/>
      </c>
      <c r="G8" s="20">
        <f>IFERROR(COUNTIFS(Fielding!$D$2:$D$5000,A8)/B8,"Insufficient Data")</f>
        <v/>
      </c>
      <c r="H8" s="20">
        <f>IFERROR((D8/1.5)*0.4+(10-(F8/1.5))*0.4+(10-G8*2)*0.2,0)</f>
        <v/>
      </c>
      <c r="I8" s="17">
        <f>IF(H8&gt;=7.5,"EXTREME",IF(H8&gt;=6,"HIGH",IF(H8&gt;=4,"MEDIUM","LOW")))</f>
        <v/>
      </c>
    </row>
    <row r="9">
      <c r="A9" s="17" t="inlineStr">
        <is>
          <t>PLYV</t>
        </is>
      </c>
      <c r="B9" s="17">
        <f>COUNTIF(Game_Log!$D$2:$D$5000,A9)</f>
        <v/>
      </c>
      <c r="C9" s="17" t="inlineStr">
        <is>
          <t>See Game_Log</t>
        </is>
      </c>
      <c r="D9" s="17">
        <f>IFERROR(SUMIFS(Batting!$M$2:$M$5000,Batting!$D$2:$D$5000,A9)/B9,"Insufficient Data")</f>
        <v/>
      </c>
      <c r="E9" s="18">
        <f>IFERROR(SUMIFS(Batting!$H$2:$H$5000,Batting!$D$2:$D$5000,A9)/SUMIFS(Batting!$G$2:$G$5000,Batting!$D$2:$D$5000,A9),"Insufficient Data")</f>
        <v/>
      </c>
      <c r="F9" s="19">
        <f>IFERROR((SUMIFS(Pitching!$Q$2:$Q$5000,Pitching!$D$2:$D$5000,A9)*7)/(SUMIFS(Pitching!$F$2:$F$5000,Pitching!$D$2:$D$5000,A9)/3),"Insufficient Data")</f>
        <v/>
      </c>
      <c r="G9" s="20">
        <f>IFERROR(COUNTIFS(Fielding!$D$2:$D$5000,A9)/B9,"Insufficient Data")</f>
        <v/>
      </c>
      <c r="H9" s="20">
        <f>IFERROR((D9/1.5)*0.4+(10-(F9/1.5))*0.4+(10-G9*2)*0.2,0)</f>
        <v/>
      </c>
      <c r="I9" s="17">
        <f>IF(H9&gt;=7.5,"EXTREME",IF(H9&gt;=6,"HIGH",IF(H9&gt;=4,"MEDIUM","LOW")))</f>
        <v/>
      </c>
    </row>
    <row r="10">
      <c r="A10" s="17" t="inlineStr">
        <is>
          <t>HWRD</t>
        </is>
      </c>
      <c r="B10" s="17">
        <f>COUNTIF(Game_Log!$D$2:$D$5000,A10)</f>
        <v/>
      </c>
      <c r="C10" s="17" t="inlineStr">
        <is>
          <t>See Game_Log</t>
        </is>
      </c>
      <c r="D10" s="17">
        <f>IFERROR(SUMIFS(Batting!$M$2:$M$5000,Batting!$D$2:$D$5000,A10)/B10,"Insufficient Data")</f>
        <v/>
      </c>
      <c r="E10" s="18">
        <f>IFERROR(SUMIFS(Batting!$H$2:$H$5000,Batting!$D$2:$D$5000,A10)/SUMIFS(Batting!$G$2:$G$5000,Batting!$D$2:$D$5000,A10),"Insufficient Data")</f>
        <v/>
      </c>
      <c r="F10" s="19">
        <f>IFERROR((SUMIFS(Pitching!$Q$2:$Q$5000,Pitching!$D$2:$D$5000,A10)*7)/(SUMIFS(Pitching!$F$2:$F$5000,Pitching!$D$2:$D$5000,A10)/3),"Insufficient Data")</f>
        <v/>
      </c>
      <c r="G10" s="20">
        <f>IFERROR(COUNTIFS(Fielding!$D$2:$D$5000,A10)/B10,"Insufficient Data")</f>
        <v/>
      </c>
      <c r="H10" s="20">
        <f>IFERROR((D10/1.5)*0.4+(10-(F10/1.5))*0.4+(10-G10*2)*0.2,0)</f>
        <v/>
      </c>
      <c r="I10" s="17">
        <f>IF(H10&gt;=7.5,"EXTREME",IF(H10&gt;=6,"HIGH",IF(H10&gt;=4,"MEDIUM","LOW")))</f>
        <v/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conditionalFormatting sqref="I5:I10">
    <cfRule type="cellIs" priority="1" operator="equal" dxfId="0">
      <formula>"EXTREME"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5" min="1" max="1"/>
    <col width="20" customWidth="1" style="35" min="2" max="2"/>
    <col width="8.710000000000001" customWidth="1" style="35" min="3" max="8"/>
    <col width="40" customWidth="1" style="35" min="9" max="9"/>
    <col width="8.710000000000001" customWidth="1" style="35" min="10" max="26"/>
  </cols>
  <sheetData>
    <row r="1">
      <c r="A1" s="14" t="inlineStr">
        <is>
          <t>OPPONENT PITCHING ROTATIONS</t>
        </is>
      </c>
    </row>
    <row r="2">
      <c r="A2" s="15" t="inlineStr">
        <is>
          <t>Tracks starting pitchers and predicts next start based on rest patterns</t>
        </is>
      </c>
    </row>
    <row r="4">
      <c r="A4" s="21" t="inlineStr">
        <is>
          <t>Team</t>
        </is>
      </c>
      <c r="B4" s="21" t="inlineStr">
        <is>
          <t>Pitcher</t>
        </is>
      </c>
      <c r="C4" s="21" t="inlineStr">
        <is>
          <t>Total_Starts</t>
        </is>
      </c>
      <c r="D4" s="21" t="inlineStr">
        <is>
          <t>Avg_IP_Per_Start</t>
        </is>
      </c>
      <c r="E4" s="21" t="inlineStr">
        <is>
          <t>ERA</t>
        </is>
      </c>
      <c r="F4" s="21" t="inlineStr">
        <is>
          <t>Total_BF</t>
        </is>
      </c>
      <c r="G4" s="21" t="inlineStr">
        <is>
          <t>Strikeouts</t>
        </is>
      </c>
      <c r="H4" s="21" t="inlineStr">
        <is>
          <t>Last_Start_Date</t>
        </is>
      </c>
      <c r="I4" s="21" t="inlineStr">
        <is>
          <t>Rotation_Notes</t>
        </is>
      </c>
    </row>
    <row r="5">
      <c r="A5" s="15" t="inlineStr">
        <is>
          <t>Use Pitching sheet to track opponent starters</t>
        </is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14.43" defaultRowHeight="15" customHeight="1"/>
  <cols>
    <col width="15" customWidth="1" style="35" min="1" max="1"/>
    <col width="6" customWidth="1" style="35" min="2" max="3"/>
    <col width="8" customWidth="1" style="35" min="4" max="5"/>
    <col width="10" customWidth="1" style="35" min="6" max="6"/>
    <col width="8" customWidth="1" style="35" min="7" max="7"/>
    <col width="6" customWidth="1" style="35" min="8" max="8"/>
    <col width="10" customWidth="1" style="35" min="9" max="9"/>
    <col width="14" customWidth="1" style="35" min="10" max="10"/>
    <col width="35" customWidth="1" style="35" min="11" max="11"/>
    <col width="12" customWidth="1" style="35" min="12" max="12"/>
    <col width="8.710000000000001" customWidth="1" style="35" min="13" max="26"/>
  </cols>
  <sheetData>
    <row r="1">
      <c r="A1" s="14" t="inlineStr">
        <is>
          <t>HITTER THREAT ASSESSMENT - Most Dangerous Batters</t>
        </is>
      </c>
    </row>
    <row r="2">
      <c r="A2" s="15" t="inlineStr">
        <is>
          <t>Scouts: Focus on HIGH THREAT or above when game planning</t>
        </is>
      </c>
    </row>
    <row r="4">
      <c r="A4" s="22" t="inlineStr">
        <is>
          <t>Player</t>
        </is>
      </c>
      <c r="B4" s="22" t="inlineStr">
        <is>
          <t>Team</t>
        </is>
      </c>
      <c r="C4" s="22" t="inlineStr">
        <is>
          <t>PA</t>
        </is>
      </c>
      <c r="D4" s="22" t="inlineStr">
        <is>
          <t>OBP</t>
        </is>
      </c>
      <c r="E4" s="22" t="inlineStr">
        <is>
          <t>SLG</t>
        </is>
      </c>
      <c r="F4" s="22" t="inlineStr">
        <is>
          <t>RBI_Per_Hit</t>
        </is>
      </c>
      <c r="G4" s="22" t="inlineStr">
        <is>
          <t>K_Rate</t>
        </is>
      </c>
      <c r="H4" s="22" t="inlineStr">
        <is>
          <t>XBH</t>
        </is>
      </c>
      <c r="I4" s="22" t="inlineStr">
        <is>
          <t>Threat_Score</t>
        </is>
      </c>
      <c r="J4" s="22" t="inlineStr">
        <is>
          <t>Threat_Tier</t>
        </is>
      </c>
      <c r="K4" s="22" t="inlineStr">
        <is>
          <t>Scouting_Notes</t>
        </is>
      </c>
      <c r="L4" s="22" t="inlineStr">
        <is>
          <t>Lineup_Slot</t>
        </is>
      </c>
    </row>
    <row r="5">
      <c r="A5" s="23" t="inlineStr">
        <is>
          <t>FORMULA: Threat_Score = (OBP×40%) + (SLG×30%) + (RBI/H×15%) + (Contact×15%)</t>
        </is>
      </c>
    </row>
    <row r="6">
      <c r="A6" s="24" t="inlineStr">
        <is>
          <t>J Norwood</t>
        </is>
      </c>
      <c r="B6" s="24" t="inlineStr">
        <is>
          <t>RVRH</t>
        </is>
      </c>
      <c r="C6" s="8">
        <f>SUMIFS(Batting!$F$2:$F$5000,Batting!$E$2:$E$5000,A6,Batting!$D$2:$D$5000,B6)</f>
        <v/>
      </c>
      <c r="D6" s="25">
        <f>IFERROR((SUMIFS(Batting!$H$2:$H$5000,Batting!$E$2:$E$5000,A6,Batting!$D$2:$D$5000,B6)+SUMIFS(Batting!$L$2:$L$5000,Batting!$E$2:$E$5000,A6,Batting!$D$2:$D$5000,B6)+SUMIFS(Batting!$M$2:$M$5000,Batting!$E$2:$E$5000,A6,Batting!$D$2:$D$5000,B6))/C6,"Insufficient Data")</f>
        <v/>
      </c>
      <c r="E6" s="25">
        <f>IFERROR((SUMIFS(Batting!$I$2:$I$5000,Batting!$E$2:$E$5000,A6,Batting!$D$2:$D$5000,B6)+SUMIFS(Batting!$J$2:$J$5000,Batting!$E$2:$E$5000,A6,Batting!$D$2:$D$5000,B6)*2+SUMIFS(Batting!$K$2:$K$5000,Batting!$E$2:$E$5000,A6,Batting!$D$2:$D$5000,B6)*3+SUMIFS(Batting!$L$2:$L$5000,Batting!$E$2:$E$5000,A6,Batting!$D$2:$D$5000,B6)*4)/SUMIFS(Batting!$G$2:$G$5000,Batting!$E$2:$E$5000,A6,Batting!$D$2:$D$5000,B6),"Insufficient Data")</f>
        <v/>
      </c>
      <c r="F6" s="26">
        <f>IFERROR(SUMIFS(Batting!$N$2:$N$5000,Batting!$E$2:$E$5000,A6,Batting!$D$2:$D$5000,B6)/SUMIFS(Batting!$H$2:$H$5000,Batting!$E$2:$E$5000,A6,Batting!$D$2:$D$5000,B6),"Insufficient Data")</f>
        <v/>
      </c>
      <c r="G6" s="27">
        <f>IFERROR(SUMIFS(Batting!$O$2:$O$5000,Batting!$E$2:$E$5000,A6,Batting!$D$2:$D$5000,B6)/C6,"Insufficient Data")</f>
        <v/>
      </c>
      <c r="H6" s="8">
        <f>SUMIFS(Batting!$J$2:$J$5000,Batting!$E$2:$E$5000,A6,Batting!$D$2:$D$5000,B6)+SUMIFS(Batting!$K$2:$K$5000,Batting!$E$2:$E$5000,A6,Batting!$D$2:$D$5000,B6)+SUMIFS(Batting!$L$2:$L$5000,Batting!$E$2:$E$5000,A6,Batting!$D$2:$D$5000,B6)</f>
        <v/>
      </c>
      <c r="I6" s="28">
        <f>IFERROR((D6*0.4+E6*0.3+F6*0.15+(1-G6)*0.15)*10,"Insufficient Data")</f>
        <v/>
      </c>
      <c r="J6" s="8">
        <f>IF(I6="Insufficient Data","Insufficient Data",IF(I6&gt;=8,"🔴 ELITE",IF(I6&gt;=6.5,"🟠 HIGH",IF(I6&gt;=5,"🟡 MEDIUM","⚪ ROLE PLAYER"))))</f>
        <v/>
      </c>
      <c r="K6" s="8">
        <f>IF(C6&lt;15,"Insufficient PA",CONCAT(IF(D6&gt;=0.45,"ELITE OBP | ",""),IF(H6&gt;=3,"POWER | ",""),IF(F6&gt;=1.15,"ELITE Clutch | ",""),IF(G6&lt;=0.15,"Elite Contact","")))</f>
        <v/>
      </c>
      <c r="L6" s="8">
        <f>IF(I6="Insufficient Data","",IF(D6&gt;=0.55,"1-2",IF(F6&gt;=1.1,"3-5",IF(D6&gt;=0.4,"6-7","8-9"))))</f>
        <v/>
      </c>
    </row>
    <row r="7">
      <c r="A7" s="24" t="inlineStr">
        <is>
          <t>C Reis</t>
        </is>
      </c>
      <c r="B7" s="24" t="inlineStr">
        <is>
          <t>RVRH</t>
        </is>
      </c>
      <c r="C7" s="8">
        <f>SUMIFS(Batting!$F$2:$F$5000,Batting!$E$2:$E$5000,A7,Batting!$D$2:$D$5000,B7)</f>
        <v/>
      </c>
      <c r="D7" s="25">
        <f>IFERROR((SUMIFS(Batting!$H$2:$H$5000,Batting!$E$2:$E$5000,A7,Batting!$D$2:$D$5000,B7)+SUMIFS(Batting!$L$2:$L$5000,Batting!$E$2:$E$5000,A7,Batting!$D$2:$D$5000,B7)+SUMIFS(Batting!$M$2:$M$5000,Batting!$E$2:$E$5000,A7,Batting!$D$2:$D$5000,B7))/C7,"Insufficient Data")</f>
        <v/>
      </c>
      <c r="E7" s="25">
        <f>IFERROR((SUMIFS(Batting!$I$2:$I$5000,Batting!$E$2:$E$5000,A7,Batting!$D$2:$D$5000,B7)+SUMIFS(Batting!$J$2:$J$5000,Batting!$E$2:$E$5000,A7,Batting!$D$2:$D$5000,B7)*2+SUMIFS(Batting!$K$2:$K$5000,Batting!$E$2:$E$5000,A7,Batting!$D$2:$D$5000,B7)*3+SUMIFS(Batting!$L$2:$L$5000,Batting!$E$2:$E$5000,A7,Batting!$D$2:$D$5000,B7)*4)/SUMIFS(Batting!$G$2:$G$5000,Batting!$E$2:$E$5000,A7,Batting!$D$2:$D$5000,B7),"Insufficient Data")</f>
        <v/>
      </c>
      <c r="F7" s="26">
        <f>IFERROR(SUMIFS(Batting!$N$2:$N$5000,Batting!$E$2:$E$5000,A7,Batting!$D$2:$D$5000,B7)/SUMIFS(Batting!$H$2:$H$5000,Batting!$E$2:$E$5000,A7,Batting!$D$2:$D$5000,B7),"Insufficient Data")</f>
        <v/>
      </c>
      <c r="G7" s="27">
        <f>IFERROR(SUMIFS(Batting!$O$2:$O$5000,Batting!$E$2:$E$5000,A7,Batting!$D$2:$D$5000,B7)/C7,"Insufficient Data")</f>
        <v/>
      </c>
      <c r="H7" s="8">
        <f>SUMIFS(Batting!$J$2:$J$5000,Batting!$E$2:$E$5000,A7,Batting!$D$2:$D$5000,B7)+SUMIFS(Batting!$K$2:$K$5000,Batting!$E$2:$E$5000,A7,Batting!$D$2:$D$5000,B7)+SUMIFS(Batting!$L$2:$L$5000,Batting!$E$2:$E$5000,A7,Batting!$D$2:$D$5000,B7)</f>
        <v/>
      </c>
      <c r="I7" s="28">
        <f>IFERROR((D7*0.4+E7*0.3+F7*0.15+(1-G7)*0.15)*10,"Insufficient Data")</f>
        <v/>
      </c>
      <c r="J7" s="8">
        <f>IF(I7="Insufficient Data","Insufficient Data",IF(I7&gt;=8,"🔴 ELITE",IF(I7&gt;=6.5,"🟠 HIGH",IF(I7&gt;=5,"🟡 MEDIUM","⚪ ROLE PLAYER"))))</f>
        <v/>
      </c>
      <c r="K7" s="8">
        <f>IF(C7&lt;15,"Insufficient PA",CONCAT(IF(D7&gt;=0.45,"ELITE OBP | ",""),IF(H7&gt;=3,"POWER | ",""),IF(F7&gt;=1.15,"ELITE Clutch | ",""),IF(G7&lt;=0.15,"Elite Contact","")))</f>
        <v/>
      </c>
      <c r="L7" s="8">
        <f>IF(I7="Insufficient Data","",IF(D7&gt;=0.55,"1-2",IF(F7&gt;=1.1,"3-5",IF(D7&gt;=0.4,"6-7","8-9"))))</f>
        <v/>
      </c>
    </row>
    <row r="8">
      <c r="A8" s="24" t="inlineStr">
        <is>
          <t>H Zhang</t>
        </is>
      </c>
      <c r="B8" s="24" t="inlineStr">
        <is>
          <t>RVRH</t>
        </is>
      </c>
      <c r="C8" s="8">
        <f>SUMIFS(Batting!$F$2:$F$5000,Batting!$E$2:$E$5000,A8,Batting!$D$2:$D$5000,B8)</f>
        <v/>
      </c>
      <c r="D8" s="25">
        <f>IFERROR((SUMIFS(Batting!$H$2:$H$5000,Batting!$E$2:$E$5000,A8,Batting!$D$2:$D$5000,B8)+SUMIFS(Batting!$L$2:$L$5000,Batting!$E$2:$E$5000,A8,Batting!$D$2:$D$5000,B8)+SUMIFS(Batting!$M$2:$M$5000,Batting!$E$2:$E$5000,A8,Batting!$D$2:$D$5000,B8))/C8,"Insufficient Data")</f>
        <v/>
      </c>
      <c r="E8" s="25">
        <f>IFERROR((SUMIFS(Batting!$I$2:$I$5000,Batting!$E$2:$E$5000,A8,Batting!$D$2:$D$5000,B8)+SUMIFS(Batting!$J$2:$J$5000,Batting!$E$2:$E$5000,A8,Batting!$D$2:$D$5000,B8)*2+SUMIFS(Batting!$K$2:$K$5000,Batting!$E$2:$E$5000,A8,Batting!$D$2:$D$5000,B8)*3+SUMIFS(Batting!$L$2:$L$5000,Batting!$E$2:$E$5000,A8,Batting!$D$2:$D$5000,B8)*4)/SUMIFS(Batting!$G$2:$G$5000,Batting!$E$2:$E$5000,A8,Batting!$D$2:$D$5000,B8),"Insufficient Data")</f>
        <v/>
      </c>
      <c r="F8" s="26">
        <f>IFERROR(SUMIFS(Batting!$N$2:$N$5000,Batting!$E$2:$E$5000,A8,Batting!$D$2:$D$5000,B8)/SUMIFS(Batting!$H$2:$H$5000,Batting!$E$2:$E$5000,A8,Batting!$D$2:$D$5000,B8),"Insufficient Data")</f>
        <v/>
      </c>
      <c r="G8" s="27">
        <f>IFERROR(SUMIFS(Batting!$O$2:$O$5000,Batting!$E$2:$E$5000,A8,Batting!$D$2:$D$5000,B8)/C8,"Insufficient Data")</f>
        <v/>
      </c>
      <c r="H8" s="8">
        <f>SUMIFS(Batting!$J$2:$J$5000,Batting!$E$2:$E$5000,A8,Batting!$D$2:$D$5000,B8)+SUMIFS(Batting!$K$2:$K$5000,Batting!$E$2:$E$5000,A8,Batting!$D$2:$D$5000,B8)+SUMIFS(Batting!$L$2:$L$5000,Batting!$E$2:$E$5000,A8,Batting!$D$2:$D$5000,B8)</f>
        <v/>
      </c>
      <c r="I8" s="28">
        <f>IFERROR((D8*0.4+E8*0.3+F8*0.15+(1-G8)*0.15)*10,"Insufficient Data")</f>
        <v/>
      </c>
      <c r="J8" s="8">
        <f>IF(I8="Insufficient Data","Insufficient Data",IF(I8&gt;=8,"🔴 ELITE",IF(I8&gt;=6.5,"🟠 HIGH",IF(I8&gt;=5,"🟡 MEDIUM","⚪ ROLE PLAYER"))))</f>
        <v/>
      </c>
      <c r="K8" s="8">
        <f>IF(C8&lt;15,"Insufficient PA",CONCAT(IF(D8&gt;=0.45,"ELITE OBP | ",""),IF(H8&gt;=3,"POWER | ",""),IF(F8&gt;=1.15,"ELITE Clutch | ",""),IF(G8&lt;=0.15,"Elite Contact","")))</f>
        <v/>
      </c>
      <c r="L8" s="8">
        <f>IF(I8="Insufficient Data","",IF(D8&gt;=0.55,"1-2",IF(F8&gt;=1.1,"3-5",IF(D8&gt;=0.4,"6-7","8-9"))))</f>
        <v/>
      </c>
    </row>
    <row r="9">
      <c r="A9" s="24" t="inlineStr">
        <is>
          <t>C Naecker</t>
        </is>
      </c>
      <c r="B9" s="24" t="inlineStr">
        <is>
          <t>RVRH</t>
        </is>
      </c>
      <c r="C9" s="8">
        <f>SUMIFS(Batting!$F$2:$F$5000,Batting!$E$2:$E$5000,A9,Batting!$D$2:$D$5000,B9)</f>
        <v/>
      </c>
      <c r="D9" s="25">
        <f>IFERROR((SUMIFS(Batting!$H$2:$H$5000,Batting!$E$2:$E$5000,A9,Batting!$D$2:$D$5000,B9)+SUMIFS(Batting!$L$2:$L$5000,Batting!$E$2:$E$5000,A9,Batting!$D$2:$D$5000,B9)+SUMIFS(Batting!$M$2:$M$5000,Batting!$E$2:$E$5000,A9,Batting!$D$2:$D$5000,B9))/C9,"Insufficient Data")</f>
        <v/>
      </c>
      <c r="E9" s="25">
        <f>IFERROR((SUMIFS(Batting!$I$2:$I$5000,Batting!$E$2:$E$5000,A9,Batting!$D$2:$D$5000,B9)+SUMIFS(Batting!$J$2:$J$5000,Batting!$E$2:$E$5000,A9,Batting!$D$2:$D$5000,B9)*2+SUMIFS(Batting!$K$2:$K$5000,Batting!$E$2:$E$5000,A9,Batting!$D$2:$D$5000,B9)*3+SUMIFS(Batting!$L$2:$L$5000,Batting!$E$2:$E$5000,A9,Batting!$D$2:$D$5000,B9)*4)/SUMIFS(Batting!$G$2:$G$5000,Batting!$E$2:$E$5000,A9,Batting!$D$2:$D$5000,B9),"Insufficient Data")</f>
        <v/>
      </c>
      <c r="F9" s="26">
        <f>IFERROR(SUMIFS(Batting!$N$2:$N$5000,Batting!$E$2:$E$5000,A9,Batting!$D$2:$D$5000,B9)/SUMIFS(Batting!$H$2:$H$5000,Batting!$E$2:$E$5000,A9,Batting!$D$2:$D$5000,B9),"Insufficient Data")</f>
        <v/>
      </c>
      <c r="G9" s="27">
        <f>IFERROR(SUMIFS(Batting!$O$2:$O$5000,Batting!$E$2:$E$5000,A9,Batting!$D$2:$D$5000,B9)/C9,"Insufficient Data")</f>
        <v/>
      </c>
      <c r="H9" s="8">
        <f>SUMIFS(Batting!$J$2:$J$5000,Batting!$E$2:$E$5000,A9,Batting!$D$2:$D$5000,B9)+SUMIFS(Batting!$K$2:$K$5000,Batting!$E$2:$E$5000,A9,Batting!$D$2:$D$5000,B9)+SUMIFS(Batting!$L$2:$L$5000,Batting!$E$2:$E$5000,A9,Batting!$D$2:$D$5000,B9)</f>
        <v/>
      </c>
      <c r="I9" s="28">
        <f>IFERROR((D9*0.4+E9*0.3+F9*0.15+(1-G9)*0.15)*10,"Insufficient Data")</f>
        <v/>
      </c>
      <c r="J9" s="8">
        <f>IF(I9="Insufficient Data","Insufficient Data",IF(I9&gt;=8,"🔴 ELITE",IF(I9&gt;=6.5,"🟠 HIGH",IF(I9&gt;=5,"🟡 MEDIUM","⚪ ROLE PLAYER"))))</f>
        <v/>
      </c>
      <c r="K9" s="8">
        <f>IF(C9&lt;15,"Insufficient PA",CONCAT(IF(D9&gt;=0.45,"ELITE OBP | ",""),IF(H9&gt;=3,"POWER | ",""),IF(F9&gt;=1.15,"ELITE Clutch | ",""),IF(G9&lt;=0.15,"Elite Contact","")))</f>
        <v/>
      </c>
      <c r="L9" s="8">
        <f>IF(I9="Insufficient Data","",IF(D9&gt;=0.55,"1-2",IF(F9&gt;=1.1,"3-5",IF(D9&gt;=0.4,"6-7","8-9"))))</f>
        <v/>
      </c>
    </row>
    <row r="10">
      <c r="A10" s="24" t="inlineStr">
        <is>
          <t>R Walsh</t>
        </is>
      </c>
      <c r="B10" s="24" t="inlineStr">
        <is>
          <t>RVRH</t>
        </is>
      </c>
      <c r="C10" s="8">
        <f>SUMIFS(Batting!$F$2:$F$5000,Batting!$E$2:$E$5000,A10,Batting!$D$2:$D$5000,B10)</f>
        <v/>
      </c>
      <c r="D10" s="25">
        <f>IFERROR((SUMIFS(Batting!$H$2:$H$5000,Batting!$E$2:$E$5000,A10,Batting!$D$2:$D$5000,B10)+SUMIFS(Batting!$L$2:$L$5000,Batting!$E$2:$E$5000,A10,Batting!$D$2:$D$5000,B10)+SUMIFS(Batting!$M$2:$M$5000,Batting!$E$2:$E$5000,A10,Batting!$D$2:$D$5000,B10))/C10,"Insufficient Data")</f>
        <v/>
      </c>
      <c r="E10" s="25">
        <f>IFERROR((SUMIFS(Batting!$I$2:$I$5000,Batting!$E$2:$E$5000,A10,Batting!$D$2:$D$5000,B10)+SUMIFS(Batting!$J$2:$J$5000,Batting!$E$2:$E$5000,A10,Batting!$D$2:$D$5000,B10)*2+SUMIFS(Batting!$K$2:$K$5000,Batting!$E$2:$E$5000,A10,Batting!$D$2:$D$5000,B10)*3+SUMIFS(Batting!$L$2:$L$5000,Batting!$E$2:$E$5000,A10,Batting!$D$2:$D$5000,B10)*4)/SUMIFS(Batting!$G$2:$G$5000,Batting!$E$2:$E$5000,A10,Batting!$D$2:$D$5000,B10),"Insufficient Data")</f>
        <v/>
      </c>
      <c r="F10" s="26">
        <f>IFERROR(SUMIFS(Batting!$N$2:$N$5000,Batting!$E$2:$E$5000,A10,Batting!$D$2:$D$5000,B10)/SUMIFS(Batting!$H$2:$H$5000,Batting!$E$2:$E$5000,A10,Batting!$D$2:$D$5000,B10),"Insufficient Data")</f>
        <v/>
      </c>
      <c r="G10" s="27">
        <f>IFERROR(SUMIFS(Batting!$O$2:$O$5000,Batting!$E$2:$E$5000,A10,Batting!$D$2:$D$5000,B10)/C10,"Insufficient Data")</f>
        <v/>
      </c>
      <c r="H10" s="8">
        <f>SUMIFS(Batting!$J$2:$J$5000,Batting!$E$2:$E$5000,A10,Batting!$D$2:$D$5000,B10)+SUMIFS(Batting!$K$2:$K$5000,Batting!$E$2:$E$5000,A10,Batting!$D$2:$D$5000,B10)+SUMIFS(Batting!$L$2:$L$5000,Batting!$E$2:$E$5000,A10,Batting!$D$2:$D$5000,B10)</f>
        <v/>
      </c>
      <c r="I10" s="28">
        <f>IFERROR((D10*0.4+E10*0.3+F10*0.15+(1-G10)*0.15)*10,"Insufficient Data")</f>
        <v/>
      </c>
      <c r="J10" s="8">
        <f>IF(I10="Insufficient Data","Insufficient Data",IF(I10&gt;=8,"🔴 ELITE",IF(I10&gt;=6.5,"🟠 HIGH",IF(I10&gt;=5,"🟡 MEDIUM","⚪ ROLE PLAYER"))))</f>
        <v/>
      </c>
      <c r="K10" s="8">
        <f>IF(C10&lt;15,"Insufficient PA",CONCAT(IF(D10&gt;=0.45,"ELITE OBP | ",""),IF(H10&gt;=3,"POWER | ",""),IF(F10&gt;=1.15,"ELITE Clutch | ",""),IF(G10&lt;=0.15,"Elite Contact","")))</f>
        <v/>
      </c>
      <c r="L10" s="8">
        <f>IF(I10="Insufficient Data","",IF(D10&gt;=0.55,"1-2",IF(F10&gt;=1.1,"3-5",IF(D10&gt;=0.4,"6-7","8-9"))))</f>
        <v/>
      </c>
    </row>
    <row r="11">
      <c r="A11" s="24" t="inlineStr">
        <is>
          <t>G Dang</t>
        </is>
      </c>
      <c r="B11" s="24" t="inlineStr">
        <is>
          <t>RVRH</t>
        </is>
      </c>
      <c r="C11" s="8">
        <f>SUMIFS(Batting!$F$2:$F$5000,Batting!$E$2:$E$5000,A11,Batting!$D$2:$D$5000,B11)</f>
        <v/>
      </c>
      <c r="D11" s="25">
        <f>IFERROR((SUMIFS(Batting!$H$2:$H$5000,Batting!$E$2:$E$5000,A11,Batting!$D$2:$D$5000,B11)+SUMIFS(Batting!$L$2:$L$5000,Batting!$E$2:$E$5000,A11,Batting!$D$2:$D$5000,B11)+SUMIFS(Batting!$M$2:$M$5000,Batting!$E$2:$E$5000,A11,Batting!$D$2:$D$5000,B11))/C11,"Insufficient Data")</f>
        <v/>
      </c>
      <c r="E11" s="25">
        <f>IFERROR((SUMIFS(Batting!$I$2:$I$5000,Batting!$E$2:$E$5000,A11,Batting!$D$2:$D$5000,B11)+SUMIFS(Batting!$J$2:$J$5000,Batting!$E$2:$E$5000,A11,Batting!$D$2:$D$5000,B11)*2+SUMIFS(Batting!$K$2:$K$5000,Batting!$E$2:$E$5000,A11,Batting!$D$2:$D$5000,B11)*3+SUMIFS(Batting!$L$2:$L$5000,Batting!$E$2:$E$5000,A11,Batting!$D$2:$D$5000,B11)*4)/SUMIFS(Batting!$G$2:$G$5000,Batting!$E$2:$E$5000,A11,Batting!$D$2:$D$5000,B11),"Insufficient Data")</f>
        <v/>
      </c>
      <c r="F11" s="26">
        <f>IFERROR(SUMIFS(Batting!$N$2:$N$5000,Batting!$E$2:$E$5000,A11,Batting!$D$2:$D$5000,B11)/SUMIFS(Batting!$H$2:$H$5000,Batting!$E$2:$E$5000,A11,Batting!$D$2:$D$5000,B11),"Insufficient Data")</f>
        <v/>
      </c>
      <c r="G11" s="27">
        <f>IFERROR(SUMIFS(Batting!$O$2:$O$5000,Batting!$E$2:$E$5000,A11,Batting!$D$2:$D$5000,B11)/C11,"Insufficient Data")</f>
        <v/>
      </c>
      <c r="H11" s="8">
        <f>SUMIFS(Batting!$J$2:$J$5000,Batting!$E$2:$E$5000,A11,Batting!$D$2:$D$5000,B11)+SUMIFS(Batting!$K$2:$K$5000,Batting!$E$2:$E$5000,A11,Batting!$D$2:$D$5000,B11)+SUMIFS(Batting!$L$2:$L$5000,Batting!$E$2:$E$5000,A11,Batting!$D$2:$D$5000,B11)</f>
        <v/>
      </c>
      <c r="I11" s="28">
        <f>IFERROR((D11*0.4+E11*0.3+F11*0.15+(1-G11)*0.15)*10,"Insufficient Data")</f>
        <v/>
      </c>
      <c r="J11" s="8">
        <f>IF(I11="Insufficient Data","Insufficient Data",IF(I11&gt;=8,"🔴 ELITE",IF(I11&gt;=6.5,"🟠 HIGH",IF(I11&gt;=5,"🟡 MEDIUM","⚪ ROLE PLAYER"))))</f>
        <v/>
      </c>
      <c r="K11" s="8">
        <f>IF(C11&lt;15,"Insufficient PA",CONCAT(IF(D11&gt;=0.45,"ELITE OBP | ",""),IF(H11&gt;=3,"POWER | ",""),IF(F11&gt;=1.15,"ELITE Clutch | ",""),IF(G11&lt;=0.15,"Elite Contact","")))</f>
        <v/>
      </c>
      <c r="L11" s="8">
        <f>IF(I11="Insufficient Data","",IF(D11&gt;=0.55,"1-2",IF(F11&gt;=1.1,"3-5",IF(D11&gt;=0.4,"6-7","8-9"))))</f>
        <v/>
      </c>
    </row>
    <row r="12">
      <c r="A12" s="24" t="inlineStr">
        <is>
          <t>A Fields</t>
        </is>
      </c>
      <c r="B12" s="24" t="inlineStr">
        <is>
          <t>RVRH</t>
        </is>
      </c>
      <c r="C12" s="8">
        <f>SUMIFS(Batting!$F$2:$F$5000,Batting!$E$2:$E$5000,A12,Batting!$D$2:$D$5000,B12)</f>
        <v/>
      </c>
      <c r="D12" s="25">
        <f>IFERROR((SUMIFS(Batting!$H$2:$H$5000,Batting!$E$2:$E$5000,A12,Batting!$D$2:$D$5000,B12)+SUMIFS(Batting!$L$2:$L$5000,Batting!$E$2:$E$5000,A12,Batting!$D$2:$D$5000,B12)+SUMIFS(Batting!$M$2:$M$5000,Batting!$E$2:$E$5000,A12,Batting!$D$2:$D$5000,B12))/C12,"Insufficient Data")</f>
        <v/>
      </c>
      <c r="E12" s="25">
        <f>IFERROR((SUMIFS(Batting!$I$2:$I$5000,Batting!$E$2:$E$5000,A12,Batting!$D$2:$D$5000,B12)+SUMIFS(Batting!$J$2:$J$5000,Batting!$E$2:$E$5000,A12,Batting!$D$2:$D$5000,B12)*2+SUMIFS(Batting!$K$2:$K$5000,Batting!$E$2:$E$5000,A12,Batting!$D$2:$D$5000,B12)*3+SUMIFS(Batting!$L$2:$L$5000,Batting!$E$2:$E$5000,A12,Batting!$D$2:$D$5000,B12)*4)/SUMIFS(Batting!$G$2:$G$5000,Batting!$E$2:$E$5000,A12,Batting!$D$2:$D$5000,B12),"Insufficient Data")</f>
        <v/>
      </c>
      <c r="F12" s="26">
        <f>IFERROR(SUMIFS(Batting!$N$2:$N$5000,Batting!$E$2:$E$5000,A12,Batting!$D$2:$D$5000,B12)/SUMIFS(Batting!$H$2:$H$5000,Batting!$E$2:$E$5000,A12,Batting!$D$2:$D$5000,B12),"Insufficient Data")</f>
        <v/>
      </c>
      <c r="G12" s="27">
        <f>IFERROR(SUMIFS(Batting!$O$2:$O$5000,Batting!$E$2:$E$5000,A12,Batting!$D$2:$D$5000,B12)/C12,"Insufficient Data")</f>
        <v/>
      </c>
      <c r="H12" s="8">
        <f>SUMIFS(Batting!$J$2:$J$5000,Batting!$E$2:$E$5000,A12,Batting!$D$2:$D$5000,B12)+SUMIFS(Batting!$K$2:$K$5000,Batting!$E$2:$E$5000,A12,Batting!$D$2:$D$5000,B12)+SUMIFS(Batting!$L$2:$L$5000,Batting!$E$2:$E$5000,A12,Batting!$D$2:$D$5000,B12)</f>
        <v/>
      </c>
      <c r="I12" s="28">
        <f>IFERROR((D12*0.4+E12*0.3+F12*0.15+(1-G12)*0.15)*10,"Insufficient Data")</f>
        <v/>
      </c>
      <c r="J12" s="8">
        <f>IF(I12="Insufficient Data","Insufficient Data",IF(I12&gt;=8,"🔴 ELITE",IF(I12&gt;=6.5,"🟠 HIGH",IF(I12&gt;=5,"🟡 MEDIUM","⚪ ROLE PLAYER"))))</f>
        <v/>
      </c>
      <c r="K12" s="8">
        <f>IF(C12&lt;15,"Insufficient PA",CONCAT(IF(D12&gt;=0.45,"ELITE OBP | ",""),IF(H12&gt;=3,"POWER | ",""),IF(F12&gt;=1.15,"ELITE Clutch | ",""),IF(G12&lt;=0.15,"Elite Contact","")))</f>
        <v/>
      </c>
      <c r="L12" s="8">
        <f>IF(I12="Insufficient Data","",IF(D12&gt;=0.55,"1-2",IF(F12&gt;=1.1,"3-5",IF(D12&gt;=0.4,"6-7","8-9"))))</f>
        <v/>
      </c>
    </row>
    <row r="13">
      <c r="A13" s="24" t="inlineStr">
        <is>
          <t>A Contreras</t>
        </is>
      </c>
      <c r="B13" s="24" t="inlineStr">
        <is>
          <t>RVRH</t>
        </is>
      </c>
      <c r="C13" s="8">
        <f>SUMIFS(Batting!$F$2:$F$5000,Batting!$E$2:$E$5000,A13,Batting!$D$2:$D$5000,B13)</f>
        <v/>
      </c>
      <c r="D13" s="25">
        <f>IFERROR((SUMIFS(Batting!$H$2:$H$5000,Batting!$E$2:$E$5000,A13,Batting!$D$2:$D$5000,B13)+SUMIFS(Batting!$L$2:$L$5000,Batting!$E$2:$E$5000,A13,Batting!$D$2:$D$5000,B13)+SUMIFS(Batting!$M$2:$M$5000,Batting!$E$2:$E$5000,A13,Batting!$D$2:$D$5000,B13))/C13,"Insufficient Data")</f>
        <v/>
      </c>
      <c r="E13" s="25">
        <f>IFERROR((SUMIFS(Batting!$I$2:$I$5000,Batting!$E$2:$E$5000,A13,Batting!$D$2:$D$5000,B13)+SUMIFS(Batting!$J$2:$J$5000,Batting!$E$2:$E$5000,A13,Batting!$D$2:$D$5000,B13)*2+SUMIFS(Batting!$K$2:$K$5000,Batting!$E$2:$E$5000,A13,Batting!$D$2:$D$5000,B13)*3+SUMIFS(Batting!$L$2:$L$5000,Batting!$E$2:$E$5000,A13,Batting!$D$2:$D$5000,B13)*4)/SUMIFS(Batting!$G$2:$G$5000,Batting!$E$2:$E$5000,A13,Batting!$D$2:$D$5000,B13),"Insufficient Data")</f>
        <v/>
      </c>
      <c r="F13" s="26">
        <f>IFERROR(SUMIFS(Batting!$N$2:$N$5000,Batting!$E$2:$E$5000,A13,Batting!$D$2:$D$5000,B13)/SUMIFS(Batting!$H$2:$H$5000,Batting!$E$2:$E$5000,A13,Batting!$D$2:$D$5000,B13),"Insufficient Data")</f>
        <v/>
      </c>
      <c r="G13" s="27">
        <f>IFERROR(SUMIFS(Batting!$O$2:$O$5000,Batting!$E$2:$E$5000,A13,Batting!$D$2:$D$5000,B13)/C13,"Insufficient Data")</f>
        <v/>
      </c>
      <c r="H13" s="8">
        <f>SUMIFS(Batting!$J$2:$J$5000,Batting!$E$2:$E$5000,A13,Batting!$D$2:$D$5000,B13)+SUMIFS(Batting!$K$2:$K$5000,Batting!$E$2:$E$5000,A13,Batting!$D$2:$D$5000,B13)+SUMIFS(Batting!$L$2:$L$5000,Batting!$E$2:$E$5000,A13,Batting!$D$2:$D$5000,B13)</f>
        <v/>
      </c>
      <c r="I13" s="28">
        <f>IFERROR((D13*0.4+E13*0.3+F13*0.15+(1-G13)*0.15)*10,"Insufficient Data")</f>
        <v/>
      </c>
      <c r="J13" s="8">
        <f>IF(I13="Insufficient Data","Insufficient Data",IF(I13&gt;=8,"🔴 ELITE",IF(I13&gt;=6.5,"🟠 HIGH",IF(I13&gt;=5,"🟡 MEDIUM","⚪ ROLE PLAYER"))))</f>
        <v/>
      </c>
      <c r="K13" s="8">
        <f>IF(C13&lt;15,"Insufficient PA",CONCAT(IF(D13&gt;=0.45,"ELITE OBP | ",""),IF(H13&gt;=3,"POWER | ",""),IF(F13&gt;=1.15,"ELITE Clutch | ",""),IF(G13&lt;=0.15,"Elite Contact","")))</f>
        <v/>
      </c>
      <c r="L13" s="8">
        <f>IF(I13="Insufficient Data","",IF(D13&gt;=0.55,"1-2",IF(F13&gt;=1.1,"3-5",IF(D13&gt;=0.4,"6-7","8-9"))))</f>
        <v/>
      </c>
    </row>
    <row r="14">
      <c r="A14" s="24" t="inlineStr">
        <is>
          <t>E McCoy</t>
        </is>
      </c>
      <c r="B14" s="24" t="inlineStr">
        <is>
          <t>RVRH</t>
        </is>
      </c>
      <c r="C14" s="8">
        <f>SUMIFS(Batting!$F$2:$F$5000,Batting!$E$2:$E$5000,A14,Batting!$D$2:$D$5000,B14)</f>
        <v/>
      </c>
      <c r="D14" s="25">
        <f>IFERROR((SUMIFS(Batting!$H$2:$H$5000,Batting!$E$2:$E$5000,A14,Batting!$D$2:$D$5000,B14)+SUMIFS(Batting!$L$2:$L$5000,Batting!$E$2:$E$5000,A14,Batting!$D$2:$D$5000,B14)+SUMIFS(Batting!$M$2:$M$5000,Batting!$E$2:$E$5000,A14,Batting!$D$2:$D$5000,B14))/C14,"Insufficient Data")</f>
        <v/>
      </c>
      <c r="E14" s="25">
        <f>IFERROR((SUMIFS(Batting!$I$2:$I$5000,Batting!$E$2:$E$5000,A14,Batting!$D$2:$D$5000,B14)+SUMIFS(Batting!$J$2:$J$5000,Batting!$E$2:$E$5000,A14,Batting!$D$2:$D$5000,B14)*2+SUMIFS(Batting!$K$2:$K$5000,Batting!$E$2:$E$5000,A14,Batting!$D$2:$D$5000,B14)*3+SUMIFS(Batting!$L$2:$L$5000,Batting!$E$2:$E$5000,A14,Batting!$D$2:$D$5000,B14)*4)/SUMIFS(Batting!$G$2:$G$5000,Batting!$E$2:$E$5000,A14,Batting!$D$2:$D$5000,B14),"Insufficient Data")</f>
        <v/>
      </c>
      <c r="F14" s="26">
        <f>IFERROR(SUMIFS(Batting!$N$2:$N$5000,Batting!$E$2:$E$5000,A14,Batting!$D$2:$D$5000,B14)/SUMIFS(Batting!$H$2:$H$5000,Batting!$E$2:$E$5000,A14,Batting!$D$2:$D$5000,B14),"Insufficient Data")</f>
        <v/>
      </c>
      <c r="G14" s="27">
        <f>IFERROR(SUMIFS(Batting!$O$2:$O$5000,Batting!$E$2:$E$5000,A14,Batting!$D$2:$D$5000,B14)/C14,"Insufficient Data")</f>
        <v/>
      </c>
      <c r="H14" s="8">
        <f>SUMIFS(Batting!$J$2:$J$5000,Batting!$E$2:$E$5000,A14,Batting!$D$2:$D$5000,B14)+SUMIFS(Batting!$K$2:$K$5000,Batting!$E$2:$E$5000,A14,Batting!$D$2:$D$5000,B14)+SUMIFS(Batting!$L$2:$L$5000,Batting!$E$2:$E$5000,A14,Batting!$D$2:$D$5000,B14)</f>
        <v/>
      </c>
      <c r="I14" s="28">
        <f>IFERROR((D14*0.4+E14*0.3+F14*0.15+(1-G14)*0.15)*10,"Insufficient Data")</f>
        <v/>
      </c>
      <c r="J14" s="8">
        <f>IF(I14="Insufficient Data","Insufficient Data",IF(I14&gt;=8,"🔴 ELITE",IF(I14&gt;=6.5,"🟠 HIGH",IF(I14&gt;=5,"🟡 MEDIUM","⚪ ROLE PLAYER"))))</f>
        <v/>
      </c>
      <c r="K14" s="8">
        <f>IF(C14&lt;15,"Insufficient PA",CONCAT(IF(D14&gt;=0.45,"ELITE OBP | ",""),IF(H14&gt;=3,"POWER | ",""),IF(F14&gt;=1.15,"ELITE Clutch | ",""),IF(G14&lt;=0.15,"Elite Contact","")))</f>
        <v/>
      </c>
      <c r="L14" s="8">
        <f>IF(I14="Insufficient Data","",IF(D14&gt;=0.55,"1-2",IF(F14&gt;=1.1,"3-5",IF(D14&gt;=0.4,"6-7","8-9"))))</f>
        <v/>
      </c>
    </row>
    <row r="15">
      <c r="A15" s="24" t="inlineStr">
        <is>
          <t>C Nichols</t>
        </is>
      </c>
      <c r="B15" s="24" t="inlineStr">
        <is>
          <t>RVRH</t>
        </is>
      </c>
      <c r="C15" s="8">
        <f>SUMIFS(Batting!$F$2:$F$5000,Batting!$E$2:$E$5000,A15,Batting!$D$2:$D$5000,B15)</f>
        <v/>
      </c>
      <c r="D15" s="25">
        <f>IFERROR((SUMIFS(Batting!$H$2:$H$5000,Batting!$E$2:$E$5000,A15,Batting!$D$2:$D$5000,B15)+SUMIFS(Batting!$L$2:$L$5000,Batting!$E$2:$E$5000,A15,Batting!$D$2:$D$5000,B15)+SUMIFS(Batting!$M$2:$M$5000,Batting!$E$2:$E$5000,A15,Batting!$D$2:$D$5000,B15))/C15,"Insufficient Data")</f>
        <v/>
      </c>
      <c r="E15" s="25">
        <f>IFERROR((SUMIFS(Batting!$I$2:$I$5000,Batting!$E$2:$E$5000,A15,Batting!$D$2:$D$5000,B15)+SUMIFS(Batting!$J$2:$J$5000,Batting!$E$2:$E$5000,A15,Batting!$D$2:$D$5000,B15)*2+SUMIFS(Batting!$K$2:$K$5000,Batting!$E$2:$E$5000,A15,Batting!$D$2:$D$5000,B15)*3+SUMIFS(Batting!$L$2:$L$5000,Batting!$E$2:$E$5000,A15,Batting!$D$2:$D$5000,B15)*4)/SUMIFS(Batting!$G$2:$G$5000,Batting!$E$2:$E$5000,A15,Batting!$D$2:$D$5000,B15),"Insufficient Data")</f>
        <v/>
      </c>
      <c r="F15" s="26">
        <f>IFERROR(SUMIFS(Batting!$N$2:$N$5000,Batting!$E$2:$E$5000,A15,Batting!$D$2:$D$5000,B15)/SUMIFS(Batting!$H$2:$H$5000,Batting!$E$2:$E$5000,A15,Batting!$D$2:$D$5000,B15),"Insufficient Data")</f>
        <v/>
      </c>
      <c r="G15" s="27">
        <f>IFERROR(SUMIFS(Batting!$O$2:$O$5000,Batting!$E$2:$E$5000,A15,Batting!$D$2:$D$5000,B15)/C15,"Insufficient Data")</f>
        <v/>
      </c>
      <c r="H15" s="8">
        <f>SUMIFS(Batting!$J$2:$J$5000,Batting!$E$2:$E$5000,A15,Batting!$D$2:$D$5000,B15)+SUMIFS(Batting!$K$2:$K$5000,Batting!$E$2:$E$5000,A15,Batting!$D$2:$D$5000,B15)+SUMIFS(Batting!$L$2:$L$5000,Batting!$E$2:$E$5000,A15,Batting!$D$2:$D$5000,B15)</f>
        <v/>
      </c>
      <c r="I15" s="28">
        <f>IFERROR((D15*0.4+E15*0.3+F15*0.15+(1-G15)*0.15)*10,"Insufficient Data")</f>
        <v/>
      </c>
      <c r="J15" s="8">
        <f>IF(I15="Insufficient Data","Insufficient Data",IF(I15&gt;=8,"🔴 ELITE",IF(I15&gt;=6.5,"🟠 HIGH",IF(I15&gt;=5,"🟡 MEDIUM","⚪ ROLE PLAYER"))))</f>
        <v/>
      </c>
      <c r="K15" s="8">
        <f>IF(C15&lt;15,"Insufficient PA",CONCAT(IF(D15&gt;=0.45,"ELITE OBP | ",""),IF(H15&gt;=3,"POWER | ",""),IF(F15&gt;=1.15,"ELITE Clutch | ",""),IF(G15&lt;=0.15,"Elite Contact","")))</f>
        <v/>
      </c>
      <c r="L15" s="8">
        <f>IF(I15="Insufficient Data","",IF(D15&gt;=0.55,"1-2",IF(F15&gt;=1.1,"3-5",IF(D15&gt;=0.4,"6-7","8-9"))))</f>
        <v/>
      </c>
    </row>
    <row r="16">
      <c r="A16" s="24" t="inlineStr">
        <is>
          <t>R Ronayne</t>
        </is>
      </c>
      <c r="B16" s="24" t="inlineStr">
        <is>
          <t>RVRH</t>
        </is>
      </c>
      <c r="C16" s="8">
        <f>SUMIFS(Batting!$F$2:$F$5000,Batting!$E$2:$E$5000,A16,Batting!$D$2:$D$5000,B16)</f>
        <v/>
      </c>
      <c r="D16" s="25">
        <f>IFERROR((SUMIFS(Batting!$H$2:$H$5000,Batting!$E$2:$E$5000,A16,Batting!$D$2:$D$5000,B16)+SUMIFS(Batting!$L$2:$L$5000,Batting!$E$2:$E$5000,A16,Batting!$D$2:$D$5000,B16)+SUMIFS(Batting!$M$2:$M$5000,Batting!$E$2:$E$5000,A16,Batting!$D$2:$D$5000,B16))/C16,"Insufficient Data")</f>
        <v/>
      </c>
      <c r="E16" s="25">
        <f>IFERROR((SUMIFS(Batting!$I$2:$I$5000,Batting!$E$2:$E$5000,A16,Batting!$D$2:$D$5000,B16)+SUMIFS(Batting!$J$2:$J$5000,Batting!$E$2:$E$5000,A16,Batting!$D$2:$D$5000,B16)*2+SUMIFS(Batting!$K$2:$K$5000,Batting!$E$2:$E$5000,A16,Batting!$D$2:$D$5000,B16)*3+SUMIFS(Batting!$L$2:$L$5000,Batting!$E$2:$E$5000,A16,Batting!$D$2:$D$5000,B16)*4)/SUMIFS(Batting!$G$2:$G$5000,Batting!$E$2:$E$5000,A16,Batting!$D$2:$D$5000,B16),"Insufficient Data")</f>
        <v/>
      </c>
      <c r="F16" s="26">
        <f>IFERROR(SUMIFS(Batting!$N$2:$N$5000,Batting!$E$2:$E$5000,A16,Batting!$D$2:$D$5000,B16)/SUMIFS(Batting!$H$2:$H$5000,Batting!$E$2:$E$5000,A16,Batting!$D$2:$D$5000,B16),"Insufficient Data")</f>
        <v/>
      </c>
      <c r="G16" s="27">
        <f>IFERROR(SUMIFS(Batting!$O$2:$O$5000,Batting!$E$2:$E$5000,A16,Batting!$D$2:$D$5000,B16)/C16,"Insufficient Data")</f>
        <v/>
      </c>
      <c r="H16" s="8">
        <f>SUMIFS(Batting!$J$2:$J$5000,Batting!$E$2:$E$5000,A16,Batting!$D$2:$D$5000,B16)+SUMIFS(Batting!$K$2:$K$5000,Batting!$E$2:$E$5000,A16,Batting!$D$2:$D$5000,B16)+SUMIFS(Batting!$L$2:$L$5000,Batting!$E$2:$E$5000,A16,Batting!$D$2:$D$5000,B16)</f>
        <v/>
      </c>
      <c r="I16" s="28">
        <f>IFERROR((D16*0.4+E16*0.3+F16*0.15+(1-G16)*0.15)*10,"Insufficient Data")</f>
        <v/>
      </c>
      <c r="J16" s="8">
        <f>IF(I16="Insufficient Data","Insufficient Data",IF(I16&gt;=8,"🔴 ELITE",IF(I16&gt;=6.5,"🟠 HIGH",IF(I16&gt;=5,"🟡 MEDIUM","⚪ ROLE PLAYER"))))</f>
        <v/>
      </c>
      <c r="K16" s="8">
        <f>IF(C16&lt;15,"Insufficient PA",CONCAT(IF(D16&gt;=0.45,"ELITE OBP | ",""),IF(H16&gt;=3,"POWER | ",""),IF(F16&gt;=1.15,"ELITE Clutch | ",""),IF(G16&lt;=0.15,"Elite Contact","")))</f>
        <v/>
      </c>
      <c r="L16" s="8">
        <f>IF(I16="Insufficient Data","",IF(D16&gt;=0.55,"1-2",IF(F16&gt;=1.1,"3-5",IF(D16&gt;=0.4,"6-7","8-9"))))</f>
        <v/>
      </c>
    </row>
    <row r="17">
      <c r="A17" s="24" t="inlineStr">
        <is>
          <t>J Jenkins</t>
        </is>
      </c>
      <c r="B17" s="24" t="inlineStr">
        <is>
          <t>RVRH</t>
        </is>
      </c>
      <c r="C17" s="8">
        <f>SUMIFS(Batting!$F$2:$F$5000,Batting!$E$2:$E$5000,A17,Batting!$D$2:$D$5000,B17)</f>
        <v/>
      </c>
      <c r="D17" s="25">
        <f>IFERROR((SUMIFS(Batting!$H$2:$H$5000,Batting!$E$2:$E$5000,A17,Batting!$D$2:$D$5000,B17)+SUMIFS(Batting!$L$2:$L$5000,Batting!$E$2:$E$5000,A17,Batting!$D$2:$D$5000,B17)+SUMIFS(Batting!$M$2:$M$5000,Batting!$E$2:$E$5000,A17,Batting!$D$2:$D$5000,B17))/C17,"Insufficient Data")</f>
        <v/>
      </c>
      <c r="E17" s="25">
        <f>IFERROR((SUMIFS(Batting!$I$2:$I$5000,Batting!$E$2:$E$5000,A17,Batting!$D$2:$D$5000,B17)+SUMIFS(Batting!$J$2:$J$5000,Batting!$E$2:$E$5000,A17,Batting!$D$2:$D$5000,B17)*2+SUMIFS(Batting!$K$2:$K$5000,Batting!$E$2:$E$5000,A17,Batting!$D$2:$D$5000,B17)*3+SUMIFS(Batting!$L$2:$L$5000,Batting!$E$2:$E$5000,A17,Batting!$D$2:$D$5000,B17)*4)/SUMIFS(Batting!$G$2:$G$5000,Batting!$E$2:$E$5000,A17,Batting!$D$2:$D$5000,B17),"Insufficient Data")</f>
        <v/>
      </c>
      <c r="F17" s="26">
        <f>IFERROR(SUMIFS(Batting!$N$2:$N$5000,Batting!$E$2:$E$5000,A17,Batting!$D$2:$D$5000,B17)/SUMIFS(Batting!$H$2:$H$5000,Batting!$E$2:$E$5000,A17,Batting!$D$2:$D$5000,B17),"Insufficient Data")</f>
        <v/>
      </c>
      <c r="G17" s="27">
        <f>IFERROR(SUMIFS(Batting!$O$2:$O$5000,Batting!$E$2:$E$5000,A17,Batting!$D$2:$D$5000,B17)/C17,"Insufficient Data")</f>
        <v/>
      </c>
      <c r="H17" s="8">
        <f>SUMIFS(Batting!$J$2:$J$5000,Batting!$E$2:$E$5000,A17,Batting!$D$2:$D$5000,B17)+SUMIFS(Batting!$K$2:$K$5000,Batting!$E$2:$E$5000,A17,Batting!$D$2:$D$5000,B17)+SUMIFS(Batting!$L$2:$L$5000,Batting!$E$2:$E$5000,A17,Batting!$D$2:$D$5000,B17)</f>
        <v/>
      </c>
      <c r="I17" s="28">
        <f>IFERROR((D17*0.4+E17*0.3+F17*0.15+(1-G17)*0.15)*10,"Insufficient Data")</f>
        <v/>
      </c>
      <c r="J17" s="8">
        <f>IF(I17="Insufficient Data","Insufficient Data",IF(I17&gt;=8,"🔴 ELITE",IF(I17&gt;=6.5,"🟠 HIGH",IF(I17&gt;=5,"🟡 MEDIUM","⚪ ROLE PLAYER"))))</f>
        <v/>
      </c>
      <c r="K17" s="8">
        <f>IF(C17&lt;15,"Insufficient PA",CONCAT(IF(D17&gt;=0.45,"ELITE OBP | ",""),IF(H17&gt;=3,"POWER | ",""),IF(F17&gt;=1.15,"ELITE Clutch | ",""),IF(G17&lt;=0.15,"Elite Contact","")))</f>
        <v/>
      </c>
      <c r="L17" s="8">
        <f>IF(I17="Insufficient Data","",IF(D17&gt;=0.55,"1-2",IF(F17&gt;=1.1,"3-5",IF(D17&gt;=0.4,"6-7","8-9"))))</f>
        <v/>
      </c>
    </row>
    <row r="18">
      <c r="A18" s="24" t="inlineStr">
        <is>
          <t>B Bixby</t>
        </is>
      </c>
      <c r="B18" s="24" t="inlineStr">
        <is>
          <t>RVRH</t>
        </is>
      </c>
      <c r="C18" s="8">
        <f>SUMIFS(Batting!$F$2:$F$5000,Batting!$E$2:$E$5000,A18,Batting!$D$2:$D$5000,B18)</f>
        <v/>
      </c>
      <c r="D18" s="25">
        <f>IFERROR((SUMIFS(Batting!$H$2:$H$5000,Batting!$E$2:$E$5000,A18,Batting!$D$2:$D$5000,B18)+SUMIFS(Batting!$L$2:$L$5000,Batting!$E$2:$E$5000,A18,Batting!$D$2:$D$5000,B18)+SUMIFS(Batting!$M$2:$M$5000,Batting!$E$2:$E$5000,A18,Batting!$D$2:$D$5000,B18))/C18,"Insufficient Data")</f>
        <v/>
      </c>
      <c r="E18" s="25">
        <f>IFERROR((SUMIFS(Batting!$I$2:$I$5000,Batting!$E$2:$E$5000,A18,Batting!$D$2:$D$5000,B18)+SUMIFS(Batting!$J$2:$J$5000,Batting!$E$2:$E$5000,A18,Batting!$D$2:$D$5000,B18)*2+SUMIFS(Batting!$K$2:$K$5000,Batting!$E$2:$E$5000,A18,Batting!$D$2:$D$5000,B18)*3+SUMIFS(Batting!$L$2:$L$5000,Batting!$E$2:$E$5000,A18,Batting!$D$2:$D$5000,B18)*4)/SUMIFS(Batting!$G$2:$G$5000,Batting!$E$2:$E$5000,A18,Batting!$D$2:$D$5000,B18),"Insufficient Data")</f>
        <v/>
      </c>
      <c r="F18" s="26">
        <f>IFERROR(SUMIFS(Batting!$N$2:$N$5000,Batting!$E$2:$E$5000,A18,Batting!$D$2:$D$5000,B18)/SUMIFS(Batting!$H$2:$H$5000,Batting!$E$2:$E$5000,A18,Batting!$D$2:$D$5000,B18),"Insufficient Data")</f>
        <v/>
      </c>
      <c r="G18" s="27">
        <f>IFERROR(SUMIFS(Batting!$O$2:$O$5000,Batting!$E$2:$E$5000,A18,Batting!$D$2:$D$5000,B18)/C18,"Insufficient Data")</f>
        <v/>
      </c>
      <c r="H18" s="8">
        <f>SUMIFS(Batting!$J$2:$J$5000,Batting!$E$2:$E$5000,A18,Batting!$D$2:$D$5000,B18)+SUMIFS(Batting!$K$2:$K$5000,Batting!$E$2:$E$5000,A18,Batting!$D$2:$D$5000,B18)+SUMIFS(Batting!$L$2:$L$5000,Batting!$E$2:$E$5000,A18,Batting!$D$2:$D$5000,B18)</f>
        <v/>
      </c>
      <c r="I18" s="28">
        <f>IFERROR((D18*0.4+E18*0.3+F18*0.15+(1-G18)*0.15)*10,"Insufficient Data")</f>
        <v/>
      </c>
      <c r="J18" s="8">
        <f>IF(I18="Insufficient Data","Insufficient Data",IF(I18&gt;=8,"🔴 ELITE",IF(I18&gt;=6.5,"🟠 HIGH",IF(I18&gt;=5,"🟡 MEDIUM","⚪ ROLE PLAYER"))))</f>
        <v/>
      </c>
      <c r="K18" s="8">
        <f>IF(C18&lt;15,"Insufficient PA",CONCAT(IF(D18&gt;=0.45,"ELITE OBP | ",""),IF(H18&gt;=3,"POWER | ",""),IF(F18&gt;=1.15,"ELITE Clutch | ",""),IF(G18&lt;=0.15,"Elite Contact","")))</f>
        <v/>
      </c>
      <c r="L18" s="8">
        <f>IF(I18="Insufficient Data","",IF(D18&gt;=0.55,"1-2",IF(F18&gt;=1.1,"3-5",IF(D18&gt;=0.4,"6-7","8-9"))))</f>
        <v/>
      </c>
    </row>
    <row r="19">
      <c r="A19" s="24" t="inlineStr">
        <is>
          <t>E Skolkin</t>
        </is>
      </c>
      <c r="B19" s="24" t="inlineStr">
        <is>
          <t>RVRH</t>
        </is>
      </c>
      <c r="C19" s="8">
        <f>SUMIFS(Batting!$F$2:$F$5000,Batting!$E$2:$E$5000,A19,Batting!$D$2:$D$5000,B19)</f>
        <v/>
      </c>
      <c r="D19" s="25">
        <f>IFERROR((SUMIFS(Batting!$H$2:$H$5000,Batting!$E$2:$E$5000,A19,Batting!$D$2:$D$5000,B19)+SUMIFS(Batting!$L$2:$L$5000,Batting!$E$2:$E$5000,A19,Batting!$D$2:$D$5000,B19)+SUMIFS(Batting!$M$2:$M$5000,Batting!$E$2:$E$5000,A19,Batting!$D$2:$D$5000,B19))/C19,"Insufficient Data")</f>
        <v/>
      </c>
      <c r="E19" s="25">
        <f>IFERROR((SUMIFS(Batting!$I$2:$I$5000,Batting!$E$2:$E$5000,A19,Batting!$D$2:$D$5000,B19)+SUMIFS(Batting!$J$2:$J$5000,Batting!$E$2:$E$5000,A19,Batting!$D$2:$D$5000,B19)*2+SUMIFS(Batting!$K$2:$K$5000,Batting!$E$2:$E$5000,A19,Batting!$D$2:$D$5000,B19)*3+SUMIFS(Batting!$L$2:$L$5000,Batting!$E$2:$E$5000,A19,Batting!$D$2:$D$5000,B19)*4)/SUMIFS(Batting!$G$2:$G$5000,Batting!$E$2:$E$5000,A19,Batting!$D$2:$D$5000,B19),"Insufficient Data")</f>
        <v/>
      </c>
      <c r="F19" s="26">
        <f>IFERROR(SUMIFS(Batting!$N$2:$N$5000,Batting!$E$2:$E$5000,A19,Batting!$D$2:$D$5000,B19)/SUMIFS(Batting!$H$2:$H$5000,Batting!$E$2:$E$5000,A19,Batting!$D$2:$D$5000,B19),"Insufficient Data")</f>
        <v/>
      </c>
      <c r="G19" s="27">
        <f>IFERROR(SUMIFS(Batting!$O$2:$O$5000,Batting!$E$2:$E$5000,A19,Batting!$D$2:$D$5000,B19)/C19,"Insufficient Data")</f>
        <v/>
      </c>
      <c r="H19" s="8">
        <f>SUMIFS(Batting!$J$2:$J$5000,Batting!$E$2:$E$5000,A19,Batting!$D$2:$D$5000,B19)+SUMIFS(Batting!$K$2:$K$5000,Batting!$E$2:$E$5000,A19,Batting!$D$2:$D$5000,B19)+SUMIFS(Batting!$L$2:$L$5000,Batting!$E$2:$E$5000,A19,Batting!$D$2:$D$5000,B19)</f>
        <v/>
      </c>
      <c r="I19" s="28">
        <f>IFERROR((D19*0.4+E19*0.3+F19*0.15+(1-G19)*0.15)*10,"Insufficient Data")</f>
        <v/>
      </c>
      <c r="J19" s="8">
        <f>IF(I19="Insufficient Data","Insufficient Data",IF(I19&gt;=8,"🔴 ELITE",IF(I19&gt;=6.5,"🟠 HIGH",IF(I19&gt;=5,"🟡 MEDIUM","⚪ ROLE PLAYER"))))</f>
        <v/>
      </c>
      <c r="K19" s="8">
        <f>IF(C19&lt;15,"Insufficient PA",CONCAT(IF(D19&gt;=0.45,"ELITE OBP | ",""),IF(H19&gt;=3,"POWER | ",""),IF(F19&gt;=1.15,"ELITE Clutch | ",""),IF(G19&lt;=0.15,"Elite Contact","")))</f>
        <v/>
      </c>
      <c r="L19" s="8">
        <f>IF(I19="Insufficient Data","",IF(D19&gt;=0.55,"1-2",IF(F19&gt;=1.1,"3-5",IF(D19&gt;=0.4,"6-7","8-9"))))</f>
        <v/>
      </c>
    </row>
    <row r="20">
      <c r="A20" s="24" t="inlineStr">
        <is>
          <t>L Tordella</t>
        </is>
      </c>
      <c r="B20" s="24" t="inlineStr">
        <is>
          <t>RVRH</t>
        </is>
      </c>
      <c r="C20" s="8">
        <f>SUMIFS(Batting!$F$2:$F$5000,Batting!$E$2:$E$5000,A20,Batting!$D$2:$D$5000,B20)</f>
        <v/>
      </c>
      <c r="D20" s="25">
        <f>IFERROR((SUMIFS(Batting!$H$2:$H$5000,Batting!$E$2:$E$5000,A20,Batting!$D$2:$D$5000,B20)+SUMIFS(Batting!$L$2:$L$5000,Batting!$E$2:$E$5000,A20,Batting!$D$2:$D$5000,B20)+SUMIFS(Batting!$M$2:$M$5000,Batting!$E$2:$E$5000,A20,Batting!$D$2:$D$5000,B20))/C20,"Insufficient Data")</f>
        <v/>
      </c>
      <c r="E20" s="25">
        <f>IFERROR((SUMIFS(Batting!$I$2:$I$5000,Batting!$E$2:$E$5000,A20,Batting!$D$2:$D$5000,B20)+SUMIFS(Batting!$J$2:$J$5000,Batting!$E$2:$E$5000,A20,Batting!$D$2:$D$5000,B20)*2+SUMIFS(Batting!$K$2:$K$5000,Batting!$E$2:$E$5000,A20,Batting!$D$2:$D$5000,B20)*3+SUMIFS(Batting!$L$2:$L$5000,Batting!$E$2:$E$5000,A20,Batting!$D$2:$D$5000,B20)*4)/SUMIFS(Batting!$G$2:$G$5000,Batting!$E$2:$E$5000,A20,Batting!$D$2:$D$5000,B20),"Insufficient Data")</f>
        <v/>
      </c>
      <c r="F20" s="26">
        <f>IFERROR(SUMIFS(Batting!$N$2:$N$5000,Batting!$E$2:$E$5000,A20,Batting!$D$2:$D$5000,B20)/SUMIFS(Batting!$H$2:$H$5000,Batting!$E$2:$E$5000,A20,Batting!$D$2:$D$5000,B20),"Insufficient Data")</f>
        <v/>
      </c>
      <c r="G20" s="27">
        <f>IFERROR(SUMIFS(Batting!$O$2:$O$5000,Batting!$E$2:$E$5000,A20,Batting!$D$2:$D$5000,B20)/C20,"Insufficient Data")</f>
        <v/>
      </c>
      <c r="H20" s="8">
        <f>SUMIFS(Batting!$J$2:$J$5000,Batting!$E$2:$E$5000,A20,Batting!$D$2:$D$5000,B20)+SUMIFS(Batting!$K$2:$K$5000,Batting!$E$2:$E$5000,A20,Batting!$D$2:$D$5000,B20)+SUMIFS(Batting!$L$2:$L$5000,Batting!$E$2:$E$5000,A20,Batting!$D$2:$D$5000,B20)</f>
        <v/>
      </c>
      <c r="I20" s="28">
        <f>IFERROR((D20*0.4+E20*0.3+F20*0.15+(1-G20)*0.15)*10,"Insufficient Data")</f>
        <v/>
      </c>
      <c r="J20" s="8">
        <f>IF(I20="Insufficient Data","Insufficient Data",IF(I20&gt;=8,"🔴 ELITE",IF(I20&gt;=6.5,"🟠 HIGH",IF(I20&gt;=5,"🟡 MEDIUM","⚪ ROLE PLAYER"))))</f>
        <v/>
      </c>
      <c r="K20" s="8">
        <f>IF(C20&lt;15,"Insufficient PA",CONCAT(IF(D20&gt;=0.45,"ELITE OBP | ",""),IF(H20&gt;=3,"POWER | ",""),IF(F20&gt;=1.15,"ELITE Clutch | ",""),IF(G20&lt;=0.15,"Elite Contact","")))</f>
        <v/>
      </c>
      <c r="L20" s="8">
        <f>IF(I20="Insufficient Data","",IF(D20&gt;=0.55,"1-2",IF(F20&gt;=1.1,"3-5",IF(D20&gt;=0.4,"6-7","8-9"))))</f>
        <v/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>
      <c r="A25" s="29" t="inlineStr">
        <is>
          <t>OPPONENT THREATS (Top 3 per team)</t>
        </is>
      </c>
    </row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mergeCells count="3">
    <mergeCell ref="A2:L2"/>
    <mergeCell ref="A1:L1"/>
    <mergeCell ref="A5:L5"/>
  </mergeCells>
  <conditionalFormatting sqref="J6:J24">
    <cfRule type="containsText" priority="1" operator="containsText" dxfId="0" text="ELITE">
      <formula>NOT(ISERROR(SEARCH(("ELITE"),(J6))))</formula>
    </cfRule>
    <cfRule type="containsText" priority="2" operator="containsText" dxfId="1" text="HIGH">
      <formula>NOT(ISERROR(SEARCH(("HIGH"),(J6))))</formula>
    </cfRule>
    <cfRule type="containsText" priority="3" operator="containsText" dxfId="4" text="MEDIUM">
      <formula>NOT(ISERROR(SEARCH(("MEDIUM"),(J6))))</formula>
    </cfRule>
  </conditionalFormatting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35" min="1" max="1"/>
    <col width="6" customWidth="1" style="35" min="2" max="4"/>
    <col width="8" customWidth="1" style="35" min="5" max="6"/>
    <col width="7" customWidth="1" style="35" min="7" max="8"/>
    <col width="10" customWidth="1" style="35" min="9" max="10"/>
    <col width="16" customWidth="1" style="35" min="11" max="11"/>
    <col width="38" customWidth="1" style="35" min="12" max="12"/>
    <col width="12" customWidth="1" style="35" min="13" max="13"/>
    <col width="8.710000000000001" customWidth="1" style="35" min="14" max="26"/>
  </cols>
  <sheetData>
    <row r="1">
      <c r="A1" s="14" t="inlineStr">
        <is>
          <t>PITCHER IMPACT ASSESSMENT - Who Can Shut You Down?</t>
        </is>
      </c>
    </row>
    <row r="2">
      <c r="A2" s="15" t="inlineStr">
        <is>
          <t>Scouts: Focus on ACE (🔴) and QUALITY (🟠) pitchers in game planning</t>
        </is>
      </c>
    </row>
    <row r="4">
      <c r="A4" s="22" t="inlineStr">
        <is>
          <t>Pitcher</t>
        </is>
      </c>
      <c r="B4" s="22" t="inlineStr">
        <is>
          <t>Team</t>
        </is>
      </c>
      <c r="C4" s="22" t="inlineStr">
        <is>
          <t>IP</t>
        </is>
      </c>
      <c r="D4" s="22" t="inlineStr">
        <is>
          <t>Apps</t>
        </is>
      </c>
      <c r="E4" s="22" t="inlineStr">
        <is>
          <t>K_per_9</t>
        </is>
      </c>
      <c r="F4" s="22" t="inlineStr">
        <is>
          <t>BB_per_9</t>
        </is>
      </c>
      <c r="G4" s="22" t="inlineStr">
        <is>
          <t>ERA</t>
        </is>
      </c>
      <c r="H4" s="22" t="inlineStr">
        <is>
          <t>WHIP</t>
        </is>
      </c>
      <c r="I4" s="22" t="inlineStr">
        <is>
          <t>IP_per_App</t>
        </is>
      </c>
      <c r="J4" s="22" t="inlineStr">
        <is>
          <t>Impact_Score</t>
        </is>
      </c>
      <c r="K4" s="22" t="inlineStr">
        <is>
          <t>Impact_Tier</t>
        </is>
      </c>
      <c r="L4" s="22" t="inlineStr">
        <is>
          <t>Scouting_Notes</t>
        </is>
      </c>
      <c r="M4" s="22" t="inlineStr">
        <is>
          <t>Role</t>
        </is>
      </c>
    </row>
    <row r="5">
      <c r="A5" s="23" t="inlineStr">
        <is>
          <t>FORMULA: Impact = (K/9×30%) + (Control×25%) + (ERA×25%) + (WHIP×20%)</t>
        </is>
      </c>
    </row>
    <row r="6">
      <c r="A6" s="24" t="inlineStr">
        <is>
          <t>R Walsh</t>
        </is>
      </c>
      <c r="B6" s="24" t="inlineStr">
        <is>
          <t>RVRH</t>
        </is>
      </c>
      <c r="C6" s="28">
        <f>SUMIFS(Pitching!$F$2:$F$5000,Pitching!$E$2:$E$5000,A6,Pitching!$D$2:$D$5000,B6)/3</f>
        <v/>
      </c>
      <c r="D6" s="8">
        <f>COUNTIFS(Pitching!$E$2:$E$5000,A6,Pitching!$D$2:$D$5000,B6)</f>
        <v/>
      </c>
      <c r="E6" s="26">
        <f>IFERROR((SUMIFS(Pitching!$P$2:$P$5000,Pitching!$E$2:$E$5000,A6,Pitching!$D$2:$D$5000,B6)/C6)*7,"Insufficient Data")</f>
        <v/>
      </c>
      <c r="F6" s="26">
        <f>IFERROR((SUMIFS(Pitching!$L$2:$L$5000,Pitching!$E$2:$E$5000,A6,Pitching!$D$2:$D$5000,B6)/C6)*7,"Insufficient Data")</f>
        <v/>
      </c>
      <c r="G6" s="26">
        <f>IFERROR((SUMIFS(Pitching!$Q$2:$Q$5000,Pitching!$E$2:$E$5000,A6,Pitching!$D$2:$D$5000,B6)*7)/C6,"Insufficient Data")</f>
        <v/>
      </c>
      <c r="H6" s="26">
        <f>IFERROR((SUMIFS(Pitching!$H$2:$H$5000,Pitching!$E$2:$E$5000,A6,Pitching!$D$2:$D$5000,B6)+SUMIFS(Pitching!$L$2:$L$5000,Pitching!$E$2:$E$5000,A6,Pitching!$D$2:$D$5000,B6))/C6,"Insufficient Data")</f>
        <v/>
      </c>
      <c r="I6" s="28">
        <f>IFERROR(C6/D6,"Insufficient Data")</f>
        <v/>
      </c>
      <c r="J6" s="28">
        <f>IFERROR((MIN(E6/15,1)*0.3+(1-MIN(F6/10,1))*0.25+(1-MIN(G6/15,1))*0.25+(1-MIN(H6/3,1))*0.2)*10,"Insufficient Data")</f>
        <v/>
      </c>
      <c r="K6" s="8">
        <f>IF(J6="Insufficient Data","Insufficient Data",IF(J6&gt;=8,"🔴 ACE",IF(J6&gt;=6.5,"🟠 QUALITY",IF(J6&gt;=5,"🟡 AVERAGE",IF(J6&gt;=3.5,"⚪ HITTABLE","🟢 BATTING PRACTICE")))))</f>
        <v/>
      </c>
      <c r="L6" s="8">
        <f>IF(C6&lt;3,"Insufficient IP",CONCAT(IF(E6&gt;=9,"POWER | ",""),IF(E6&gt;=7,IF(E6&lt;9,"Good K | ",""),""),IF(E6&lt;4,"Contact | ",""),IF(F6&lt;=2,"Elite cmd | ",""),IF(F6&lt;=3.5,IF(F6&gt;2,"Good ctrl | ",""),""),IF(F6&gt;=5,"⚠️ Control | ",""),IF(G6&lt;=2,"ELITE | ",""),IF(G6&lt;=3.5,IF(G6&gt;2,"Quality | ",""),""),IF(G6&gt;=6,"Hittable | ",""),IF(I6&gt;=4,"Workhorse","Short")))</f>
        <v/>
      </c>
      <c r="M6" s="8">
        <f>IF(I6="Insufficient Data","",IF(I6&gt;=3.5,"Starter",IF(I6&gt;=1.5,"Reliever","Setup/Closer")))</f>
        <v/>
      </c>
    </row>
    <row r="7">
      <c r="A7" s="24" t="inlineStr">
        <is>
          <t>H Zhang</t>
        </is>
      </c>
      <c r="B7" s="24" t="inlineStr">
        <is>
          <t>RVRH</t>
        </is>
      </c>
      <c r="C7" s="28">
        <f>SUMIFS(Pitching!$F$2:$F$5000,Pitching!$E$2:$E$5000,A7,Pitching!$D$2:$D$5000,B7)/3</f>
        <v/>
      </c>
      <c r="D7" s="8">
        <f>COUNTIFS(Pitching!$E$2:$E$5000,A7,Pitching!$D$2:$D$5000,B7)</f>
        <v/>
      </c>
      <c r="E7" s="26">
        <f>IFERROR((SUMIFS(Pitching!$P$2:$P$5000,Pitching!$E$2:$E$5000,A7,Pitching!$D$2:$D$5000,B7)/C7)*7,"Insufficient Data")</f>
        <v/>
      </c>
      <c r="F7" s="26">
        <f>IFERROR((SUMIFS(Pitching!$L$2:$L$5000,Pitching!$E$2:$E$5000,A7,Pitching!$D$2:$D$5000,B7)/C7)*7,"Insufficient Data")</f>
        <v/>
      </c>
      <c r="G7" s="26">
        <f>IFERROR((SUMIFS(Pitching!$Q$2:$Q$5000,Pitching!$E$2:$E$5000,A7,Pitching!$D$2:$D$5000,B7)*7)/C7,"Insufficient Data")</f>
        <v/>
      </c>
      <c r="H7" s="26">
        <f>IFERROR((SUMIFS(Pitching!$H$2:$H$5000,Pitching!$E$2:$E$5000,A7,Pitching!$D$2:$D$5000,B7)+SUMIFS(Pitching!$L$2:$L$5000,Pitching!$E$2:$E$5000,A7,Pitching!$D$2:$D$5000,B7))/C7,"Insufficient Data")</f>
        <v/>
      </c>
      <c r="I7" s="28">
        <f>IFERROR(C7/D7,"Insufficient Data")</f>
        <v/>
      </c>
      <c r="J7" s="28">
        <f>IFERROR((MIN(E7/15,1)*0.3+(1-MIN(F7/10,1))*0.25+(1-MIN(G7/15,1))*0.25+(1-MIN(H7/3,1))*0.2)*10,"Insufficient Data")</f>
        <v/>
      </c>
      <c r="K7" s="8">
        <f>IF(J7="Insufficient Data","Insufficient Data",IF(J7&gt;=8,"🔴 ACE",IF(J7&gt;=6.5,"🟠 QUALITY",IF(J7&gt;=5,"🟡 AVERAGE",IF(J7&gt;=3.5,"⚪ HITTABLE","🟢 BATTING PRACTICE")))))</f>
        <v/>
      </c>
      <c r="L7" s="8">
        <f>IF(C7&lt;3,"Insufficient IP",CONCAT(IF(E7&gt;=9,"POWER | ",""),IF(E7&gt;=7,IF(E7&lt;9,"Good K | ",""),""),IF(E7&lt;4,"Contact | ",""),IF(F7&lt;=2,"Elite cmd | ",""),IF(F7&lt;=3.5,IF(F7&gt;2,"Good ctrl | ",""),""),IF(F7&gt;=5,"⚠️ Control | ",""),IF(G7&lt;=2,"ELITE | ",""),IF(G7&lt;=3.5,IF(G7&gt;2,"Quality | ",""),""),IF(G7&gt;=6,"Hittable | ",""),IF(I7&gt;=4,"Workhorse","Short")))</f>
        <v/>
      </c>
      <c r="M7" s="8">
        <f>IF(I7="Insufficient Data","",IF(I7&gt;=3.5,"Starter",IF(I7&gt;=1.5,"Reliever","Setup/Closer")))</f>
        <v/>
      </c>
    </row>
    <row r="8">
      <c r="A8" s="24" t="inlineStr">
        <is>
          <t>J Jenkins</t>
        </is>
      </c>
      <c r="B8" s="24" t="inlineStr">
        <is>
          <t>RVRH</t>
        </is>
      </c>
      <c r="C8" s="28">
        <f>SUMIFS(Pitching!$F$2:$F$5000,Pitching!$E$2:$E$5000,A8,Pitching!$D$2:$D$5000,B8)/3</f>
        <v/>
      </c>
      <c r="D8" s="8">
        <f>COUNTIFS(Pitching!$E$2:$E$5000,A8,Pitching!$D$2:$D$5000,B8)</f>
        <v/>
      </c>
      <c r="E8" s="26">
        <f>IFERROR((SUMIFS(Pitching!$P$2:$P$5000,Pitching!$E$2:$E$5000,A8,Pitching!$D$2:$D$5000,B8)/C8)*7,"Insufficient Data")</f>
        <v/>
      </c>
      <c r="F8" s="26">
        <f>IFERROR((SUMIFS(Pitching!$L$2:$L$5000,Pitching!$E$2:$E$5000,A8,Pitching!$D$2:$D$5000,B8)/C8)*7,"Insufficient Data")</f>
        <v/>
      </c>
      <c r="G8" s="26">
        <f>IFERROR((SUMIFS(Pitching!$Q$2:$Q$5000,Pitching!$E$2:$E$5000,A8,Pitching!$D$2:$D$5000,B8)*7)/C8,"Insufficient Data")</f>
        <v/>
      </c>
      <c r="H8" s="26">
        <f>IFERROR((SUMIFS(Pitching!$H$2:$H$5000,Pitching!$E$2:$E$5000,A8,Pitching!$D$2:$D$5000,B8)+SUMIFS(Pitching!$L$2:$L$5000,Pitching!$E$2:$E$5000,A8,Pitching!$D$2:$D$5000,B8))/C8,"Insufficient Data")</f>
        <v/>
      </c>
      <c r="I8" s="28">
        <f>IFERROR(C8/D8,"Insufficient Data")</f>
        <v/>
      </c>
      <c r="J8" s="28">
        <f>IFERROR((MIN(E8/15,1)*0.3+(1-MIN(F8/10,1))*0.25+(1-MIN(G8/15,1))*0.25+(1-MIN(H8/3,1))*0.2)*10,"Insufficient Data")</f>
        <v/>
      </c>
      <c r="K8" s="8">
        <f>IF(J8="Insufficient Data","Insufficient Data",IF(J8&gt;=8,"🔴 ACE",IF(J8&gt;=6.5,"🟠 QUALITY",IF(J8&gt;=5,"🟡 AVERAGE",IF(J8&gt;=3.5,"⚪ HITTABLE","🟢 BATTING PRACTICE")))))</f>
        <v/>
      </c>
      <c r="L8" s="8">
        <f>IF(C8&lt;3,"Insufficient IP",CONCAT(IF(E8&gt;=9,"POWER | ",""),IF(E8&gt;=7,IF(E8&lt;9,"Good K | ",""),""),IF(E8&lt;4,"Contact | ",""),IF(F8&lt;=2,"Elite cmd | ",""),IF(F8&lt;=3.5,IF(F8&gt;2,"Good ctrl | ",""),""),IF(F8&gt;=5,"⚠️ Control | ",""),IF(G8&lt;=2,"ELITE | ",""),IF(G8&lt;=3.5,IF(G8&gt;2,"Quality | ",""),""),IF(G8&gt;=6,"Hittable | ",""),IF(I8&gt;=4,"Workhorse","Short")))</f>
        <v/>
      </c>
      <c r="M8" s="8">
        <f>IF(I8="Insufficient Data","",IF(I8&gt;=3.5,"Starter",IF(I8&gt;=1.5,"Reliever","Setup/Closer")))</f>
        <v/>
      </c>
    </row>
    <row r="9">
      <c r="A9" s="24" t="inlineStr">
        <is>
          <t>E McCoy</t>
        </is>
      </c>
      <c r="B9" s="24" t="inlineStr">
        <is>
          <t>RVRH</t>
        </is>
      </c>
      <c r="C9" s="28">
        <f>SUMIFS(Pitching!$F$2:$F$5000,Pitching!$E$2:$E$5000,A9,Pitching!$D$2:$D$5000,B9)/3</f>
        <v/>
      </c>
      <c r="D9" s="8">
        <f>COUNTIFS(Pitching!$E$2:$E$5000,A9,Pitching!$D$2:$D$5000,B9)</f>
        <v/>
      </c>
      <c r="E9" s="26">
        <f>IFERROR((SUMIFS(Pitching!$P$2:$P$5000,Pitching!$E$2:$E$5000,A9,Pitching!$D$2:$D$5000,B9)/C9)*7,"Insufficient Data")</f>
        <v/>
      </c>
      <c r="F9" s="26">
        <f>IFERROR((SUMIFS(Pitching!$L$2:$L$5000,Pitching!$E$2:$E$5000,A9,Pitching!$D$2:$D$5000,B9)/C9)*7,"Insufficient Data")</f>
        <v/>
      </c>
      <c r="G9" s="26">
        <f>IFERROR((SUMIFS(Pitching!$Q$2:$Q$5000,Pitching!$E$2:$E$5000,A9,Pitching!$D$2:$D$5000,B9)*7)/C9,"Insufficient Data")</f>
        <v/>
      </c>
      <c r="H9" s="26">
        <f>IFERROR((SUMIFS(Pitching!$H$2:$H$5000,Pitching!$E$2:$E$5000,A9,Pitching!$D$2:$D$5000,B9)+SUMIFS(Pitching!$L$2:$L$5000,Pitching!$E$2:$E$5000,A9,Pitching!$D$2:$D$5000,B9))/C9,"Insufficient Data")</f>
        <v/>
      </c>
      <c r="I9" s="28">
        <f>IFERROR(C9/D9,"Insufficient Data")</f>
        <v/>
      </c>
      <c r="J9" s="28">
        <f>IFERROR((MIN(E9/15,1)*0.3+(1-MIN(F9/10,1))*0.25+(1-MIN(G9/15,1))*0.25+(1-MIN(H9/3,1))*0.2)*10,"Insufficient Data")</f>
        <v/>
      </c>
      <c r="K9" s="8">
        <f>IF(J9="Insufficient Data","Insufficient Data",IF(J9&gt;=8,"🔴 ACE",IF(J9&gt;=6.5,"🟠 QUALITY",IF(J9&gt;=5,"🟡 AVERAGE",IF(J9&gt;=3.5,"⚪ HITTABLE","🟢 BATTING PRACTICE")))))</f>
        <v/>
      </c>
      <c r="L9" s="8">
        <f>IF(C9&lt;3,"Insufficient IP",CONCAT(IF(E9&gt;=9,"POWER | ",""),IF(E9&gt;=7,IF(E9&lt;9,"Good K | ",""),""),IF(E9&lt;4,"Contact | ",""),IF(F9&lt;=2,"Elite cmd | ",""),IF(F9&lt;=3.5,IF(F9&gt;2,"Good ctrl | ",""),""),IF(F9&gt;=5,"⚠️ Control | ",""),IF(G9&lt;=2,"ELITE | ",""),IF(G9&lt;=3.5,IF(G9&gt;2,"Quality | ",""),""),IF(G9&gt;=6,"Hittable | ",""),IF(I9&gt;=4,"Workhorse","Short")))</f>
        <v/>
      </c>
      <c r="M9" s="8">
        <f>IF(I9="Insufficient Data","",IF(I9&gt;=3.5,"Starter",IF(I9&gt;=1.5,"Reliever","Setup/Closer")))</f>
        <v/>
      </c>
    </row>
    <row r="10">
      <c r="A10" s="24" t="inlineStr">
        <is>
          <t>C Reis</t>
        </is>
      </c>
      <c r="B10" s="24" t="inlineStr">
        <is>
          <t>RVRH</t>
        </is>
      </c>
      <c r="C10" s="28">
        <f>SUMIFS(Pitching!$F$2:$F$5000,Pitching!$E$2:$E$5000,A10,Pitching!$D$2:$D$5000,B10)/3</f>
        <v/>
      </c>
      <c r="D10" s="8">
        <f>COUNTIFS(Pitching!$E$2:$E$5000,A10,Pitching!$D$2:$D$5000,B10)</f>
        <v/>
      </c>
      <c r="E10" s="26">
        <f>IFERROR((SUMIFS(Pitching!$P$2:$P$5000,Pitching!$E$2:$E$5000,A10,Pitching!$D$2:$D$5000,B10)/C10)*7,"Insufficient Data")</f>
        <v/>
      </c>
      <c r="F10" s="26">
        <f>IFERROR((SUMIFS(Pitching!$L$2:$L$5000,Pitching!$E$2:$E$5000,A10,Pitching!$D$2:$D$5000,B10)/C10)*7,"Insufficient Data")</f>
        <v/>
      </c>
      <c r="G10" s="26">
        <f>IFERROR((SUMIFS(Pitching!$Q$2:$Q$5000,Pitching!$E$2:$E$5000,A10,Pitching!$D$2:$D$5000,B10)*7)/C10,"Insufficient Data")</f>
        <v/>
      </c>
      <c r="H10" s="26">
        <f>IFERROR((SUMIFS(Pitching!$H$2:$H$5000,Pitching!$E$2:$E$5000,A10,Pitching!$D$2:$D$5000,B10)+SUMIFS(Pitching!$L$2:$L$5000,Pitching!$E$2:$E$5000,A10,Pitching!$D$2:$D$5000,B10))/C10,"Insufficient Data")</f>
        <v/>
      </c>
      <c r="I10" s="28">
        <f>IFERROR(C10/D10,"Insufficient Data")</f>
        <v/>
      </c>
      <c r="J10" s="28">
        <f>IFERROR((MIN(E10/15,1)*0.3+(1-MIN(F10/10,1))*0.25+(1-MIN(G10/15,1))*0.25+(1-MIN(H10/3,1))*0.2)*10,"Insufficient Data")</f>
        <v/>
      </c>
      <c r="K10" s="8">
        <f>IF(J10="Insufficient Data","Insufficient Data",IF(J10&gt;=8,"🔴 ACE",IF(J10&gt;=6.5,"🟠 QUALITY",IF(J10&gt;=5,"🟡 AVERAGE",IF(J10&gt;=3.5,"⚪ HITTABLE","🟢 BATTING PRACTICE")))))</f>
        <v/>
      </c>
      <c r="L10" s="8">
        <f>IF(C10&lt;3,"Insufficient IP",CONCAT(IF(E10&gt;=9,"POWER | ",""),IF(E10&gt;=7,IF(E10&lt;9,"Good K | ",""),""),IF(E10&lt;4,"Contact | ",""),IF(F10&lt;=2,"Elite cmd | ",""),IF(F10&lt;=3.5,IF(F10&gt;2,"Good ctrl | ",""),""),IF(F10&gt;=5,"⚠️ Control | ",""),IF(G10&lt;=2,"ELITE | ",""),IF(G10&lt;=3.5,IF(G10&gt;2,"Quality | ",""),""),IF(G10&gt;=6,"Hittable | ",""),IF(I10&gt;=4,"Workhorse","Short")))</f>
        <v/>
      </c>
      <c r="M10" s="8">
        <f>IF(I10="Insufficient Data","",IF(I10&gt;=3.5,"Starter",IF(I10&gt;=1.5,"Reliever","Setup/Closer")))</f>
        <v/>
      </c>
    </row>
    <row r="11">
      <c r="A11" s="24" t="inlineStr">
        <is>
          <t>J Norwood</t>
        </is>
      </c>
      <c r="B11" s="24" t="inlineStr">
        <is>
          <t>RVRH</t>
        </is>
      </c>
      <c r="C11" s="28">
        <f>SUMIFS(Pitching!$F$2:$F$5000,Pitching!$E$2:$E$5000,A11,Pitching!$D$2:$D$5000,B11)/3</f>
        <v/>
      </c>
      <c r="D11" s="8">
        <f>COUNTIFS(Pitching!$E$2:$E$5000,A11,Pitching!$D$2:$D$5000,B11)</f>
        <v/>
      </c>
      <c r="E11" s="26">
        <f>IFERROR((SUMIFS(Pitching!$P$2:$P$5000,Pitching!$E$2:$E$5000,A11,Pitching!$D$2:$D$5000,B11)/C11)*7,"Insufficient Data")</f>
        <v/>
      </c>
      <c r="F11" s="26">
        <f>IFERROR((SUMIFS(Pitching!$L$2:$L$5000,Pitching!$E$2:$E$5000,A11,Pitching!$D$2:$D$5000,B11)/C11)*7,"Insufficient Data")</f>
        <v/>
      </c>
      <c r="G11" s="26">
        <f>IFERROR((SUMIFS(Pitching!$Q$2:$Q$5000,Pitching!$E$2:$E$5000,A11,Pitching!$D$2:$D$5000,B11)*7)/C11,"Insufficient Data")</f>
        <v/>
      </c>
      <c r="H11" s="26">
        <f>IFERROR((SUMIFS(Pitching!$H$2:$H$5000,Pitching!$E$2:$E$5000,A11,Pitching!$D$2:$D$5000,B11)+SUMIFS(Pitching!$L$2:$L$5000,Pitching!$E$2:$E$5000,A11,Pitching!$D$2:$D$5000,B11))/C11,"Insufficient Data")</f>
        <v/>
      </c>
      <c r="I11" s="28">
        <f>IFERROR(C11/D11,"Insufficient Data")</f>
        <v/>
      </c>
      <c r="J11" s="28">
        <f>IFERROR((MIN(E11/15,1)*0.3+(1-MIN(F11/10,1))*0.25+(1-MIN(G11/15,1))*0.25+(1-MIN(H11/3,1))*0.2)*10,"Insufficient Data")</f>
        <v/>
      </c>
      <c r="K11" s="8">
        <f>IF(J11="Insufficient Data","Insufficient Data",IF(J11&gt;=8,"🔴 ACE",IF(J11&gt;=6.5,"🟠 QUALITY",IF(J11&gt;=5,"🟡 AVERAGE",IF(J11&gt;=3.5,"⚪ HITTABLE","🟢 BATTING PRACTICE")))))</f>
        <v/>
      </c>
      <c r="L11" s="8">
        <f>IF(C11&lt;3,"Insufficient IP",CONCAT(IF(E11&gt;=9,"POWER | ",""),IF(E11&gt;=7,IF(E11&lt;9,"Good K | ",""),""),IF(E11&lt;4,"Contact | ",""),IF(F11&lt;=2,"Elite cmd | ",""),IF(F11&lt;=3.5,IF(F11&gt;2,"Good ctrl | ",""),""),IF(F11&gt;=5,"⚠️ Control | ",""),IF(G11&lt;=2,"ELITE | ",""),IF(G11&lt;=3.5,IF(G11&gt;2,"Quality | ",""),""),IF(G11&gt;=6,"Hittable | ",""),IF(I11&gt;=4,"Workhorse","Short")))</f>
        <v/>
      </c>
      <c r="M11" s="8">
        <f>IF(I11="Insufficient Data","",IF(I11&gt;=3.5,"Starter",IF(I11&gt;=1.5,"Reliever","Setup/Closer")))</f>
        <v/>
      </c>
    </row>
    <row r="12">
      <c r="A12" s="24" t="inlineStr">
        <is>
          <t>C Nichols</t>
        </is>
      </c>
      <c r="B12" s="24" t="inlineStr">
        <is>
          <t>RVRH</t>
        </is>
      </c>
      <c r="C12" s="28">
        <f>SUMIFS(Pitching!$F$2:$F$5000,Pitching!$E$2:$E$5000,A12,Pitching!$D$2:$D$5000,B12)/3</f>
        <v/>
      </c>
      <c r="D12" s="8">
        <f>COUNTIFS(Pitching!$E$2:$E$5000,A12,Pitching!$D$2:$D$5000,B12)</f>
        <v/>
      </c>
      <c r="E12" s="26">
        <f>IFERROR((SUMIFS(Pitching!$P$2:$P$5000,Pitching!$E$2:$E$5000,A12,Pitching!$D$2:$D$5000,B12)/C12)*7,"Insufficient Data")</f>
        <v/>
      </c>
      <c r="F12" s="26">
        <f>IFERROR((SUMIFS(Pitching!$L$2:$L$5000,Pitching!$E$2:$E$5000,A12,Pitching!$D$2:$D$5000,B12)/C12)*7,"Insufficient Data")</f>
        <v/>
      </c>
      <c r="G12" s="26">
        <f>IFERROR((SUMIFS(Pitching!$Q$2:$Q$5000,Pitching!$E$2:$E$5000,A12,Pitching!$D$2:$D$5000,B12)*7)/C12,"Insufficient Data")</f>
        <v/>
      </c>
      <c r="H12" s="26">
        <f>IFERROR((SUMIFS(Pitching!$H$2:$H$5000,Pitching!$E$2:$E$5000,A12,Pitching!$D$2:$D$5000,B12)+SUMIFS(Pitching!$L$2:$L$5000,Pitching!$E$2:$E$5000,A12,Pitching!$D$2:$D$5000,B12))/C12,"Insufficient Data")</f>
        <v/>
      </c>
      <c r="I12" s="28">
        <f>IFERROR(C12/D12,"Insufficient Data")</f>
        <v/>
      </c>
      <c r="J12" s="28">
        <f>IFERROR((MIN(E12/15,1)*0.3+(1-MIN(F12/10,1))*0.25+(1-MIN(G12/15,1))*0.25+(1-MIN(H12/3,1))*0.2)*10,"Insufficient Data")</f>
        <v/>
      </c>
      <c r="K12" s="8">
        <f>IF(J12="Insufficient Data","Insufficient Data",IF(J12&gt;=8,"🔴 ACE",IF(J12&gt;=6.5,"🟠 QUALITY",IF(J12&gt;=5,"🟡 AVERAGE",IF(J12&gt;=3.5,"⚪ HITTABLE","🟢 BATTING PRACTICE")))))</f>
        <v/>
      </c>
      <c r="L12" s="8">
        <f>IF(C12&lt;3,"Insufficient IP",CONCAT(IF(E12&gt;=9,"POWER | ",""),IF(E12&gt;=7,IF(E12&lt;9,"Good K | ",""),""),IF(E12&lt;4,"Contact | ",""),IF(F12&lt;=2,"Elite cmd | ",""),IF(F12&lt;=3.5,IF(F12&gt;2,"Good ctrl | ",""),""),IF(F12&gt;=5,"⚠️ Control | ",""),IF(G12&lt;=2,"ELITE | ",""),IF(G12&lt;=3.5,IF(G12&gt;2,"Quality | ",""),""),IF(G12&gt;=6,"Hittable | ",""),IF(I12&gt;=4,"Workhorse","Short")))</f>
        <v/>
      </c>
      <c r="M12" s="8">
        <f>IF(I12="Insufficient Data","",IF(I12&gt;=3.5,"Starter",IF(I12&gt;=1.5,"Reliever","Setup/Closer")))</f>
        <v/>
      </c>
    </row>
    <row r="13">
      <c r="A13" s="24" t="inlineStr">
        <is>
          <t>R Ronayne</t>
        </is>
      </c>
      <c r="B13" s="24" t="inlineStr">
        <is>
          <t>RVRH</t>
        </is>
      </c>
      <c r="C13" s="28">
        <f>SUMIFS(Pitching!$F$2:$F$5000,Pitching!$E$2:$E$5000,A13,Pitching!$D$2:$D$5000,B13)/3</f>
        <v/>
      </c>
      <c r="D13" s="8">
        <f>COUNTIFS(Pitching!$E$2:$E$5000,A13,Pitching!$D$2:$D$5000,B13)</f>
        <v/>
      </c>
      <c r="E13" s="26">
        <f>IFERROR((SUMIFS(Pitching!$P$2:$P$5000,Pitching!$E$2:$E$5000,A13,Pitching!$D$2:$D$5000,B13)/C13)*7,"Insufficient Data")</f>
        <v/>
      </c>
      <c r="F13" s="26">
        <f>IFERROR((SUMIFS(Pitching!$L$2:$L$5000,Pitching!$E$2:$E$5000,A13,Pitching!$D$2:$D$5000,B13)/C13)*7,"Insufficient Data")</f>
        <v/>
      </c>
      <c r="G13" s="26">
        <f>IFERROR((SUMIFS(Pitching!$Q$2:$Q$5000,Pitching!$E$2:$E$5000,A13,Pitching!$D$2:$D$5000,B13)*7)/C13,"Insufficient Data")</f>
        <v/>
      </c>
      <c r="H13" s="26">
        <f>IFERROR((SUMIFS(Pitching!$H$2:$H$5000,Pitching!$E$2:$E$5000,A13,Pitching!$D$2:$D$5000,B13)+SUMIFS(Pitching!$L$2:$L$5000,Pitching!$E$2:$E$5000,A13,Pitching!$D$2:$D$5000,B13))/C13,"Insufficient Data")</f>
        <v/>
      </c>
      <c r="I13" s="28">
        <f>IFERROR(C13/D13,"Insufficient Data")</f>
        <v/>
      </c>
      <c r="J13" s="28">
        <f>IFERROR((MIN(E13/15,1)*0.3+(1-MIN(F13/10,1))*0.25+(1-MIN(G13/15,1))*0.25+(1-MIN(H13/3,1))*0.2)*10,"Insufficient Data")</f>
        <v/>
      </c>
      <c r="K13" s="8">
        <f>IF(J13="Insufficient Data","Insufficient Data",IF(J13&gt;=8,"🔴 ACE",IF(J13&gt;=6.5,"🟠 QUALITY",IF(J13&gt;=5,"🟡 AVERAGE",IF(J13&gt;=3.5,"⚪ HITTABLE","🟢 BATTING PRACTICE")))))</f>
        <v/>
      </c>
      <c r="L13" s="8">
        <f>IF(C13&lt;3,"Insufficient IP",CONCAT(IF(E13&gt;=9,"POWER | ",""),IF(E13&gt;=7,IF(E13&lt;9,"Good K | ",""),""),IF(E13&lt;4,"Contact | ",""),IF(F13&lt;=2,"Elite cmd | ",""),IF(F13&lt;=3.5,IF(F13&gt;2,"Good ctrl | ",""),""),IF(F13&gt;=5,"⚠️ Control | ",""),IF(G13&lt;=2,"ELITE | ",""),IF(G13&lt;=3.5,IF(G13&gt;2,"Quality | ",""),""),IF(G13&gt;=6,"Hittable | ",""),IF(I13&gt;=4,"Workhorse","Short")))</f>
        <v/>
      </c>
      <c r="M13" s="8">
        <f>IF(I13="Insufficient Data","",IF(I13&gt;=3.5,"Starter",IF(I13&gt;=1.5,"Reliever","Setup/Closer")))</f>
        <v/>
      </c>
    </row>
    <row r="14">
      <c r="A14" s="24" t="inlineStr">
        <is>
          <t>E Skolkin</t>
        </is>
      </c>
      <c r="B14" s="24" t="inlineStr">
        <is>
          <t>RVRH</t>
        </is>
      </c>
      <c r="C14" s="28">
        <f>SUMIFS(Pitching!$F$2:$F$5000,Pitching!$E$2:$E$5000,A14,Pitching!$D$2:$D$5000,B14)/3</f>
        <v/>
      </c>
      <c r="D14" s="8">
        <f>COUNTIFS(Pitching!$E$2:$E$5000,A14,Pitching!$D$2:$D$5000,B14)</f>
        <v/>
      </c>
      <c r="E14" s="26">
        <f>IFERROR((SUMIFS(Pitching!$P$2:$P$5000,Pitching!$E$2:$E$5000,A14,Pitching!$D$2:$D$5000,B14)/C14)*7,"Insufficient Data")</f>
        <v/>
      </c>
      <c r="F14" s="26">
        <f>IFERROR((SUMIFS(Pitching!$L$2:$L$5000,Pitching!$E$2:$E$5000,A14,Pitching!$D$2:$D$5000,B14)/C14)*7,"Insufficient Data")</f>
        <v/>
      </c>
      <c r="G14" s="26">
        <f>IFERROR((SUMIFS(Pitching!$Q$2:$Q$5000,Pitching!$E$2:$E$5000,A14,Pitching!$D$2:$D$5000,B14)*7)/C14,"Insufficient Data")</f>
        <v/>
      </c>
      <c r="H14" s="26">
        <f>IFERROR((SUMIFS(Pitching!$H$2:$H$5000,Pitching!$E$2:$E$5000,A14,Pitching!$D$2:$D$5000,B14)+SUMIFS(Pitching!$L$2:$L$5000,Pitching!$E$2:$E$5000,A14,Pitching!$D$2:$D$5000,B14))/C14,"Insufficient Data")</f>
        <v/>
      </c>
      <c r="I14" s="28">
        <f>IFERROR(C14/D14,"Insufficient Data")</f>
        <v/>
      </c>
      <c r="J14" s="28">
        <f>IFERROR((MIN(E14/15,1)*0.3+(1-MIN(F14/10,1))*0.25+(1-MIN(G14/15,1))*0.25+(1-MIN(H14/3,1))*0.2)*10,"Insufficient Data")</f>
        <v/>
      </c>
      <c r="K14" s="8">
        <f>IF(J14="Insufficient Data","Insufficient Data",IF(J14&gt;=8,"🔴 ACE",IF(J14&gt;=6.5,"🟠 QUALITY",IF(J14&gt;=5,"🟡 AVERAGE",IF(J14&gt;=3.5,"⚪ HITTABLE","🟢 BATTING PRACTICE")))))</f>
        <v/>
      </c>
      <c r="L14" s="8">
        <f>IF(C14&lt;3,"Insufficient IP",CONCAT(IF(E14&gt;=9,"POWER | ",""),IF(E14&gt;=7,IF(E14&lt;9,"Good K | ",""),""),IF(E14&lt;4,"Contact | ",""),IF(F14&lt;=2,"Elite cmd | ",""),IF(F14&lt;=3.5,IF(F14&gt;2,"Good ctrl | ",""),""),IF(F14&gt;=5,"⚠️ Control | ",""),IF(G14&lt;=2,"ELITE | ",""),IF(G14&lt;=3.5,IF(G14&gt;2,"Quality | ",""),""),IF(G14&gt;=6,"Hittable | ",""),IF(I14&gt;=4,"Workhorse","Short")))</f>
        <v/>
      </c>
      <c r="M14" s="8">
        <f>IF(I14="Insufficient Data","",IF(I14&gt;=3.5,"Starter",IF(I14&gt;=1.5,"Reliever","Setup/Closer")))</f>
        <v/>
      </c>
    </row>
    <row r="15">
      <c r="A15" s="24" t="inlineStr">
        <is>
          <t>A Wu</t>
        </is>
      </c>
      <c r="B15" s="24" t="inlineStr">
        <is>
          <t>RVRH</t>
        </is>
      </c>
      <c r="C15" s="28">
        <f>SUMIFS(Pitching!$F$2:$F$5000,Pitching!$E$2:$E$5000,A15,Pitching!$D$2:$D$5000,B15)/3</f>
        <v/>
      </c>
      <c r="D15" s="8">
        <f>COUNTIFS(Pitching!$E$2:$E$5000,A15,Pitching!$D$2:$D$5000,B15)</f>
        <v/>
      </c>
      <c r="E15" s="26">
        <f>IFERROR((SUMIFS(Pitching!$P$2:$P$5000,Pitching!$E$2:$E$5000,A15,Pitching!$D$2:$D$5000,B15)/C15)*7,"Insufficient Data")</f>
        <v/>
      </c>
      <c r="F15" s="26">
        <f>IFERROR((SUMIFS(Pitching!$L$2:$L$5000,Pitching!$E$2:$E$5000,A15,Pitching!$D$2:$D$5000,B15)/C15)*7,"Insufficient Data")</f>
        <v/>
      </c>
      <c r="G15" s="26">
        <f>IFERROR((SUMIFS(Pitching!$Q$2:$Q$5000,Pitching!$E$2:$E$5000,A15,Pitching!$D$2:$D$5000,B15)*7)/C15,"Insufficient Data")</f>
        <v/>
      </c>
      <c r="H15" s="26">
        <f>IFERROR((SUMIFS(Pitching!$H$2:$H$5000,Pitching!$E$2:$E$5000,A15,Pitching!$D$2:$D$5000,B15)+SUMIFS(Pitching!$L$2:$L$5000,Pitching!$E$2:$E$5000,A15,Pitching!$D$2:$D$5000,B15))/C15,"Insufficient Data")</f>
        <v/>
      </c>
      <c r="I15" s="28">
        <f>IFERROR(C15/D15,"Insufficient Data")</f>
        <v/>
      </c>
      <c r="J15" s="28">
        <f>IFERROR((MIN(E15/15,1)*0.3+(1-MIN(F15/10,1))*0.25+(1-MIN(G15/15,1))*0.25+(1-MIN(H15/3,1))*0.2)*10,"Insufficient Data")</f>
        <v/>
      </c>
      <c r="K15" s="8">
        <f>IF(J15="Insufficient Data","Insufficient Data",IF(J15&gt;=8,"🔴 ACE",IF(J15&gt;=6.5,"🟠 QUALITY",IF(J15&gt;=5,"🟡 AVERAGE",IF(J15&gt;=3.5,"⚪ HITTABLE","🟢 BATTING PRACTICE")))))</f>
        <v/>
      </c>
      <c r="L15" s="8">
        <f>IF(C15&lt;3,"Insufficient IP",CONCAT(IF(E15&gt;=9,"POWER | ",""),IF(E15&gt;=7,IF(E15&lt;9,"Good K | ",""),""),IF(E15&lt;4,"Contact | ",""),IF(F15&lt;=2,"Elite cmd | ",""),IF(F15&lt;=3.5,IF(F15&gt;2,"Good ctrl | ",""),""),IF(F15&gt;=5,"⚠️ Control | ",""),IF(G15&lt;=2,"ELITE | ",""),IF(G15&lt;=3.5,IF(G15&gt;2,"Quality | ",""),""),IF(G15&gt;=6,"Hittable | ",""),IF(I15&gt;=4,"Workhorse","Short")))</f>
        <v/>
      </c>
      <c r="M15" s="8">
        <f>IF(I15="Insufficient Data","",IF(I15&gt;=3.5,"Starter",IF(I15&gt;=1.5,"Reliever","Setup/Closer")))</f>
        <v/>
      </c>
    </row>
    <row r="20">
      <c r="A20" s="30" t="inlineStr">
        <is>
          <t>OPPONENT PITCHERS (High Threat)</t>
        </is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>
      <c r="A25" s="31" t="inlineStr">
        <is>
          <t>OPPONENTS TO ATTACK (Low Impact)</t>
        </is>
      </c>
    </row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mergeCells count="3">
    <mergeCell ref="A2:M2"/>
    <mergeCell ref="A1:M1"/>
    <mergeCell ref="A5:M5"/>
  </mergeCells>
  <conditionalFormatting sqref="K6:K19">
    <cfRule type="containsText" priority="1" operator="containsText" dxfId="0" text="ACE">
      <formula>NOT(ISERROR(SEARCH(("ACE"),(K6))))</formula>
    </cfRule>
    <cfRule type="containsText" priority="2" operator="containsText" dxfId="1" text="QUALITY">
      <formula>NOT(ISERROR(SEARCH(("QUALITY"),(K6))))</formula>
    </cfRule>
    <cfRule type="containsText" priority="3" operator="containsText" dxfId="4" text="AVERAGE">
      <formula>NOT(ISERROR(SEARCH(("AVERAGE"),(K6))))</formula>
    </cfRule>
    <cfRule type="containsText" priority="4" operator="containsText" dxfId="3" text="BATTING PRACTICE">
      <formula>NOT(ISERROR(SEARCH(("BATTING PRACTICE"),(K6))))</formula>
    </cfRule>
  </conditionalFormatting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5" min="1" max="1"/>
    <col width="25" customWidth="1" style="35" min="2" max="2"/>
    <col width="8.710000000000001" customWidth="1" style="35" min="3" max="5"/>
    <col width="50" customWidth="1" style="35" min="6" max="6"/>
    <col width="8.710000000000001" customWidth="1" style="35" min="7" max="26"/>
  </cols>
  <sheetData>
    <row r="1">
      <c r="A1" s="14" t="inlineStr">
        <is>
          <t>DEFENSIVE WEAKNESS MAP</t>
        </is>
      </c>
    </row>
    <row r="2">
      <c r="A2" s="15" t="inlineStr">
        <is>
          <t>Identifies error-prone opponents to exploit with aggressive baserunning</t>
        </is>
      </c>
    </row>
    <row r="4">
      <c r="A4" s="21" t="inlineStr">
        <is>
          <t>Team</t>
        </is>
      </c>
      <c r="B4" s="21" t="inlineStr">
        <is>
          <t>Player</t>
        </is>
      </c>
      <c r="C4" s="21" t="inlineStr">
        <is>
          <t>Total_Errors</t>
        </is>
      </c>
      <c r="D4" s="21" t="inlineStr">
        <is>
          <t>Games_Played</t>
        </is>
      </c>
      <c r="E4" s="21" t="inlineStr">
        <is>
          <t>Errors_Per_Game</t>
        </is>
      </c>
      <c r="F4" s="21" t="inlineStr">
        <is>
          <t>Attack_Strategy</t>
        </is>
      </c>
    </row>
    <row r="5">
      <c r="A5" s="15" t="inlineStr">
        <is>
          <t>See Fielding sheet for opponent error details</t>
        </is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5" min="1" max="4"/>
    <col width="50" customWidth="1" style="35" min="5" max="5"/>
    <col width="8.710000000000001" customWidth="1" style="35" min="6" max="26"/>
  </cols>
  <sheetData>
    <row r="1">
      <c r="A1" s="14" t="inlineStr">
        <is>
          <t>MATCHUP EXPLOITS &amp; STRATEGIES</t>
        </is>
      </c>
    </row>
    <row r="3">
      <c r="A3" s="32" t="inlineStr">
        <is>
          <t>HIGH ERA OPPONENTS (Attack Early)</t>
        </is>
      </c>
    </row>
    <row r="4">
      <c r="A4" s="21" t="inlineStr">
        <is>
          <t>Team</t>
        </is>
      </c>
      <c r="B4" s="21" t="inlineStr">
        <is>
          <t>Team_ERA</t>
        </is>
      </c>
      <c r="C4" s="21" t="inlineStr">
        <is>
          <t>Team_WHIP</t>
        </is>
      </c>
      <c r="D4" s="21" t="inlineStr">
        <is>
          <t>Walks_Per_Game</t>
        </is>
      </c>
      <c r="E4" s="21" t="inlineStr">
        <is>
          <t>Strategy</t>
        </is>
      </c>
    </row>
    <row r="5">
      <c r="A5" s="24" t="inlineStr">
        <is>
          <t>HNTN</t>
        </is>
      </c>
      <c r="B5" s="26">
        <f>IFERROR((SUMIFS(Pitching!$Q$2:$Q$5000,Pitching!$D$2:$D$5000,A5)*7)/(SUMIFS(Pitching!$F$2:$F$5000,Pitching!$D$2:$D$5000,A5)/3),"Insufficient Data")</f>
        <v/>
      </c>
      <c r="C5" s="26">
        <f>IFERROR((SUMIFS(Pitching!$H$2:$H$5000,Pitching!$D$2:$D$5000,A5)+SUMIFS(Pitching!$L$2:$L$5000,Pitching!$D$2:$D$5000,A5))/(SUMIFS(Pitching!$F$2:$F$5000,Pitching!$D$2:$D$5000,A5)/3),"Insufficient Data")</f>
        <v/>
      </c>
      <c r="D5" s="28">
        <f>IFERROR(SUMIFS(Pitching!$L$2:$L$5000,Pitching!$D$2:$D$5000,A5)/COUNTIFS(Game_Log!$D$2:$D$5000,A5),"Insufficient Data")</f>
        <v/>
      </c>
      <c r="E5" s="8">
        <f>IF(B5="Insufficient Data","Insufficient Data",IF(B5&gt;=6,"ATTACK EARLY - First pitch hitters",IF(C5&gt;=1.8,"WORK COUNTS - Take pitches",IF(D5&gt;=3,"PATIENCE - Wait for walks","Balanced approach"))))</f>
        <v/>
      </c>
    </row>
    <row r="6">
      <c r="A6" s="24" t="inlineStr">
        <is>
          <t>NRTH</t>
        </is>
      </c>
      <c r="B6" s="26">
        <f>IFERROR((SUMIFS(Pitching!$Q$2:$Q$5000,Pitching!$D$2:$D$5000,A6)*7)/(SUMIFS(Pitching!$F$2:$F$5000,Pitching!$D$2:$D$5000,A6)/3),"Insufficient Data")</f>
        <v/>
      </c>
      <c r="C6" s="26">
        <f>IFERROR((SUMIFS(Pitching!$H$2:$H$5000,Pitching!$D$2:$D$5000,A6)+SUMIFS(Pitching!$L$2:$L$5000,Pitching!$D$2:$D$5000,A6))/(SUMIFS(Pitching!$F$2:$F$5000,Pitching!$D$2:$D$5000,A6)/3),"Insufficient Data")</f>
        <v/>
      </c>
      <c r="D6" s="28">
        <f>IFERROR(SUMIFS(Pitching!$L$2:$L$5000,Pitching!$D$2:$D$5000,A6)/COUNTIFS(Game_Log!$D$2:$D$5000,A6),"Insufficient Data")</f>
        <v/>
      </c>
      <c r="E6" s="8">
        <f>IF(B6="Insufficient Data","Insufficient Data",IF(B6&gt;=6,"ATTACK EARLY - First pitch hitters",IF(C6&gt;=1.8,"WORK COUNTS - Take pitches",IF(D6&gt;=3,"PATIENCE - Wait for walks","Balanced approach"))))</f>
        <v/>
      </c>
    </row>
    <row r="7">
      <c r="A7" s="24" t="inlineStr">
        <is>
          <t>GLNL</t>
        </is>
      </c>
      <c r="B7" s="26">
        <f>IFERROR((SUMIFS(Pitching!$Q$2:$Q$5000,Pitching!$D$2:$D$5000,A7)*7)/(SUMIFS(Pitching!$F$2:$F$5000,Pitching!$D$2:$D$5000,A7)/3),"Insufficient Data")</f>
        <v/>
      </c>
      <c r="C7" s="26">
        <f>IFERROR((SUMIFS(Pitching!$H$2:$H$5000,Pitching!$D$2:$D$5000,A7)+SUMIFS(Pitching!$L$2:$L$5000,Pitching!$D$2:$D$5000,A7))/(SUMIFS(Pitching!$F$2:$F$5000,Pitching!$D$2:$D$5000,A7)/3),"Insufficient Data")</f>
        <v/>
      </c>
      <c r="D7" s="28">
        <f>IFERROR(SUMIFS(Pitching!$L$2:$L$5000,Pitching!$D$2:$D$5000,A7)/COUNTIFS(Game_Log!$D$2:$D$5000,A7),"Insufficient Data")</f>
        <v/>
      </c>
      <c r="E7" s="8">
        <f>IF(B7="Insufficient Data","Insufficient Data",IF(B7&gt;=6,"ATTACK EARLY - First pitch hitters",IF(C7&gt;=1.8,"WORK COUNTS - Take pitches",IF(D7&gt;=3,"PATIENCE - Wait for walks","Balanced approach"))))</f>
        <v/>
      </c>
    </row>
    <row r="8">
      <c r="A8" s="24" t="inlineStr">
        <is>
          <t>CNTN</t>
        </is>
      </c>
      <c r="B8" s="26">
        <f>IFERROR((SUMIFS(Pitching!$Q$2:$Q$5000,Pitching!$D$2:$D$5000,A8)*7)/(SUMIFS(Pitching!$F$2:$F$5000,Pitching!$D$2:$D$5000,A8)/3),"Insufficient Data")</f>
        <v/>
      </c>
      <c r="C8" s="26">
        <f>IFERROR((SUMIFS(Pitching!$H$2:$H$5000,Pitching!$D$2:$D$5000,A8)+SUMIFS(Pitching!$L$2:$L$5000,Pitching!$D$2:$D$5000,A8))/(SUMIFS(Pitching!$F$2:$F$5000,Pitching!$D$2:$D$5000,A8)/3),"Insufficient Data")</f>
        <v/>
      </c>
      <c r="D8" s="28">
        <f>IFERROR(SUMIFS(Pitching!$L$2:$L$5000,Pitching!$D$2:$D$5000,A8)/COUNTIFS(Game_Log!$D$2:$D$5000,A8),"Insufficient Data")</f>
        <v/>
      </c>
      <c r="E8" s="8">
        <f>IF(B8="Insufficient Data","Insufficient Data",IF(B8&gt;=6,"ATTACK EARLY - First pitch hitters",IF(C8&gt;=1.8,"WORK COUNTS - Take pitches",IF(D8&gt;=3,"PATIENCE - Wait for walks","Balanced approach"))))</f>
        <v/>
      </c>
    </row>
    <row r="9">
      <c r="A9" s="24" t="inlineStr">
        <is>
          <t>PLYV</t>
        </is>
      </c>
      <c r="B9" s="26">
        <f>IFERROR((SUMIFS(Pitching!$Q$2:$Q$5000,Pitching!$D$2:$D$5000,A9)*7)/(SUMIFS(Pitching!$F$2:$F$5000,Pitching!$D$2:$D$5000,A9)/3),"Insufficient Data")</f>
        <v/>
      </c>
      <c r="C9" s="26">
        <f>IFERROR((SUMIFS(Pitching!$H$2:$H$5000,Pitching!$D$2:$D$5000,A9)+SUMIFS(Pitching!$L$2:$L$5000,Pitching!$D$2:$D$5000,A9))/(SUMIFS(Pitching!$F$2:$F$5000,Pitching!$D$2:$D$5000,A9)/3),"Insufficient Data")</f>
        <v/>
      </c>
      <c r="D9" s="28">
        <f>IFERROR(SUMIFS(Pitching!$L$2:$L$5000,Pitching!$D$2:$D$5000,A9)/COUNTIFS(Game_Log!$D$2:$D$5000,A9),"Insufficient Data")</f>
        <v/>
      </c>
      <c r="E9" s="8">
        <f>IF(B9="Insufficient Data","Insufficient Data",IF(B9&gt;=6,"ATTACK EARLY - First pitch hitters",IF(C9&gt;=1.8,"WORK COUNTS - Take pitches",IF(D9&gt;=3,"PATIENCE - Wait for walks","Balanced approach"))))</f>
        <v/>
      </c>
    </row>
    <row r="10">
      <c r="A10" s="24" t="inlineStr">
        <is>
          <t>HWRD</t>
        </is>
      </c>
      <c r="B10" s="26">
        <f>IFERROR((SUMIFS(Pitching!$Q$2:$Q$5000,Pitching!$D$2:$D$5000,A10)*7)/(SUMIFS(Pitching!$F$2:$F$5000,Pitching!$D$2:$D$5000,A10)/3),"Insufficient Data")</f>
        <v/>
      </c>
      <c r="C10" s="26">
        <f>IFERROR((SUMIFS(Pitching!$H$2:$H$5000,Pitching!$D$2:$D$5000,A10)+SUMIFS(Pitching!$L$2:$L$5000,Pitching!$D$2:$D$5000,A10))/(SUMIFS(Pitching!$F$2:$F$5000,Pitching!$D$2:$D$5000,A10)/3),"Insufficient Data")</f>
        <v/>
      </c>
      <c r="D10" s="28">
        <f>IFERROR(SUMIFS(Pitching!$L$2:$L$5000,Pitching!$D$2:$D$5000,A10)/COUNTIFS(Game_Log!$D$2:$D$5000,A10),"Insufficient Data")</f>
        <v/>
      </c>
      <c r="E10" s="8">
        <f>IF(B10="Insufficient Data","Insufficient Data",IF(B10&gt;=6,"ATTACK EARLY - First pitch hitters",IF(C10&gt;=1.8,"WORK COUNTS - Take pitches",IF(D10&gt;=3,"PATIENCE - Wait for walks","Balanced approach"))))</f>
        <v/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5" min="1" max="1"/>
    <col width="15" customWidth="1" style="35" min="2" max="2"/>
    <col width="8.710000000000001" customWidth="1" style="35" min="3" max="8"/>
    <col width="25" customWidth="1" style="35" min="9" max="9"/>
    <col width="8.710000000000001" customWidth="1" style="35" min="10" max="26"/>
  </cols>
  <sheetData>
    <row r="1">
      <c r="A1" s="14" t="inlineStr">
        <is>
          <t>RIVER HILL OPTIMAL BATTING ORDER</t>
        </is>
      </c>
    </row>
    <row r="2">
      <c r="A2" s="15" t="inlineStr">
        <is>
          <t>Based on OBP, SLG, and RBI production</t>
        </is>
      </c>
    </row>
    <row r="4">
      <c r="A4" s="21" t="inlineStr">
        <is>
          <t>Lineup_Slot</t>
        </is>
      </c>
      <c r="B4" s="21" t="inlineStr">
        <is>
          <t>Player</t>
        </is>
      </c>
      <c r="C4" s="21" t="inlineStr">
        <is>
          <t>PA</t>
        </is>
      </c>
      <c r="D4" s="21" t="inlineStr">
        <is>
          <t>AVG</t>
        </is>
      </c>
      <c r="E4" s="21" t="inlineStr">
        <is>
          <t>OBP</t>
        </is>
      </c>
      <c r="F4" s="21" t="inlineStr">
        <is>
          <t>SLG</t>
        </is>
      </c>
      <c r="G4" s="21" t="inlineStr">
        <is>
          <t>Runs</t>
        </is>
      </c>
      <c r="H4" s="21" t="inlineStr">
        <is>
          <t>RBI</t>
        </is>
      </c>
      <c r="I4" s="21" t="inlineStr">
        <is>
          <t>Role</t>
        </is>
      </c>
    </row>
    <row r="5">
      <c r="A5" s="24" t="n">
        <v>1</v>
      </c>
      <c r="I5" s="24" t="inlineStr">
        <is>
          <t>Leadoff - High OBP</t>
        </is>
      </c>
    </row>
    <row r="6">
      <c r="A6" s="24" t="n">
        <v>2</v>
      </c>
      <c r="I6" s="24" t="inlineStr">
        <is>
          <t>#2 - Contact hitter</t>
        </is>
      </c>
    </row>
    <row r="7">
      <c r="A7" s="24" t="n">
        <v>3</v>
      </c>
      <c r="I7" s="24" t="inlineStr">
        <is>
          <t>#3 - Best hitter, RBI</t>
        </is>
      </c>
    </row>
    <row r="8">
      <c r="A8" s="24" t="n">
        <v>4</v>
      </c>
      <c r="I8" s="24" t="inlineStr">
        <is>
          <t>#4 - Power, run producer</t>
        </is>
      </c>
    </row>
    <row r="9">
      <c r="A9" s="24" t="n">
        <v>5</v>
      </c>
      <c r="I9" s="24" t="inlineStr">
        <is>
          <t>#5 - Secondary power</t>
        </is>
      </c>
    </row>
    <row r="10">
      <c r="A10" s="24" t="n">
        <v>6</v>
      </c>
      <c r="I10" s="24" t="inlineStr">
        <is>
          <t>#6 - Contact, average</t>
        </is>
      </c>
    </row>
    <row r="11">
      <c r="A11" s="24" t="n">
        <v>7</v>
      </c>
      <c r="I11" s="24" t="inlineStr">
        <is>
          <t>#7 - Contact hitter</t>
        </is>
      </c>
    </row>
    <row r="12">
      <c r="A12" s="24" t="n">
        <v>8</v>
      </c>
      <c r="I12" s="24" t="inlineStr">
        <is>
          <t>#8 - Speed/Defense</t>
        </is>
      </c>
    </row>
    <row r="13">
      <c r="A13" s="24" t="n">
        <v>9</v>
      </c>
      <c r="I13" s="24" t="inlineStr">
        <is>
          <t>#9 - Pitcher slot</t>
        </is>
      </c>
    </row>
    <row r="15">
      <c r="A15" s="15" t="inlineStr">
        <is>
          <t>NOTE: Manually order players 1-9 based on stats above. Formulas show totals only.</t>
        </is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35" min="1" max="1"/>
    <col width="35" customWidth="1" style="35" min="2" max="3"/>
    <col width="14" customWidth="1" style="35" min="4" max="4"/>
    <col width="8.710000000000001" customWidth="1" style="35" min="5" max="26"/>
  </cols>
  <sheetData>
    <row r="1">
      <c r="A1" s="14" t="inlineStr">
        <is>
          <t>ADVANCED SCOUTING PRIORITIES</t>
        </is>
      </c>
    </row>
    <row r="2">
      <c r="A2" s="15" t="inlineStr">
        <is>
          <t>Metrics to add to your data collection for deeper insights</t>
        </is>
      </c>
    </row>
    <row r="4">
      <c r="A4" s="33" t="inlineStr">
        <is>
          <t>Priority 1: SITUATIONAL HITTING</t>
        </is>
      </c>
    </row>
    <row r="5">
      <c r="A5" s="21" t="inlineStr">
        <is>
          <t>Metric</t>
        </is>
      </c>
      <c r="B5" s="21" t="inlineStr">
        <is>
          <t>How_to_Track</t>
        </is>
      </c>
      <c r="C5" s="21" t="inlineStr">
        <is>
          <t>Why_It_Matters</t>
        </is>
      </c>
      <c r="D5" s="21" t="inlineStr">
        <is>
          <t>Impact_Level</t>
        </is>
      </c>
    </row>
    <row r="6">
      <c r="A6" s="24" t="inlineStr">
        <is>
          <t>Batting w/ RISP</t>
        </is>
      </c>
      <c r="B6" s="24" t="inlineStr">
        <is>
          <t>Mark ABs with runner on 2nd/3rd</t>
        </is>
      </c>
      <c r="C6" s="24" t="inlineStr">
        <is>
          <t>Measures clutch hitting</t>
        </is>
      </c>
      <c r="D6" s="24" t="inlineStr">
        <is>
          <t>HIGH</t>
        </is>
      </c>
    </row>
    <row r="7">
      <c r="A7" s="24" t="inlineStr">
        <is>
          <t>2-Out RBI</t>
        </is>
      </c>
      <c r="B7" s="24" t="inlineStr">
        <is>
          <t>Track RBI with 2 outs</t>
        </is>
      </c>
      <c r="C7" s="24" t="inlineStr">
        <is>
          <t>Shows rally extension ability</t>
        </is>
      </c>
      <c r="D7" s="24" t="inlineStr">
        <is>
          <t>HIGH</t>
        </is>
      </c>
    </row>
    <row r="8">
      <c r="A8" s="24" t="inlineStr">
        <is>
          <t>Late/Close Performance</t>
        </is>
      </c>
      <c r="B8" s="24" t="inlineStr">
        <is>
          <t>Track ABs in 6th+ inning, ±2 runs</t>
        </is>
      </c>
      <c r="C8" s="24" t="inlineStr">
        <is>
          <t>Identifies pressure performers</t>
        </is>
      </c>
      <c r="D8" s="24" t="inlineStr">
        <is>
          <t>MEDIUM</t>
        </is>
      </c>
    </row>
    <row r="10">
      <c r="A10" s="33" t="inlineStr">
        <is>
          <t>Priority 2: PITCHER INTELLIGENCE</t>
        </is>
      </c>
    </row>
    <row r="11">
      <c r="A11" s="21" t="inlineStr">
        <is>
          <t>Metric</t>
        </is>
      </c>
      <c r="B11" s="21" t="inlineStr">
        <is>
          <t>How_to_Track</t>
        </is>
      </c>
      <c r="C11" s="21" t="inlineStr">
        <is>
          <t>Why_It_Matters</t>
        </is>
      </c>
      <c r="D11" s="21" t="inlineStr">
        <is>
          <t>Impact_Level</t>
        </is>
      </c>
    </row>
    <row r="12">
      <c r="A12" s="24" t="inlineStr">
        <is>
          <t>Pitch Arsenal</t>
        </is>
      </c>
      <c r="B12" s="24" t="inlineStr">
        <is>
          <t>Note FB/CB/CH/SL</t>
        </is>
      </c>
      <c r="C12" s="24" t="inlineStr">
        <is>
          <t>Know what pitches are coming</t>
        </is>
      </c>
      <c r="D12" s="24" t="inlineStr">
        <is>
          <t>EXTREME</t>
        </is>
      </c>
    </row>
    <row r="13">
      <c r="A13" s="24" t="inlineStr">
        <is>
          <t>Velocity Range</t>
        </is>
      </c>
      <c r="B13" s="24" t="inlineStr">
        <is>
          <t>Estimate MPH ranges</t>
        </is>
      </c>
      <c r="C13" s="24" t="inlineStr">
        <is>
          <t>Timing and bat selection</t>
        </is>
      </c>
      <c r="D13" s="24" t="inlineStr">
        <is>
          <t>HIGH</t>
        </is>
      </c>
    </row>
    <row r="14">
      <c r="A14" s="24" t="inlineStr">
        <is>
          <t>Pitcher Handedness</t>
        </is>
      </c>
      <c r="B14" s="24" t="inlineStr">
        <is>
          <t>Mark L or R</t>
        </is>
      </c>
      <c r="C14" s="24" t="inlineStr">
        <is>
          <t>Critical for lineup construction</t>
        </is>
      </c>
      <c r="D14" s="24" t="inlineStr">
        <is>
          <t>EXTREME</t>
        </is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5" min="1" max="1"/>
    <col width="50" customWidth="1" style="35" min="2" max="2"/>
    <col width="15" customWidth="1" style="35" min="3" max="3"/>
    <col width="30" customWidth="1" style="35" min="4" max="4"/>
    <col width="8.710000000000001" customWidth="1" style="35" min="5" max="26"/>
  </cols>
  <sheetData>
    <row r="1">
      <c r="A1" s="14" t="inlineStr">
        <is>
          <t>48-HOUR PRE-GAME SCOUTING CHECKLIST</t>
        </is>
      </c>
    </row>
    <row r="2">
      <c r="A2" s="15" t="inlineStr">
        <is>
          <t>Complete this checklist before each playoff game</t>
        </is>
      </c>
    </row>
    <row r="4">
      <c r="A4" s="21" t="n"/>
      <c r="B4" s="21" t="inlineStr">
        <is>
          <t>Task</t>
        </is>
      </c>
      <c r="C4" s="21" t="inlineStr">
        <is>
          <t>Status</t>
        </is>
      </c>
      <c r="D4" s="21" t="inlineStr">
        <is>
          <t>Notes</t>
        </is>
      </c>
    </row>
    <row r="5">
      <c r="A5" s="34" t="inlineStr">
        <is>
          <t>□</t>
        </is>
      </c>
      <c r="B5" s="34" t="inlineStr">
        <is>
          <t>Review opponent batting order from Batting sheet</t>
        </is>
      </c>
      <c r="C5" s="34" t="n"/>
      <c r="D5" s="34" t="n"/>
    </row>
    <row r="6">
      <c r="A6" s="34" t="inlineStr">
        <is>
          <t>□</t>
        </is>
      </c>
      <c r="B6" s="34" t="inlineStr">
        <is>
          <t>Identify top 3 hitters - plan defensive positioning</t>
        </is>
      </c>
      <c r="C6" s="34" t="n"/>
      <c r="D6" s="34" t="n"/>
    </row>
    <row r="7">
      <c r="A7" s="34" t="inlineStr">
        <is>
          <t>□</t>
        </is>
      </c>
      <c r="B7" s="34" t="inlineStr">
        <is>
          <t>Check Opponent_Rotations sheet for probable starter</t>
        </is>
      </c>
      <c r="C7" s="34" t="n"/>
      <c r="D7" s="34" t="n"/>
    </row>
    <row r="8">
      <c r="A8" s="34" t="inlineStr">
        <is>
          <t>□</t>
        </is>
      </c>
      <c r="B8" s="34" t="inlineStr">
        <is>
          <t>Review Defensive_Targets for error-prone positions</t>
        </is>
      </c>
      <c r="C8" s="34" t="n"/>
      <c r="D8" s="34" t="n"/>
    </row>
    <row r="9">
      <c r="A9" s="34" t="inlineStr">
        <is>
          <t>□</t>
        </is>
      </c>
      <c r="B9" s="34" t="inlineStr">
        <is>
          <t>Check Matchup_Exploits for strategic approach</t>
        </is>
      </c>
      <c r="C9" s="34" t="n"/>
      <c r="D9" s="34" t="n"/>
    </row>
    <row r="10">
      <c r="A10" s="34" t="inlineStr">
        <is>
          <t>□</t>
        </is>
      </c>
      <c r="B10" s="34" t="inlineStr">
        <is>
          <t>Set RVRH lineup using Lineup_Optimizer sheet</t>
        </is>
      </c>
      <c r="C10" s="34" t="n"/>
      <c r="D10" s="34" t="n"/>
    </row>
    <row r="11">
      <c r="A11" s="34" t="inlineStr">
        <is>
          <t>□</t>
        </is>
      </c>
      <c r="B11" s="34" t="inlineStr">
        <is>
          <t>Review opponent bullpen depth from Pitching sheet</t>
        </is>
      </c>
      <c r="C11" s="34" t="n"/>
      <c r="D11" s="34" t="n"/>
    </row>
    <row r="12">
      <c r="A12" s="34" t="inlineStr">
        <is>
          <t>□</t>
        </is>
      </c>
      <c r="B12" s="34" t="inlineStr">
        <is>
          <t>Check weather forecast (wind affects fly balls)</t>
        </is>
      </c>
      <c r="C12" s="34" t="n"/>
      <c r="D12" s="34" t="n"/>
    </row>
    <row r="13">
      <c r="A13" s="34" t="inlineStr">
        <is>
          <t>□</t>
        </is>
      </c>
      <c r="B13" s="34" t="inlineStr">
        <is>
          <t>Plan stolen base opportunities vs opponent catcher</t>
        </is>
      </c>
      <c r="C13" s="34" t="n"/>
      <c r="D13" s="34" t="n"/>
    </row>
    <row r="14">
      <c r="A14" s="34" t="inlineStr">
        <is>
          <t>□</t>
        </is>
      </c>
      <c r="B14" s="34" t="inlineStr">
        <is>
          <t>Print lineup cards with situational reminders</t>
        </is>
      </c>
      <c r="C14" s="34" t="n"/>
      <c r="D14" s="34" t="n"/>
    </row>
    <row r="17">
      <c r="A17" s="32" t="inlineStr">
        <is>
          <t>IN-GAME ADJUSTMENTS</t>
        </is>
      </c>
    </row>
    <row r="18">
      <c r="A18" s="21" t="inlineStr">
        <is>
          <t>Inning</t>
        </is>
      </c>
      <c r="B18" s="21" t="inlineStr">
        <is>
          <t>What_to_Observe</t>
        </is>
      </c>
      <c r="C18" s="21" t="inlineStr">
        <is>
          <t>Adjustment_Notes</t>
        </is>
      </c>
    </row>
    <row r="19">
      <c r="A19" s="24" t="inlineStr">
        <is>
          <t>1-2</t>
        </is>
      </c>
      <c r="B19" s="24" t="inlineStr">
        <is>
          <t>Starter velocity and command?</t>
        </is>
      </c>
      <c r="C19" s="24" t="n"/>
    </row>
    <row r="20">
      <c r="A20" s="24" t="inlineStr">
        <is>
          <t>3-4</t>
        </is>
      </c>
      <c r="B20" s="24" t="inlineStr">
        <is>
          <t>Base stealing success rate?</t>
        </is>
      </c>
      <c r="C20" s="24" t="n"/>
    </row>
    <row r="21" ht="15.75" customHeight="1" s="35">
      <c r="A21" s="24" t="inlineStr">
        <is>
          <t>5-6</t>
        </is>
      </c>
      <c r="B21" s="24" t="inlineStr">
        <is>
          <t>When do they go to bullpen?</t>
        </is>
      </c>
      <c r="C21" s="24" t="n"/>
    </row>
    <row r="22" ht="15.75" customHeight="1" s="35">
      <c r="A22" s="24" t="inlineStr">
        <is>
          <t>7+</t>
        </is>
      </c>
      <c r="B22" s="24" t="inlineStr">
        <is>
          <t>Who is their closer? What pitches?</t>
        </is>
      </c>
      <c r="C22" s="24" t="n"/>
    </row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2026-03-31T17:52:05Z</dcterms:created>
  <dcterms:modified xsi:type="dcterms:W3CDTF">2026-04-10T17:43:26Z</dcterms:modified>
</cp:coreProperties>
</file>